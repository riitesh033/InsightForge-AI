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E316C703DA8F21/Documents/"/>
    </mc:Choice>
  </mc:AlternateContent>
  <xr:revisionPtr revIDLastSave="18" documentId="8_{D4A00AD0-BD98-4C6B-AD21-93024C14FFCF}" xr6:coauthVersionLast="47" xr6:coauthVersionMax="47" xr10:uidLastSave="{1E342388-BFD8-4740-88FE-729AB400FBDA}"/>
  <bookViews>
    <workbookView xWindow="-98" yWindow="-98" windowWidth="21795" windowHeight="13695" activeTab="3" xr2:uid="{82E966EC-3698-4E74-AC00-3C76FDCD6F18}"/>
  </bookViews>
  <sheets>
    <sheet name="Excel Basics" sheetId="2" r:id="rId1"/>
    <sheet name="Remove Duplicate" sheetId="3" r:id="rId2"/>
    <sheet name="RD_2" sheetId="4" r:id="rId3"/>
    <sheet name="Remove_Blank Rows" sheetId="5" r:id="rId4"/>
    <sheet name="Remove Space" sheetId="6" r:id="rId5"/>
    <sheet name="Data Cleaning" sheetId="7" r:id="rId6"/>
    <sheet name="Data Split" sheetId="11" r:id="rId7"/>
    <sheet name="Data Valadition" sheetId="14" r:id="rId8"/>
    <sheet name="Incentive Cal" sheetId="16" r:id="rId9"/>
    <sheet name="Logical Functions" sheetId="17" r:id="rId10"/>
    <sheet name="Sales 1" sheetId="18" r:id="rId11"/>
    <sheet name="Sales 2" sheetId="19" r:id="rId12"/>
    <sheet name="V_LOOKUP" sheetId="22" r:id="rId13"/>
    <sheet name="V_LOOKUP 2" sheetId="23" r:id="rId14"/>
    <sheet name="V_LOOKUP With Match" sheetId="25" r:id="rId15"/>
    <sheet name="Match andd Index" sheetId="26" r:id="rId16"/>
    <sheet name="Sales_Data" sheetId="27" r:id="rId17"/>
  </sheets>
  <definedNames>
    <definedName name="_xlnm._FilterDatabase" localSheetId="10" hidden="1">'Sales 1'!$A$1:$H$1001</definedName>
    <definedName name="Emp_type">'V_LOOKUP 2'!$H$2:$I$8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9" i="19" l="1" a="1"/>
  <c r="Z9" i="19" s="1"/>
  <c r="F2" i="23"/>
  <c r="N2" i="19" a="1"/>
  <c r="N2" i="19" s="1"/>
  <c r="P72" i="27"/>
  <c r="F16" i="25"/>
  <c r="J2" i="18" a="1"/>
  <c r="J2" i="18" s="1"/>
  <c r="M16" i="27"/>
  <c r="M73" i="27"/>
  <c r="M74" i="27"/>
  <c r="M75" i="27"/>
  <c r="M76" i="27"/>
  <c r="M77" i="27"/>
  <c r="M78" i="27"/>
  <c r="M79" i="27"/>
  <c r="M80" i="27"/>
  <c r="M81" i="27"/>
  <c r="M82" i="27"/>
  <c r="M83" i="27"/>
  <c r="M84" i="27"/>
  <c r="M85" i="27"/>
  <c r="M86" i="27"/>
  <c r="M72" i="27"/>
  <c r="M51" i="27"/>
  <c r="N51" i="27"/>
  <c r="O51" i="27"/>
  <c r="P51" i="27"/>
  <c r="Q51" i="27"/>
  <c r="M52" i="27"/>
  <c r="N52" i="27"/>
  <c r="O52" i="27"/>
  <c r="P52" i="27"/>
  <c r="Q52" i="27"/>
  <c r="M53" i="27"/>
  <c r="N53" i="27"/>
  <c r="O53" i="27"/>
  <c r="P53" i="27"/>
  <c r="Q53" i="27"/>
  <c r="M54" i="27"/>
  <c r="N54" i="27"/>
  <c r="O54" i="27"/>
  <c r="P54" i="27"/>
  <c r="Q54" i="27"/>
  <c r="M55" i="27"/>
  <c r="N55" i="27"/>
  <c r="O55" i="27"/>
  <c r="P55" i="27"/>
  <c r="Q55" i="27"/>
  <c r="M56" i="27"/>
  <c r="N56" i="27"/>
  <c r="O56" i="27"/>
  <c r="P56" i="27"/>
  <c r="Q56" i="27"/>
  <c r="M57" i="27"/>
  <c r="N57" i="27"/>
  <c r="O57" i="27"/>
  <c r="P57" i="27"/>
  <c r="Q57" i="27"/>
  <c r="M58" i="27"/>
  <c r="N58" i="27"/>
  <c r="O58" i="27"/>
  <c r="P58" i="27"/>
  <c r="Q58" i="27"/>
  <c r="M59" i="27"/>
  <c r="N59" i="27"/>
  <c r="O59" i="27"/>
  <c r="P59" i="27"/>
  <c r="Q59" i="27"/>
  <c r="M60" i="27"/>
  <c r="N60" i="27"/>
  <c r="O60" i="27"/>
  <c r="P60" i="27"/>
  <c r="Q60" i="27"/>
  <c r="M61" i="27"/>
  <c r="N61" i="27"/>
  <c r="O61" i="27"/>
  <c r="P61" i="27"/>
  <c r="Q61" i="27"/>
  <c r="M62" i="27"/>
  <c r="N62" i="27"/>
  <c r="O62" i="27"/>
  <c r="P62" i="27"/>
  <c r="Q62" i="27"/>
  <c r="M63" i="27"/>
  <c r="N63" i="27"/>
  <c r="O63" i="27"/>
  <c r="P63" i="27"/>
  <c r="Q63" i="27"/>
  <c r="M64" i="27"/>
  <c r="N64" i="27"/>
  <c r="O64" i="27"/>
  <c r="P64" i="27"/>
  <c r="Q64" i="27"/>
  <c r="M65" i="27"/>
  <c r="N65" i="27"/>
  <c r="O65" i="27"/>
  <c r="P65" i="27"/>
  <c r="Q65" i="27"/>
  <c r="M66" i="27"/>
  <c r="N66" i="27"/>
  <c r="O66" i="27"/>
  <c r="P66" i="27"/>
  <c r="Q66" i="27"/>
  <c r="M67" i="27"/>
  <c r="N67" i="27"/>
  <c r="O67" i="27"/>
  <c r="P67" i="27"/>
  <c r="Q67" i="27"/>
  <c r="M68" i="27"/>
  <c r="N68" i="27"/>
  <c r="O68" i="27"/>
  <c r="P68" i="27"/>
  <c r="Q68" i="27"/>
  <c r="M69" i="27"/>
  <c r="N69" i="27"/>
  <c r="O69" i="27"/>
  <c r="P69" i="27"/>
  <c r="Q69" i="27"/>
  <c r="N50" i="27"/>
  <c r="O50" i="27"/>
  <c r="P50" i="27"/>
  <c r="Q50" i="27"/>
  <c r="M50" i="27"/>
  <c r="M44" i="27"/>
  <c r="M45" i="27"/>
  <c r="M46" i="27"/>
  <c r="M47" i="27"/>
  <c r="M43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N21" i="27"/>
  <c r="O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21" i="27"/>
  <c r="M17" i="27"/>
  <c r="M18" i="27"/>
  <c r="G25" i="23"/>
  <c r="G26" i="23"/>
  <c r="G16" i="23"/>
  <c r="G17" i="23"/>
  <c r="G18" i="23"/>
  <c r="G19" i="23"/>
  <c r="G20" i="23"/>
  <c r="G21" i="23"/>
  <c r="G22" i="23"/>
  <c r="G23" i="23"/>
  <c r="G24" i="23"/>
  <c r="G15" i="23"/>
  <c r="C14" i="11"/>
  <c r="C15" i="11"/>
  <c r="C16" i="11"/>
  <c r="C13" i="11"/>
  <c r="B16" i="11"/>
  <c r="B14" i="11"/>
  <c r="B15" i="11"/>
  <c r="B13" i="11"/>
  <c r="M10" i="27"/>
  <c r="N10" i="27"/>
  <c r="O10" i="27"/>
  <c r="P10" i="27"/>
  <c r="Q10" i="27"/>
  <c r="M11" i="27"/>
  <c r="N11" i="27"/>
  <c r="O11" i="27"/>
  <c r="P11" i="27"/>
  <c r="Q11" i="27"/>
  <c r="M12" i="27"/>
  <c r="N12" i="27"/>
  <c r="O12" i="27"/>
  <c r="P12" i="27"/>
  <c r="Q12" i="27"/>
  <c r="M13" i="27"/>
  <c r="N13" i="27"/>
  <c r="O13" i="27"/>
  <c r="P13" i="27"/>
  <c r="Q13" i="27"/>
  <c r="N9" i="27"/>
  <c r="O9" i="27"/>
  <c r="P9" i="27"/>
  <c r="Q9" i="27"/>
  <c r="M9" i="27"/>
  <c r="H10" i="25"/>
  <c r="H9" i="25"/>
  <c r="F3" i="23"/>
  <c r="F4" i="23"/>
  <c r="F5" i="23"/>
  <c r="F6" i="23"/>
  <c r="F7" i="23"/>
  <c r="F8" i="23"/>
  <c r="F9" i="23"/>
  <c r="F10" i="23"/>
  <c r="F11" i="23"/>
  <c r="F12" i="23"/>
  <c r="F13" i="23"/>
  <c r="N3" i="27"/>
  <c r="N4" i="27"/>
  <c r="N5" i="27"/>
  <c r="N6" i="27"/>
  <c r="N2" i="27"/>
  <c r="M3" i="27"/>
  <c r="M4" i="27"/>
  <c r="M5" i="27"/>
  <c r="M6" i="27"/>
  <c r="M2" i="27"/>
  <c r="E16" i="26"/>
  <c r="C20" i="26"/>
  <c r="C19" i="26"/>
  <c r="H3" i="25"/>
  <c r="H4" i="25"/>
  <c r="H3" i="22"/>
  <c r="H4" i="22"/>
  <c r="H5" i="22"/>
  <c r="H6" i="22"/>
  <c r="S2" i="18" a="1"/>
  <c r="S2" i="18" s="1"/>
  <c r="Z2" i="19" a="1"/>
  <c r="Z2" i="19" s="1"/>
  <c r="F3" i="17"/>
  <c r="F4" i="17"/>
  <c r="F5" i="17"/>
  <c r="F6" i="17"/>
  <c r="F7" i="17"/>
  <c r="F8" i="17"/>
  <c r="F9" i="17"/>
  <c r="F10" i="17"/>
  <c r="F11" i="17"/>
  <c r="F12" i="17"/>
  <c r="F13" i="17"/>
  <c r="F2" i="17"/>
  <c r="E3" i="17"/>
  <c r="E4" i="17"/>
  <c r="E5" i="17"/>
  <c r="E6" i="17"/>
  <c r="E7" i="17"/>
  <c r="E8" i="17"/>
  <c r="E9" i="17"/>
  <c r="E10" i="17"/>
  <c r="E11" i="17"/>
  <c r="E12" i="17"/>
  <c r="E13" i="17"/>
  <c r="E2" i="17"/>
  <c r="G4" i="16" a="1"/>
  <c r="G4" i="16" s="1"/>
  <c r="G5" i="16" a="1"/>
  <c r="G5" i="16"/>
  <c r="G6" i="16" a="1"/>
  <c r="G6" i="16"/>
  <c r="G7" i="16" a="1"/>
  <c r="G7" i="16"/>
  <c r="G8" i="16" a="1"/>
  <c r="G8" i="16" s="1"/>
  <c r="G9" i="16" a="1"/>
  <c r="G9" i="16"/>
  <c r="G10" i="16" a="1"/>
  <c r="G10" i="16"/>
  <c r="G11" i="16" a="1"/>
  <c r="G11" i="16"/>
  <c r="G12" i="16" a="1"/>
  <c r="G12" i="16" s="1"/>
  <c r="G13" i="16" a="1"/>
  <c r="G13" i="16"/>
  <c r="G14" i="16" a="1"/>
  <c r="G14" i="16"/>
  <c r="G3" i="16" a="1"/>
  <c r="G3" i="16" s="1"/>
  <c r="F4" i="16"/>
  <c r="F5" i="16"/>
  <c r="F6" i="16"/>
  <c r="F7" i="16"/>
  <c r="F8" i="16"/>
  <c r="F9" i="16"/>
  <c r="F10" i="16"/>
  <c r="F11" i="16"/>
  <c r="F12" i="16"/>
  <c r="F13" i="16"/>
  <c r="F14" i="16"/>
  <c r="F3" i="16"/>
  <c r="E4" i="16"/>
  <c r="E5" i="16"/>
  <c r="E6" i="16"/>
  <c r="E7" i="16"/>
  <c r="E8" i="16"/>
  <c r="E9" i="16"/>
  <c r="E10" i="16"/>
  <c r="E11" i="16"/>
  <c r="E12" i="16"/>
  <c r="E13" i="16"/>
  <c r="E14" i="16"/>
  <c r="E3" i="16"/>
  <c r="J17" i="7"/>
  <c r="J18" i="7"/>
  <c r="J19" i="7"/>
  <c r="J16" i="7"/>
  <c r="C9" i="11"/>
  <c r="C10" i="11"/>
  <c r="C11" i="11"/>
  <c r="C8" i="11"/>
  <c r="G9" i="11"/>
  <c r="G10" i="11"/>
  <c r="G11" i="11"/>
  <c r="G8" i="11"/>
  <c r="F9" i="11"/>
  <c r="F10" i="11"/>
  <c r="F11" i="11"/>
  <c r="F8" i="11"/>
  <c r="B9" i="11"/>
  <c r="B10" i="11"/>
  <c r="B11" i="11"/>
  <c r="B8" i="11"/>
  <c r="E9" i="11"/>
  <c r="E10" i="11"/>
  <c r="E11" i="11"/>
  <c r="E8" i="11"/>
  <c r="G3" i="11"/>
  <c r="G4" i="11"/>
  <c r="G2" i="11"/>
  <c r="L3" i="11"/>
  <c r="L4" i="11"/>
  <c r="L2" i="11"/>
  <c r="K3" i="11"/>
  <c r="K4" i="11"/>
  <c r="K2" i="11"/>
  <c r="F3" i="11"/>
  <c r="F4" i="11"/>
  <c r="F2" i="11"/>
  <c r="J3" i="11"/>
  <c r="J4" i="11"/>
  <c r="J2" i="11"/>
  <c r="K4" i="7"/>
  <c r="K5" i="7"/>
  <c r="K3" i="7"/>
  <c r="J4" i="7"/>
  <c r="J5" i="7"/>
  <c r="J3" i="7"/>
  <c r="I4" i="7"/>
  <c r="I5" i="7"/>
  <c r="I3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" i="6"/>
  <c r="G21" i="6"/>
  <c r="F3" i="6"/>
  <c r="G3" i="6" s="1"/>
  <c r="F4" i="6"/>
  <c r="G4" i="6" s="1"/>
  <c r="F5" i="6"/>
  <c r="G5" i="6" s="1"/>
  <c r="F6" i="6"/>
  <c r="G6" i="6" s="1"/>
  <c r="F7" i="6"/>
  <c r="G7" i="6" s="1"/>
  <c r="F8" i="6"/>
  <c r="G8" i="6" s="1"/>
  <c r="F9" i="6"/>
  <c r="G9" i="6" s="1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G18" i="6" s="1"/>
  <c r="F19" i="6"/>
  <c r="G19" i="6" s="1"/>
  <c r="F20" i="6"/>
  <c r="G20" i="6" s="1"/>
  <c r="F21" i="6"/>
  <c r="F22" i="6"/>
  <c r="G22" i="6" s="1"/>
  <c r="F2" i="6"/>
  <c r="G2" i="6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" i="6"/>
  <c r="D8" i="3"/>
  <c r="D10" i="3"/>
  <c r="D4" i="3"/>
  <c r="D5" i="3"/>
  <c r="D6" i="3"/>
  <c r="D7" i="3"/>
  <c r="D3" i="3"/>
  <c r="D9" i="3"/>
  <c r="D2" i="3"/>
  <c r="P5" i="2"/>
  <c r="P6" i="2"/>
  <c r="P7" i="2"/>
  <c r="P8" i="2"/>
  <c r="P9" i="2"/>
  <c r="P10" i="2"/>
  <c r="P11" i="2"/>
  <c r="P12" i="2"/>
  <c r="P13" i="2"/>
  <c r="O13" i="2"/>
  <c r="O5" i="2"/>
  <c r="O6" i="2"/>
  <c r="O7" i="2"/>
  <c r="O8" i="2"/>
  <c r="O9" i="2"/>
  <c r="O10" i="2"/>
  <c r="O11" i="2"/>
  <c r="O12" i="2"/>
  <c r="P4" i="2"/>
  <c r="O4" i="2"/>
  <c r="N5" i="2"/>
  <c r="N6" i="2"/>
  <c r="N7" i="2"/>
  <c r="N8" i="2"/>
  <c r="N9" i="2"/>
  <c r="N10" i="2"/>
  <c r="N11" i="2"/>
  <c r="N12" i="2"/>
  <c r="N13" i="2"/>
  <c r="M5" i="2"/>
  <c r="M6" i="2"/>
  <c r="M7" i="2"/>
  <c r="M8" i="2"/>
  <c r="M9" i="2"/>
  <c r="M10" i="2"/>
  <c r="M11" i="2"/>
  <c r="M12" i="2"/>
  <c r="M13" i="2"/>
  <c r="M4" i="2"/>
  <c r="N4" i="2"/>
  <c r="L5" i="2"/>
  <c r="L6" i="2"/>
  <c r="L7" i="2"/>
  <c r="L8" i="2"/>
  <c r="L9" i="2"/>
  <c r="L10" i="2"/>
  <c r="L11" i="2"/>
  <c r="L12" i="2"/>
  <c r="L13" i="2"/>
  <c r="L4" i="2"/>
  <c r="C16" i="26" l="1" a="1"/>
  <c r="C16" i="2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<sst xmlns="http://schemas.openxmlformats.org/spreadsheetml/2006/main" count="20809" uniqueCount="1383">
  <si>
    <t>Employee ID</t>
  </si>
  <si>
    <t>Name</t>
  </si>
  <si>
    <t>Department</t>
  </si>
  <si>
    <t>Salary</t>
  </si>
  <si>
    <t>Joining Date</t>
  </si>
  <si>
    <t>EMP001</t>
  </si>
  <si>
    <t>Employee_1</t>
  </si>
  <si>
    <t>Finance</t>
  </si>
  <si>
    <t>IT</t>
  </si>
  <si>
    <t>EMP002</t>
  </si>
  <si>
    <t>Employee_2</t>
  </si>
  <si>
    <t>Operations</t>
  </si>
  <si>
    <t>EMP003</t>
  </si>
  <si>
    <t>Employee_3</t>
  </si>
  <si>
    <t>Sales</t>
  </si>
  <si>
    <t>EMP004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</si>
  <si>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</si>
  <si>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</si>
  <si>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</si>
  <si>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</si>
  <si>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</si>
  <si>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</si>
  <si>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</si>
  <si>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</si>
  <si>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</si>
  <si>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</si>
  <si>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</si>
  <si>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</si>
  <si>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</si>
  <si>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</si>
  <si>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</si>
  <si>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</si>
  <si>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</si>
  <si>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</si>
  <si>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EMP014</t>
  </si>
  <si>
    <t>Employee_14</t>
  </si>
  <si>
    <t>EMP015</t>
  </si>
  <si>
    <t>Employee_15</t>
  </si>
  <si>
    <t>EMP016</t>
  </si>
  <si>
    <t>Employee_16</t>
  </si>
  <si>
    <t>EMP017</t>
  </si>
  <si>
    <t>Employee_17</t>
  </si>
  <si>
    <t>EMP018</t>
  </si>
  <si>
    <t>Employee_18</t>
  </si>
  <si>
    <t>HR</t>
  </si>
  <si>
    <t>EMP019</t>
  </si>
  <si>
    <t>Employee_19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</si>
  <si>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</si>
  <si>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</si>
  <si>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</si>
  <si>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</si>
  <si>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</si>
  <si>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</si>
  <si>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</si>
  <si>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</si>
  <si>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</si>
  <si>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</si>
  <si>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</si>
  <si>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</si>
  <si>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</si>
  <si>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</si>
  <si>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</si>
  <si>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</si>
  <si>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</si>
  <si>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</si>
  <si>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</si>
  <si>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</si>
  <si>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</si>
  <si>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</si>
  <si>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Employee_6</t>
  </si>
  <si>
    <t>SUB 1</t>
  </si>
  <si>
    <t>SUB 2</t>
  </si>
  <si>
    <t>SUB 3</t>
  </si>
  <si>
    <t>TOTALL</t>
  </si>
  <si>
    <t>MARKS</t>
  </si>
  <si>
    <t>MAX</t>
  </si>
  <si>
    <t>MIN</t>
  </si>
  <si>
    <t>AVERAGE</t>
  </si>
  <si>
    <t>COUNT</t>
  </si>
  <si>
    <t>sales</t>
  </si>
  <si>
    <t>finance</t>
  </si>
  <si>
    <t>operations</t>
  </si>
  <si>
    <t>Product_ID</t>
  </si>
  <si>
    <t>Product_Name</t>
  </si>
  <si>
    <t>Category</t>
  </si>
  <si>
    <t>Price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</si>
  <si>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</si>
  <si>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</si>
  <si>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</si>
  <si>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</si>
  <si>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</si>
  <si>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</si>
  <si>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</si>
  <si>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</si>
  <si>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</si>
  <si>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</si>
  <si>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</si>
  <si>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</si>
  <si>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</si>
  <si>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</si>
  <si>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</si>
  <si>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no.</t>
  </si>
  <si>
    <t>EMP_001</t>
  </si>
  <si>
    <t>EMP_002</t>
  </si>
  <si>
    <t>EMP_004</t>
  </si>
  <si>
    <t>EMP_006</t>
  </si>
  <si>
    <t>EMP_007</t>
  </si>
  <si>
    <t>EMP_008</t>
  </si>
  <si>
    <t>EMP_011</t>
  </si>
  <si>
    <t>EMP_012</t>
  </si>
  <si>
    <t>Product Code</t>
  </si>
  <si>
    <t>Product Name</t>
  </si>
  <si>
    <t>Stock</t>
  </si>
  <si>
    <t>Product Description</t>
  </si>
  <si>
    <t>P0001</t>
  </si>
  <si>
    <t>Product_1</t>
  </si>
  <si>
    <t>ElecTronics</t>
  </si>
  <si>
    <t>Use Data Validation under the Data tab to restrict input types.</t>
  </si>
  <si>
    <t>P0002</t>
  </si>
  <si>
    <t>Product_2</t>
  </si>
  <si>
    <t>Electronics</t>
  </si>
  <si>
    <r>
      <t>Ensure Price</t>
    </r>
    <r>
      <rPr>
        <sz val="11"/>
        <color rgb="FF000000"/>
        <rFont val="Calibri"/>
        <family val="2"/>
        <scheme val="minor"/>
      </rPr>
      <t xml:space="preserve"> and </t>
    </r>
    <r>
      <rPr>
        <sz val="11"/>
        <color theme="1"/>
        <rFont val="Calibri"/>
        <family val="2"/>
        <scheme val="minor"/>
      </rPr>
      <t>Quantity_Available</t>
    </r>
    <r>
      <rPr>
        <sz val="11"/>
        <color rgb="FF000000"/>
        <rFont val="Calibri"/>
        <family val="2"/>
        <scheme val="minor"/>
      </rPr>
      <t xml:space="preserve"> are numeric, and </t>
    </r>
    <r>
      <rPr>
        <sz val="11"/>
        <color theme="1"/>
        <rFont val="Calibri"/>
        <family val="2"/>
        <scheme val="minor"/>
      </rPr>
      <t>Rating</t>
    </r>
    <r>
      <rPr>
        <sz val="11"/>
        <color rgb="FF000000"/>
        <rFont val="Calibri"/>
        <family val="2"/>
        <scheme val="minor"/>
      </rPr>
      <t xml:space="preserve"> is a decimal.</t>
    </r>
  </si>
  <si>
    <t>P0003</t>
  </si>
  <si>
    <t>Product_3</t>
  </si>
  <si>
    <t>FOOD</t>
  </si>
  <si>
    <t>Highlight unnecessary columns and delete them or hide them if required for later use.</t>
  </si>
  <si>
    <t>P0004</t>
  </si>
  <si>
    <t>Product_4</t>
  </si>
  <si>
    <t>Clothing</t>
  </si>
  <si>
    <t>Let me know if you’d like further guidance on implementing these steps!</t>
  </si>
  <si>
    <t>P0005</t>
  </si>
  <si>
    <t>Product_5</t>
  </si>
  <si>
    <t>Furniture</t>
  </si>
  <si>
    <r>
      <t>Use conditional formatting to highlight outliers or filter using IF</t>
    </r>
    <r>
      <rPr>
        <sz val="11"/>
        <color rgb="FF000000"/>
        <rFont val="Calibri"/>
        <family val="2"/>
        <scheme val="minor"/>
      </rPr>
      <t xml:space="preserve"> formulas or slicers.</t>
    </r>
  </si>
  <si>
    <t>P0006</t>
  </si>
  <si>
    <t>Product_6</t>
  </si>
  <si>
    <t>Correct spelling or category mismatches (e.g., "Laptops" vs. "Laptop").</t>
  </si>
  <si>
    <t>P0007</t>
  </si>
  <si>
    <t>Product_7</t>
  </si>
  <si>
    <r>
      <t>Ensure consistent case for Product_Name</t>
    </r>
    <r>
      <rPr>
        <sz val="11"/>
        <color rgb="FF000000"/>
        <rFont val="Calibri"/>
        <family val="2"/>
        <scheme val="minor"/>
      </rPr>
      <t xml:space="preserve"> (e.g., capitalize each word).</t>
    </r>
  </si>
  <si>
    <t>P0008</t>
  </si>
  <si>
    <t>Product_8</t>
  </si>
  <si>
    <t>Fill missing values with appropriate replacements (e.g., average price or a placeholder).</t>
  </si>
  <si>
    <t>P0009</t>
  </si>
  <si>
    <t>Product_9</t>
  </si>
  <si>
    <t>Stationery</t>
  </si>
  <si>
    <t>In Excel, go to Data &gt; Remove Duplicates.</t>
  </si>
  <si>
    <t>P0010</t>
  </si>
  <si>
    <t>Product_10</t>
  </si>
  <si>
    <r>
      <t>Identify duplicate rows based on Product_ID</t>
    </r>
    <r>
      <rPr>
        <sz val="11"/>
        <color rgb="FF000000"/>
        <rFont val="Calibri"/>
        <family val="2"/>
        <scheme val="minor"/>
      </rPr>
      <t xml:space="preserve"> or </t>
    </r>
    <r>
      <rPr>
        <sz val="11"/>
        <color theme="1"/>
        <rFont val="Calibri"/>
        <family val="2"/>
        <scheme val="minor"/>
      </rPr>
      <t>Product_Name</t>
    </r>
    <r>
      <rPr>
        <sz val="11"/>
        <color rgb="FF000000"/>
        <rFont val="Calibri"/>
        <family val="2"/>
        <scheme val="minor"/>
      </rPr>
      <t>.</t>
    </r>
  </si>
  <si>
    <t>P0011</t>
  </si>
  <si>
    <t>Product_11</t>
  </si>
  <si>
    <t>P0012</t>
  </si>
  <si>
    <t>Product_12</t>
  </si>
  <si>
    <t>P0013</t>
  </si>
  <si>
    <t>Product_13</t>
  </si>
  <si>
    <t>StationeRY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</si>
  <si>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</si>
  <si>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</si>
  <si>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</si>
  <si>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</si>
  <si>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</si>
  <si>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</si>
  <si>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</si>
  <si>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</si>
  <si>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</si>
  <si>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</si>
  <si>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</si>
  <si>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</si>
  <si>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</si>
  <si>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</si>
  <si>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</si>
  <si>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</si>
  <si>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</si>
  <si>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</si>
  <si>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</si>
  <si>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</si>
  <si>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</si>
  <si>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</si>
  <si>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</si>
  <si>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</si>
  <si>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</si>
  <si>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</si>
  <si>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</si>
  <si>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</si>
  <si>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</si>
  <si>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</si>
  <si>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Food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</si>
  <si>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</si>
  <si>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</si>
  <si>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</si>
  <si>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</si>
  <si>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</si>
  <si>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</si>
  <si>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</si>
  <si>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</si>
  <si>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</si>
  <si>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</si>
  <si>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</si>
  <si>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</si>
  <si>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</si>
  <si>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</si>
  <si>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</si>
  <si>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</si>
  <si>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</si>
  <si>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</si>
  <si>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</si>
  <si>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</si>
  <si>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</si>
  <si>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</si>
  <si>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</si>
  <si>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</si>
  <si>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</si>
  <si>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</si>
  <si>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</si>
  <si>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</si>
  <si>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</si>
  <si>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</si>
  <si>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</si>
  <si>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</si>
  <si>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</si>
  <si>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</si>
  <si>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</si>
  <si>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</si>
  <si>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</si>
  <si>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</si>
  <si>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</si>
  <si>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</si>
  <si>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</si>
  <si>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</si>
  <si>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</si>
  <si>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</si>
  <si>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</si>
  <si>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</si>
  <si>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</si>
  <si>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</si>
  <si>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</si>
  <si>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</si>
  <si>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</si>
  <si>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</si>
  <si>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</si>
  <si>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</si>
  <si>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</si>
  <si>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</si>
  <si>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</si>
  <si>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</si>
  <si>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</si>
  <si>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</si>
  <si>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</si>
  <si>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</si>
  <si>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</si>
  <si>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</si>
  <si>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P0061</t>
  </si>
  <si>
    <t>Product_61</t>
  </si>
  <si>
    <t>P0062</t>
  </si>
  <si>
    <t>Product_62</t>
  </si>
  <si>
    <t>P0063</t>
  </si>
  <si>
    <t>Product_63</t>
  </si>
  <si>
    <t>P0064</t>
  </si>
  <si>
    <t>Product_64</t>
  </si>
  <si>
    <t>P0065</t>
  </si>
  <si>
    <t>Product_65</t>
  </si>
  <si>
    <t>P0066</t>
  </si>
  <si>
    <t>Product_66</t>
  </si>
  <si>
    <t>P0067</t>
  </si>
  <si>
    <t>Product_67</t>
  </si>
  <si>
    <t>P0068</t>
  </si>
  <si>
    <t>Product_68</t>
  </si>
  <si>
    <t>P0069</t>
  </si>
  <si>
    <t>Product_69</t>
  </si>
  <si>
    <t>P0070</t>
  </si>
  <si>
    <t>Product_70</t>
  </si>
  <si>
    <t>P0071</t>
  </si>
  <si>
    <t>Product_71</t>
  </si>
  <si>
    <t>P0072</t>
  </si>
  <si>
    <t>Product_72</t>
  </si>
  <si>
    <t>P0073</t>
  </si>
  <si>
    <t>Product_73</t>
  </si>
  <si>
    <t>P0074</t>
  </si>
  <si>
    <t>Product_74</t>
  </si>
  <si>
    <t>P0075</t>
  </si>
  <si>
    <t>Product_75</t>
  </si>
  <si>
    <t>P0076</t>
  </si>
  <si>
    <t>Product_76</t>
  </si>
  <si>
    <t>P0077</t>
  </si>
  <si>
    <t>Product_77</t>
  </si>
  <si>
    <t>P0078</t>
  </si>
  <si>
    <t>Product_78</t>
  </si>
  <si>
    <t>P0079</t>
  </si>
  <si>
    <t>Product_79</t>
  </si>
  <si>
    <t>P0080</t>
  </si>
  <si>
    <t>Product_80</t>
  </si>
  <si>
    <t>P0081</t>
  </si>
  <si>
    <t>Product_81</t>
  </si>
  <si>
    <t>P0082</t>
  </si>
  <si>
    <t>Product_82</t>
  </si>
  <si>
    <t>P0083</t>
  </si>
  <si>
    <t>Product_83</t>
  </si>
  <si>
    <t>P0084</t>
  </si>
  <si>
    <t>Product_84</t>
  </si>
  <si>
    <t>P0085</t>
  </si>
  <si>
    <t>Product_85</t>
  </si>
  <si>
    <t>P0086</t>
  </si>
  <si>
    <t>Product_86</t>
  </si>
  <si>
    <t>P0087</t>
  </si>
  <si>
    <t>Product_87</t>
  </si>
  <si>
    <t>P0088</t>
  </si>
  <si>
    <t>Product_88</t>
  </si>
  <si>
    <t>P0089</t>
  </si>
  <si>
    <t>Product_89</t>
  </si>
  <si>
    <t>P0090</t>
  </si>
  <si>
    <t>Product_90</t>
  </si>
  <si>
    <t>P0091</t>
  </si>
  <si>
    <t>Product_91</t>
  </si>
  <si>
    <t>P0092</t>
  </si>
  <si>
    <t>Product_92</t>
  </si>
  <si>
    <t>P0093</t>
  </si>
  <si>
    <t>Product_93</t>
  </si>
  <si>
    <t>P0094</t>
  </si>
  <si>
    <t>Product_94</t>
  </si>
  <si>
    <t>P0095</t>
  </si>
  <si>
    <t>Product_95</t>
  </si>
  <si>
    <t>P0096</t>
  </si>
  <si>
    <t>Product_96</t>
  </si>
  <si>
    <t>P0097</t>
  </si>
  <si>
    <t>Product_97</t>
  </si>
  <si>
    <t>P0098</t>
  </si>
  <si>
    <t>Product_98</t>
  </si>
  <si>
    <t>P0099</t>
  </si>
  <si>
    <t>Product_99</t>
  </si>
  <si>
    <t>P0100</t>
  </si>
  <si>
    <t>Product_100</t>
  </si>
  <si>
    <t>P0101</t>
  </si>
  <si>
    <t>Product_101</t>
  </si>
  <si>
    <t>P0102</t>
  </si>
  <si>
    <t>Product_102</t>
  </si>
  <si>
    <t>P0103</t>
  </si>
  <si>
    <t>Product_103</t>
  </si>
  <si>
    <t>P0104</t>
  </si>
  <si>
    <t>Product_104</t>
  </si>
  <si>
    <t>P0105</t>
  </si>
  <si>
    <t>Product_105</t>
  </si>
  <si>
    <t>P0106</t>
  </si>
  <si>
    <t>Product_106</t>
  </si>
  <si>
    <t>P0107</t>
  </si>
  <si>
    <t>Product_107</t>
  </si>
  <si>
    <t>P0108</t>
  </si>
  <si>
    <t>Product_108</t>
  </si>
  <si>
    <t>P0109</t>
  </si>
  <si>
    <t>Product_109</t>
  </si>
  <si>
    <t>P0110</t>
  </si>
  <si>
    <t>Product_110</t>
  </si>
  <si>
    <t>P0111</t>
  </si>
  <si>
    <t>Product_111</t>
  </si>
  <si>
    <t>P0112</t>
  </si>
  <si>
    <t>Product_112</t>
  </si>
  <si>
    <t>P0113</t>
  </si>
  <si>
    <t>Product_113</t>
  </si>
  <si>
    <t>P0114</t>
  </si>
  <si>
    <t>Product_114</t>
  </si>
  <si>
    <t>P0115</t>
  </si>
  <si>
    <t>Product_115</t>
  </si>
  <si>
    <t>P0116</t>
  </si>
  <si>
    <t>Product_116</t>
  </si>
  <si>
    <t>P0117</t>
  </si>
  <si>
    <t>Product_117</t>
  </si>
  <si>
    <t>P0118</t>
  </si>
  <si>
    <t>Product_118</t>
  </si>
  <si>
    <t>P0119</t>
  </si>
  <si>
    <t>Product_119</t>
  </si>
  <si>
    <t>P0120</t>
  </si>
  <si>
    <t>Product_120</t>
  </si>
  <si>
    <t>P0121</t>
  </si>
  <si>
    <t>Product_121</t>
  </si>
  <si>
    <t>P0122</t>
  </si>
  <si>
    <t>Product_122</t>
  </si>
  <si>
    <t>P0123</t>
  </si>
  <si>
    <t>Product_123</t>
  </si>
  <si>
    <t>P0124</t>
  </si>
  <si>
    <t>Product_124</t>
  </si>
  <si>
    <t>P0125</t>
  </si>
  <si>
    <t>Product_125</t>
  </si>
  <si>
    <t>P0126</t>
  </si>
  <si>
    <t>Product_126</t>
  </si>
  <si>
    <t>P0127</t>
  </si>
  <si>
    <t>Product_127</t>
  </si>
  <si>
    <t>P0128</t>
  </si>
  <si>
    <t>Product_128</t>
  </si>
  <si>
    <t>P0129</t>
  </si>
  <si>
    <t>Product_129</t>
  </si>
  <si>
    <t>P0130</t>
  </si>
  <si>
    <t>Product_130</t>
  </si>
  <si>
    <t>P0131</t>
  </si>
  <si>
    <t>Product_131</t>
  </si>
  <si>
    <t>P0132</t>
  </si>
  <si>
    <t>Product_132</t>
  </si>
  <si>
    <t>P0133</t>
  </si>
  <si>
    <t>Product_133</t>
  </si>
  <si>
    <t>P0134</t>
  </si>
  <si>
    <t>Product_134</t>
  </si>
  <si>
    <t>P0135</t>
  </si>
  <si>
    <t>Product_135</t>
  </si>
  <si>
    <t>P0136</t>
  </si>
  <si>
    <t>Product_136</t>
  </si>
  <si>
    <t>P0137</t>
  </si>
  <si>
    <t>Product_137</t>
  </si>
  <si>
    <t>P0138</t>
  </si>
  <si>
    <t>Product_138</t>
  </si>
  <si>
    <t>P0139</t>
  </si>
  <si>
    <t>Product_139</t>
  </si>
  <si>
    <t>P0140</t>
  </si>
  <si>
    <t>Product_140</t>
  </si>
  <si>
    <t>P0141</t>
  </si>
  <si>
    <t>Product_141</t>
  </si>
  <si>
    <t>P0142</t>
  </si>
  <si>
    <t>Product_142</t>
  </si>
  <si>
    <t>P0143</t>
  </si>
  <si>
    <t>Product_143</t>
  </si>
  <si>
    <t>P0144</t>
  </si>
  <si>
    <t>Product_144</t>
  </si>
  <si>
    <t>P0145</t>
  </si>
  <si>
    <t>Product_145</t>
  </si>
  <si>
    <t>P0146</t>
  </si>
  <si>
    <t>Product_146</t>
  </si>
  <si>
    <t>P0147</t>
  </si>
  <si>
    <t>Product_147</t>
  </si>
  <si>
    <t>P0148</t>
  </si>
  <si>
    <t>Product_148</t>
  </si>
  <si>
    <t>P0149</t>
  </si>
  <si>
    <t>Product_149</t>
  </si>
  <si>
    <t>P0150</t>
  </si>
  <si>
    <t>Product_150</t>
  </si>
  <si>
    <t>P0151</t>
  </si>
  <si>
    <t>Product_151</t>
  </si>
  <si>
    <t>P0152</t>
  </si>
  <si>
    <t>Product_152</t>
  </si>
  <si>
    <t>P0153</t>
  </si>
  <si>
    <t>Product_153</t>
  </si>
  <si>
    <t>P0154</t>
  </si>
  <si>
    <t>Product_154</t>
  </si>
  <si>
    <t>P0155</t>
  </si>
  <si>
    <t>Product_155</t>
  </si>
  <si>
    <t>P0156</t>
  </si>
  <si>
    <t>Product_156</t>
  </si>
  <si>
    <t>P0157</t>
  </si>
  <si>
    <t>Product_157</t>
  </si>
  <si>
    <t>P0158</t>
  </si>
  <si>
    <t>Product_158</t>
  </si>
  <si>
    <t>P0159</t>
  </si>
  <si>
    <t>Product_159</t>
  </si>
  <si>
    <t>P0160</t>
  </si>
  <si>
    <t>Product_160</t>
  </si>
  <si>
    <t>P0161</t>
  </si>
  <si>
    <t>Product_161</t>
  </si>
  <si>
    <t>P0162</t>
  </si>
  <si>
    <t>Product_162</t>
  </si>
  <si>
    <t>P0163</t>
  </si>
  <si>
    <t>Product_163</t>
  </si>
  <si>
    <t>P0164</t>
  </si>
  <si>
    <t>Product_164</t>
  </si>
  <si>
    <t>P0165</t>
  </si>
  <si>
    <t>Product_165</t>
  </si>
  <si>
    <t>P0166</t>
  </si>
  <si>
    <t>Product_166</t>
  </si>
  <si>
    <t>P0167</t>
  </si>
  <si>
    <t>Product_167</t>
  </si>
  <si>
    <t>P0168</t>
  </si>
  <si>
    <t>Product_168</t>
  </si>
  <si>
    <t>P0169</t>
  </si>
  <si>
    <t>Product_169</t>
  </si>
  <si>
    <t>P0170</t>
  </si>
  <si>
    <t>Product_170</t>
  </si>
  <si>
    <t>P0171</t>
  </si>
  <si>
    <t>Product_171</t>
  </si>
  <si>
    <t>P0172</t>
  </si>
  <si>
    <t>Product_172</t>
  </si>
  <si>
    <t>P0173</t>
  </si>
  <si>
    <t>Product_173</t>
  </si>
  <si>
    <t>P0174</t>
  </si>
  <si>
    <t>Product_174</t>
  </si>
  <si>
    <t>P0175</t>
  </si>
  <si>
    <t>Product_175</t>
  </si>
  <si>
    <t>P0176</t>
  </si>
  <si>
    <t>Product_176</t>
  </si>
  <si>
    <t>P0177</t>
  </si>
  <si>
    <t>Product_177</t>
  </si>
  <si>
    <t>P0178</t>
  </si>
  <si>
    <t>Product_178</t>
  </si>
  <si>
    <t>P0179</t>
  </si>
  <si>
    <t>Product_179</t>
  </si>
  <si>
    <t>P0180</t>
  </si>
  <si>
    <t>Product_180</t>
  </si>
  <si>
    <t>P0181</t>
  </si>
  <si>
    <t>Product_181</t>
  </si>
  <si>
    <t>P0182</t>
  </si>
  <si>
    <t>Product_182</t>
  </si>
  <si>
    <t>P0183</t>
  </si>
  <si>
    <t>Product_183</t>
  </si>
  <si>
    <t>P0184</t>
  </si>
  <si>
    <t>Product_184</t>
  </si>
  <si>
    <t>P0185</t>
  </si>
  <si>
    <t>Product_185</t>
  </si>
  <si>
    <t>P0186</t>
  </si>
  <si>
    <t>Product_186</t>
  </si>
  <si>
    <t>P0187</t>
  </si>
  <si>
    <t>Product_187</t>
  </si>
  <si>
    <t>P0188</t>
  </si>
  <si>
    <t>Product_188</t>
  </si>
  <si>
    <t>P0189</t>
  </si>
  <si>
    <t>Product_189</t>
  </si>
  <si>
    <t>P0190</t>
  </si>
  <si>
    <t>Product_190</t>
  </si>
  <si>
    <t>P0191</t>
  </si>
  <si>
    <t>Product_191</t>
  </si>
  <si>
    <t>P0192</t>
  </si>
  <si>
    <t>Product_192</t>
  </si>
  <si>
    <t>P0193</t>
  </si>
  <si>
    <t>Product_193</t>
  </si>
  <si>
    <t>P0194</t>
  </si>
  <si>
    <t>Product_194</t>
  </si>
  <si>
    <t>P0195</t>
  </si>
  <si>
    <t>Product_195</t>
  </si>
  <si>
    <t>P0196</t>
  </si>
  <si>
    <t>Product_196</t>
  </si>
  <si>
    <t>P0197</t>
  </si>
  <si>
    <t>Product_197</t>
  </si>
  <si>
    <t>P0198</t>
  </si>
  <si>
    <t>Product_198</t>
  </si>
  <si>
    <t>P0199</t>
  </si>
  <si>
    <t>Product_199</t>
  </si>
  <si>
    <t>P0200</t>
  </si>
  <si>
    <t>Product_200</t>
  </si>
  <si>
    <t>P0201</t>
  </si>
  <si>
    <t>Product_201</t>
  </si>
  <si>
    <t>P0202</t>
  </si>
  <si>
    <t>Product_202</t>
  </si>
  <si>
    <t>P0203</t>
  </si>
  <si>
    <t>Product_203</t>
  </si>
  <si>
    <t>P0204</t>
  </si>
  <si>
    <t>Product_204</t>
  </si>
  <si>
    <t>P0205</t>
  </si>
  <si>
    <t>Product_205</t>
  </si>
  <si>
    <t>P0206</t>
  </si>
  <si>
    <t>Product_206</t>
  </si>
  <si>
    <t>P0207</t>
  </si>
  <si>
    <t>Product_207</t>
  </si>
  <si>
    <t>P0208</t>
  </si>
  <si>
    <t>Product_208</t>
  </si>
  <si>
    <t>P0209</t>
  </si>
  <si>
    <t>Product_209</t>
  </si>
  <si>
    <t>P0210</t>
  </si>
  <si>
    <t>Product_210</t>
  </si>
  <si>
    <t>P0211</t>
  </si>
  <si>
    <t>Product_211</t>
  </si>
  <si>
    <t>P0212</t>
  </si>
  <si>
    <t>Product_212</t>
  </si>
  <si>
    <t>P0213</t>
  </si>
  <si>
    <t>Product_213</t>
  </si>
  <si>
    <t>P0214</t>
  </si>
  <si>
    <t>Product_214</t>
  </si>
  <si>
    <t>P0215</t>
  </si>
  <si>
    <t>Product_215</t>
  </si>
  <si>
    <t>P0216</t>
  </si>
  <si>
    <t>Product_216</t>
  </si>
  <si>
    <t>P0217</t>
  </si>
  <si>
    <t>Product_217</t>
  </si>
  <si>
    <t>P0218</t>
  </si>
  <si>
    <t>Product_218</t>
  </si>
  <si>
    <t>P0219</t>
  </si>
  <si>
    <t>Product_219</t>
  </si>
  <si>
    <t>P0220</t>
  </si>
  <si>
    <t>Product_220</t>
  </si>
  <si>
    <t>P0221</t>
  </si>
  <si>
    <t>Product_221</t>
  </si>
  <si>
    <t>P0222</t>
  </si>
  <si>
    <t>Product_222</t>
  </si>
  <si>
    <t>P0223</t>
  </si>
  <si>
    <t>Product_223</t>
  </si>
  <si>
    <t>P0224</t>
  </si>
  <si>
    <t>Product_224</t>
  </si>
  <si>
    <t>P0225</t>
  </si>
  <si>
    <t>Product_225</t>
  </si>
  <si>
    <t>P0226</t>
  </si>
  <si>
    <t>Product_226</t>
  </si>
  <si>
    <t>P0227</t>
  </si>
  <si>
    <t>Product_227</t>
  </si>
  <si>
    <t>P0228</t>
  </si>
  <si>
    <t>Product_228</t>
  </si>
  <si>
    <t>P0229</t>
  </si>
  <si>
    <t>Product_229</t>
  </si>
  <si>
    <t>P0230</t>
  </si>
  <si>
    <t>Product_230</t>
  </si>
  <si>
    <t>P0231</t>
  </si>
  <si>
    <t>Product_231</t>
  </si>
  <si>
    <t>P0232</t>
  </si>
  <si>
    <t>Product_232</t>
  </si>
  <si>
    <t>P0233</t>
  </si>
  <si>
    <t>Product_233</t>
  </si>
  <si>
    <t>P0234</t>
  </si>
  <si>
    <t>Product_234</t>
  </si>
  <si>
    <t>P0235</t>
  </si>
  <si>
    <t>Product_235</t>
  </si>
  <si>
    <t>P0236</t>
  </si>
  <si>
    <t>Product_236</t>
  </si>
  <si>
    <t>P0237</t>
  </si>
  <si>
    <t>Product_237</t>
  </si>
  <si>
    <t>P0238</t>
  </si>
  <si>
    <t>Product_238</t>
  </si>
  <si>
    <t>P0239</t>
  </si>
  <si>
    <t>Product_239</t>
  </si>
  <si>
    <t>P0240</t>
  </si>
  <si>
    <t>Product_240</t>
  </si>
  <si>
    <t>P0241</t>
  </si>
  <si>
    <t>Product_241</t>
  </si>
  <si>
    <t>P0242</t>
  </si>
  <si>
    <t>Product_242</t>
  </si>
  <si>
    <t>P0243</t>
  </si>
  <si>
    <t>Product_243</t>
  </si>
  <si>
    <t>P0244</t>
  </si>
  <si>
    <t>Product_244</t>
  </si>
  <si>
    <t>P0245</t>
  </si>
  <si>
    <t>Product_245</t>
  </si>
  <si>
    <t>P0246</t>
  </si>
  <si>
    <t>Product_246</t>
  </si>
  <si>
    <t>P0247</t>
  </si>
  <si>
    <t>Product_247</t>
  </si>
  <si>
    <t>P0248</t>
  </si>
  <si>
    <t>Product_248</t>
  </si>
  <si>
    <t>P0249</t>
  </si>
  <si>
    <t>Product_249</t>
  </si>
  <si>
    <t>P0250</t>
  </si>
  <si>
    <t>Product_250</t>
  </si>
  <si>
    <t>P0251</t>
  </si>
  <si>
    <t>Product_251</t>
  </si>
  <si>
    <t>P0252</t>
  </si>
  <si>
    <t>Product_252</t>
  </si>
  <si>
    <t>P0253</t>
  </si>
  <si>
    <t>Product_253</t>
  </si>
  <si>
    <t>P0254</t>
  </si>
  <si>
    <t>Product_254</t>
  </si>
  <si>
    <t>P0255</t>
  </si>
  <si>
    <t>Product_255</t>
  </si>
  <si>
    <t>P0256</t>
  </si>
  <si>
    <t>Product_256</t>
  </si>
  <si>
    <t>P0257</t>
  </si>
  <si>
    <t>Product_257</t>
  </si>
  <si>
    <t>P0258</t>
  </si>
  <si>
    <t>Product_258</t>
  </si>
  <si>
    <t>P0259</t>
  </si>
  <si>
    <t>Product_259</t>
  </si>
  <si>
    <t>P0260</t>
  </si>
  <si>
    <t>Product_260</t>
  </si>
  <si>
    <t>P0261</t>
  </si>
  <si>
    <t>Product_261</t>
  </si>
  <si>
    <t>P0262</t>
  </si>
  <si>
    <t>Product_262</t>
  </si>
  <si>
    <t>P0263</t>
  </si>
  <si>
    <t>Product_263</t>
  </si>
  <si>
    <t>P0264</t>
  </si>
  <si>
    <t>Product_264</t>
  </si>
  <si>
    <t>P0265</t>
  </si>
  <si>
    <t>Product_265</t>
  </si>
  <si>
    <t>P0266</t>
  </si>
  <si>
    <t>Product_266</t>
  </si>
  <si>
    <t>P0267</t>
  </si>
  <si>
    <t>Product_267</t>
  </si>
  <si>
    <t>P0268</t>
  </si>
  <si>
    <t>Product_268</t>
  </si>
  <si>
    <t>P0269</t>
  </si>
  <si>
    <t>Product_269</t>
  </si>
  <si>
    <t>P0270</t>
  </si>
  <si>
    <t>Product_270</t>
  </si>
  <si>
    <t>P0271</t>
  </si>
  <si>
    <t>Product_271</t>
  </si>
  <si>
    <t>P0272</t>
  </si>
  <si>
    <t>Product_272</t>
  </si>
  <si>
    <t>P0273</t>
  </si>
  <si>
    <t>Product_273</t>
  </si>
  <si>
    <t>P0274</t>
  </si>
  <si>
    <t>Product_274</t>
  </si>
  <si>
    <t>P0275</t>
  </si>
  <si>
    <t>Product_275</t>
  </si>
  <si>
    <t>P0276</t>
  </si>
  <si>
    <t>Product_276</t>
  </si>
  <si>
    <t>P0277</t>
  </si>
  <si>
    <t>Product_277</t>
  </si>
  <si>
    <t>P0278</t>
  </si>
  <si>
    <t>Product_278</t>
  </si>
  <si>
    <t>P0279</t>
  </si>
  <si>
    <t>Product_279</t>
  </si>
  <si>
    <t>P0280</t>
  </si>
  <si>
    <t>Product_280</t>
  </si>
  <si>
    <t>P0281</t>
  </si>
  <si>
    <t>Product_281</t>
  </si>
  <si>
    <t>P0282</t>
  </si>
  <si>
    <t>Product_282</t>
  </si>
  <si>
    <t>P0283</t>
  </si>
  <si>
    <t>Product_283</t>
  </si>
  <si>
    <t>P0284</t>
  </si>
  <si>
    <t>Product_284</t>
  </si>
  <si>
    <t>P0285</t>
  </si>
  <si>
    <t>Product_285</t>
  </si>
  <si>
    <t>P0286</t>
  </si>
  <si>
    <t>Product_286</t>
  </si>
  <si>
    <t>P0287</t>
  </si>
  <si>
    <t>Product_287</t>
  </si>
  <si>
    <t>P0288</t>
  </si>
  <si>
    <t>Product_288</t>
  </si>
  <si>
    <t>P0289</t>
  </si>
  <si>
    <t>Product_289</t>
  </si>
  <si>
    <t>P0290</t>
  </si>
  <si>
    <t>Product_290</t>
  </si>
  <si>
    <t>P0291</t>
  </si>
  <si>
    <t>Product_291</t>
  </si>
  <si>
    <t>P0292</t>
  </si>
  <si>
    <t>Product_292</t>
  </si>
  <si>
    <t>P0293</t>
  </si>
  <si>
    <t>Product_293</t>
  </si>
  <si>
    <t>P0294</t>
  </si>
  <si>
    <t>Product_294</t>
  </si>
  <si>
    <t>P0295</t>
  </si>
  <si>
    <t>Product_295</t>
  </si>
  <si>
    <t>P0296</t>
  </si>
  <si>
    <t>Product_296</t>
  </si>
  <si>
    <t>P0297</t>
  </si>
  <si>
    <t>Product_297</t>
  </si>
  <si>
    <t>P0298</t>
  </si>
  <si>
    <t>Product_298</t>
  </si>
  <si>
    <t>P0299</t>
  </si>
  <si>
    <t>Product_299</t>
  </si>
  <si>
    <t>P0300</t>
  </si>
  <si>
    <t>Product_300</t>
  </si>
  <si>
    <t>P0301</t>
  </si>
  <si>
    <t>Product_301</t>
  </si>
  <si>
    <t>P0302</t>
  </si>
  <si>
    <t>Product_302</t>
  </si>
  <si>
    <t>P0303</t>
  </si>
  <si>
    <t>Product_303</t>
  </si>
  <si>
    <t>P0304</t>
  </si>
  <si>
    <t>Product_304</t>
  </si>
  <si>
    <t>P0305</t>
  </si>
  <si>
    <t>Product_305</t>
  </si>
  <si>
    <t>P0306</t>
  </si>
  <si>
    <t>Product_306</t>
  </si>
  <si>
    <t>P0307</t>
  </si>
  <si>
    <t>Product_307</t>
  </si>
  <si>
    <t>P0308</t>
  </si>
  <si>
    <t>Product_308</t>
  </si>
  <si>
    <t>P0309</t>
  </si>
  <si>
    <t>Product_309</t>
  </si>
  <si>
    <t>P0310</t>
  </si>
  <si>
    <t>Product_310</t>
  </si>
  <si>
    <t>P0311</t>
  </si>
  <si>
    <t>Product_311</t>
  </si>
  <si>
    <t>P0312</t>
  </si>
  <si>
    <t>Product_312</t>
  </si>
  <si>
    <t>P0313</t>
  </si>
  <si>
    <t>Product_313</t>
  </si>
  <si>
    <t>P0314</t>
  </si>
  <si>
    <t>Product_314</t>
  </si>
  <si>
    <t>P0315</t>
  </si>
  <si>
    <t>Product_315</t>
  </si>
  <si>
    <t>P0316</t>
  </si>
  <si>
    <t>Product_316</t>
  </si>
  <si>
    <t>P0317</t>
  </si>
  <si>
    <t>Product_317</t>
  </si>
  <si>
    <t>P0318</t>
  </si>
  <si>
    <t>Product_318</t>
  </si>
  <si>
    <t>P0319</t>
  </si>
  <si>
    <t>Product_319</t>
  </si>
  <si>
    <t>P0320</t>
  </si>
  <si>
    <t>Product_320</t>
  </si>
  <si>
    <t>P0321</t>
  </si>
  <si>
    <t>Product_321</t>
  </si>
  <si>
    <t>P0322</t>
  </si>
  <si>
    <t>Product_322</t>
  </si>
  <si>
    <t>P0323</t>
  </si>
  <si>
    <t>Product_323</t>
  </si>
  <si>
    <t>P0324</t>
  </si>
  <si>
    <t>Product_324</t>
  </si>
  <si>
    <t>P0325</t>
  </si>
  <si>
    <t>Product_325</t>
  </si>
  <si>
    <t>P0326</t>
  </si>
  <si>
    <t>Product_326</t>
  </si>
  <si>
    <t>P0327</t>
  </si>
  <si>
    <t>Product_327</t>
  </si>
  <si>
    <t>P0328</t>
  </si>
  <si>
    <t>Product_328</t>
  </si>
  <si>
    <t>P0329</t>
  </si>
  <si>
    <t>Product_329</t>
  </si>
  <si>
    <t>P0330</t>
  </si>
  <si>
    <t>Product_330</t>
  </si>
  <si>
    <t>P0331</t>
  </si>
  <si>
    <t>Product_331</t>
  </si>
  <si>
    <t>P0332</t>
  </si>
  <si>
    <t>Product_332</t>
  </si>
  <si>
    <t>P0333</t>
  </si>
  <si>
    <t>Product_333</t>
  </si>
  <si>
    <t>P0334</t>
  </si>
  <si>
    <t>Product_334</t>
  </si>
  <si>
    <t>P0335</t>
  </si>
  <si>
    <t>Product_335</t>
  </si>
  <si>
    <t>P0336</t>
  </si>
  <si>
    <t>Product_336</t>
  </si>
  <si>
    <t>P0337</t>
  </si>
  <si>
    <t>Product_337</t>
  </si>
  <si>
    <t>P0338</t>
  </si>
  <si>
    <t>Product_338</t>
  </si>
  <si>
    <t>P0339</t>
  </si>
  <si>
    <t>Product_339</t>
  </si>
  <si>
    <t>P0340</t>
  </si>
  <si>
    <t>Product_340</t>
  </si>
  <si>
    <t>P0341</t>
  </si>
  <si>
    <t>Product_341</t>
  </si>
  <si>
    <t>P0342</t>
  </si>
  <si>
    <t>Product_342</t>
  </si>
  <si>
    <t>P0343</t>
  </si>
  <si>
    <t>Product_343</t>
  </si>
  <si>
    <t>P0344</t>
  </si>
  <si>
    <t>Product_344</t>
  </si>
  <si>
    <t>P0345</t>
  </si>
  <si>
    <t>Product_345</t>
  </si>
  <si>
    <t>P0346</t>
  </si>
  <si>
    <t>Product_346</t>
  </si>
  <si>
    <t>P0347</t>
  </si>
  <si>
    <t>Product_347</t>
  </si>
  <si>
    <t>P0348</t>
  </si>
  <si>
    <t>Product_348</t>
  </si>
  <si>
    <t>P0349</t>
  </si>
  <si>
    <t>Product_349</t>
  </si>
  <si>
    <t>P0350</t>
  </si>
  <si>
    <t>Product_350</t>
  </si>
  <si>
    <t>P0351</t>
  </si>
  <si>
    <t>Product_351</t>
  </si>
  <si>
    <t>P0352</t>
  </si>
  <si>
    <t>Product_352</t>
  </si>
  <si>
    <t>P0353</t>
  </si>
  <si>
    <t>Product_353</t>
  </si>
  <si>
    <t>P0354</t>
  </si>
  <si>
    <t>Product_354</t>
  </si>
  <si>
    <t>P0355</t>
  </si>
  <si>
    <t>Product_355</t>
  </si>
  <si>
    <t>P0356</t>
  </si>
  <si>
    <t>Product_356</t>
  </si>
  <si>
    <t>P0357</t>
  </si>
  <si>
    <t>Product_357</t>
  </si>
  <si>
    <t>P0358</t>
  </si>
  <si>
    <t>Product_358</t>
  </si>
  <si>
    <t>P0359</t>
  </si>
  <si>
    <t>Product_359</t>
  </si>
  <si>
    <t>P0360</t>
  </si>
  <si>
    <t>Product_360</t>
  </si>
  <si>
    <t>P0361</t>
  </si>
  <si>
    <t>Product_361</t>
  </si>
  <si>
    <t>P0362</t>
  </si>
  <si>
    <t>Product_362</t>
  </si>
  <si>
    <t>P0363</t>
  </si>
  <si>
    <t>Product_363</t>
  </si>
  <si>
    <t>P0364</t>
  </si>
  <si>
    <t>Product_364</t>
  </si>
  <si>
    <t>P0365</t>
  </si>
  <si>
    <t>Product_365</t>
  </si>
  <si>
    <t>P0366</t>
  </si>
  <si>
    <t>Product_366</t>
  </si>
  <si>
    <t>P0367</t>
  </si>
  <si>
    <t>Product_367</t>
  </si>
  <si>
    <t>P0368</t>
  </si>
  <si>
    <t>Product_368</t>
  </si>
  <si>
    <t>P0369</t>
  </si>
  <si>
    <t>Product_369</t>
  </si>
  <si>
    <t>P0370</t>
  </si>
  <si>
    <t>Product_370</t>
  </si>
  <si>
    <t>P0371</t>
  </si>
  <si>
    <t>Product_371</t>
  </si>
  <si>
    <t>P0372</t>
  </si>
  <si>
    <t>Product_372</t>
  </si>
  <si>
    <t>P0373</t>
  </si>
  <si>
    <t>Product_373</t>
  </si>
  <si>
    <t>P0374</t>
  </si>
  <si>
    <t>Product_374</t>
  </si>
  <si>
    <t>P0375</t>
  </si>
  <si>
    <t>Product_375</t>
  </si>
  <si>
    <t>P0376</t>
  </si>
  <si>
    <t>Product_376</t>
  </si>
  <si>
    <t>P0377</t>
  </si>
  <si>
    <t>Product_377</t>
  </si>
  <si>
    <t>P0378</t>
  </si>
  <si>
    <t>Product_378</t>
  </si>
  <si>
    <t>P0379</t>
  </si>
  <si>
    <t>Product_379</t>
  </si>
  <si>
    <t>P0380</t>
  </si>
  <si>
    <t>Product_380</t>
  </si>
  <si>
    <t>P0381</t>
  </si>
  <si>
    <t>Product_381</t>
  </si>
  <si>
    <t>P0382</t>
  </si>
  <si>
    <t>Product_382</t>
  </si>
  <si>
    <t>P0383</t>
  </si>
  <si>
    <t>Product_383</t>
  </si>
  <si>
    <t>P0384</t>
  </si>
  <si>
    <t>Product_384</t>
  </si>
  <si>
    <t>P0385</t>
  </si>
  <si>
    <t>Product_385</t>
  </si>
  <si>
    <t>P0386</t>
  </si>
  <si>
    <t>Product_386</t>
  </si>
  <si>
    <t>P0387</t>
  </si>
  <si>
    <t>Product_387</t>
  </si>
  <si>
    <t>P0388</t>
  </si>
  <si>
    <t>Product_388</t>
  </si>
  <si>
    <t>P0389</t>
  </si>
  <si>
    <t>Product_389</t>
  </si>
  <si>
    <t>P0390</t>
  </si>
  <si>
    <t>Product_390</t>
  </si>
  <si>
    <t>P0391</t>
  </si>
  <si>
    <t>Product_391</t>
  </si>
  <si>
    <t>P0392</t>
  </si>
  <si>
    <t>Product_392</t>
  </si>
  <si>
    <t>P0393</t>
  </si>
  <si>
    <t>Product_393</t>
  </si>
  <si>
    <t>P0394</t>
  </si>
  <si>
    <t>Product_394</t>
  </si>
  <si>
    <t>P0395</t>
  </si>
  <si>
    <t>Product_395</t>
  </si>
  <si>
    <t>P0396</t>
  </si>
  <si>
    <t>Product_396</t>
  </si>
  <si>
    <t>P0397</t>
  </si>
  <si>
    <t>Product_397</t>
  </si>
  <si>
    <t>P0398</t>
  </si>
  <si>
    <t>Product_398</t>
  </si>
  <si>
    <t>P0399</t>
  </si>
  <si>
    <t>Product_399</t>
  </si>
  <si>
    <t>P0400</t>
  </si>
  <si>
    <t>Product_400</t>
  </si>
  <si>
    <t>P0401</t>
  </si>
  <si>
    <t>Product_401</t>
  </si>
  <si>
    <t>P0402</t>
  </si>
  <si>
    <t>Product_402</t>
  </si>
  <si>
    <t>P0403</t>
  </si>
  <si>
    <t>Product_403</t>
  </si>
  <si>
    <t>P0404</t>
  </si>
  <si>
    <t>Product_404</t>
  </si>
  <si>
    <t>P0405</t>
  </si>
  <si>
    <t>Product_405</t>
  </si>
  <si>
    <t>P0406</t>
  </si>
  <si>
    <t>Product_406</t>
  </si>
  <si>
    <t>P0407</t>
  </si>
  <si>
    <t>Product_407</t>
  </si>
  <si>
    <t>P0408</t>
  </si>
  <si>
    <t>Product_408</t>
  </si>
  <si>
    <t>P0409</t>
  </si>
  <si>
    <t>Product_409</t>
  </si>
  <si>
    <t>P0410</t>
  </si>
  <si>
    <t>Product_410</t>
  </si>
  <si>
    <t>P0411</t>
  </si>
  <si>
    <t>Product_411</t>
  </si>
  <si>
    <t>P0412</t>
  </si>
  <si>
    <t>Product_412</t>
  </si>
  <si>
    <t>P0413</t>
  </si>
  <si>
    <t>Product_413</t>
  </si>
  <si>
    <t>P0414</t>
  </si>
  <si>
    <t>Product_414</t>
  </si>
  <si>
    <t>P0415</t>
  </si>
  <si>
    <t>Product_415</t>
  </si>
  <si>
    <t>P0416</t>
  </si>
  <si>
    <t>Product_416</t>
  </si>
  <si>
    <t>P0417</t>
  </si>
  <si>
    <t>Product_417</t>
  </si>
  <si>
    <t>P0418</t>
  </si>
  <si>
    <t>Product_418</t>
  </si>
  <si>
    <t>P0419</t>
  </si>
  <si>
    <t>Product_419</t>
  </si>
  <si>
    <t>P0420</t>
  </si>
  <si>
    <t>Product_420</t>
  </si>
  <si>
    <t>P0421</t>
  </si>
  <si>
    <t>Product_421</t>
  </si>
  <si>
    <t>P0422</t>
  </si>
  <si>
    <t>Product_422</t>
  </si>
  <si>
    <t>P0423</t>
  </si>
  <si>
    <t>Product_423</t>
  </si>
  <si>
    <t>P0424</t>
  </si>
  <si>
    <t>Product_424</t>
  </si>
  <si>
    <t>P0425</t>
  </si>
  <si>
    <t>Product_425</t>
  </si>
  <si>
    <t>P0426</t>
  </si>
  <si>
    <t>Product_426</t>
  </si>
  <si>
    <t>P0427</t>
  </si>
  <si>
    <t>Product_427</t>
  </si>
  <si>
    <t>P0428</t>
  </si>
  <si>
    <t>Product_428</t>
  </si>
  <si>
    <t>P0429</t>
  </si>
  <si>
    <t>Product_429</t>
  </si>
  <si>
    <t>P0430</t>
  </si>
  <si>
    <t>Product_430</t>
  </si>
  <si>
    <t>P0431</t>
  </si>
  <si>
    <t>Product_431</t>
  </si>
  <si>
    <t>P0432</t>
  </si>
  <si>
    <t>Product_432</t>
  </si>
  <si>
    <t>P0433</t>
  </si>
  <si>
    <t>Product_433</t>
  </si>
  <si>
    <t>P0434</t>
  </si>
  <si>
    <t>Product_434</t>
  </si>
  <si>
    <t>P0435</t>
  </si>
  <si>
    <t>Product_435</t>
  </si>
  <si>
    <t>P0436</t>
  </si>
  <si>
    <t>Product_436</t>
  </si>
  <si>
    <t>P0437</t>
  </si>
  <si>
    <t>Product_437</t>
  </si>
  <si>
    <t>P0438</t>
  </si>
  <si>
    <t>Product_438</t>
  </si>
  <si>
    <t>P0439</t>
  </si>
  <si>
    <t>Product_439</t>
  </si>
  <si>
    <t>P0440</t>
  </si>
  <si>
    <t>Product_440</t>
  </si>
  <si>
    <t>P0441</t>
  </si>
  <si>
    <t>Product_441</t>
  </si>
  <si>
    <t>P0442</t>
  </si>
  <si>
    <t>Product_442</t>
  </si>
  <si>
    <t>P0443</t>
  </si>
  <si>
    <t>Product_443</t>
  </si>
  <si>
    <t>P0444</t>
  </si>
  <si>
    <t>Product_444</t>
  </si>
  <si>
    <t>P0445</t>
  </si>
  <si>
    <t>Product_445</t>
  </si>
  <si>
    <t>P0446</t>
  </si>
  <si>
    <t>Product_446</t>
  </si>
  <si>
    <t>P0447</t>
  </si>
  <si>
    <t>Product_447</t>
  </si>
  <si>
    <t>P0448</t>
  </si>
  <si>
    <t>Product_448</t>
  </si>
  <si>
    <t>P0449</t>
  </si>
  <si>
    <t>Product_449</t>
  </si>
  <si>
    <t>P0450</t>
  </si>
  <si>
    <t>Product_450</t>
  </si>
  <si>
    <t>P0451</t>
  </si>
  <si>
    <t>Product_451</t>
  </si>
  <si>
    <t>P0452</t>
  </si>
  <si>
    <t>Product_452</t>
  </si>
  <si>
    <t>P0453</t>
  </si>
  <si>
    <t>Product_453</t>
  </si>
  <si>
    <t>P0454</t>
  </si>
  <si>
    <t>Product_454</t>
  </si>
  <si>
    <t>P0455</t>
  </si>
  <si>
    <t>Product_455</t>
  </si>
  <si>
    <t>P0456</t>
  </si>
  <si>
    <t>Product_456</t>
  </si>
  <si>
    <t>P0457</t>
  </si>
  <si>
    <t>Product_457</t>
  </si>
  <si>
    <t>P0458</t>
  </si>
  <si>
    <t>Product_458</t>
  </si>
  <si>
    <t>P0459</t>
  </si>
  <si>
    <t>Product_459</t>
  </si>
  <si>
    <t>P0460</t>
  </si>
  <si>
    <t>Product_460</t>
  </si>
  <si>
    <t>P0461</t>
  </si>
  <si>
    <t>Product_461</t>
  </si>
  <si>
    <t>P0462</t>
  </si>
  <si>
    <t>Product_462</t>
  </si>
  <si>
    <t>P0463</t>
  </si>
  <si>
    <t>Product_463</t>
  </si>
  <si>
    <t>P0464</t>
  </si>
  <si>
    <t>Product_464</t>
  </si>
  <si>
    <t>P0465</t>
  </si>
  <si>
    <t>Product_465</t>
  </si>
  <si>
    <t>P0466</t>
  </si>
  <si>
    <t>Product_466</t>
  </si>
  <si>
    <t>P0467</t>
  </si>
  <si>
    <t>Product_467</t>
  </si>
  <si>
    <t>P0468</t>
  </si>
  <si>
    <t>Product_468</t>
  </si>
  <si>
    <t>P0469</t>
  </si>
  <si>
    <t>Product_469</t>
  </si>
  <si>
    <t>P0470</t>
  </si>
  <si>
    <t>Product_470</t>
  </si>
  <si>
    <t>P0471</t>
  </si>
  <si>
    <t>Product_471</t>
  </si>
  <si>
    <t>P0472</t>
  </si>
  <si>
    <t>Product_472</t>
  </si>
  <si>
    <t>P0473</t>
  </si>
  <si>
    <t>Product_473</t>
  </si>
  <si>
    <t>P0474</t>
  </si>
  <si>
    <t>Product_474</t>
  </si>
  <si>
    <t>P0475</t>
  </si>
  <si>
    <t>Product_475</t>
  </si>
  <si>
    <t>P0476</t>
  </si>
  <si>
    <t>Product_476</t>
  </si>
  <si>
    <t>P0477</t>
  </si>
  <si>
    <t>Product_477</t>
  </si>
  <si>
    <t>P0478</t>
  </si>
  <si>
    <t>Product_478</t>
  </si>
  <si>
    <t>P0479</t>
  </si>
  <si>
    <t>Product_479</t>
  </si>
  <si>
    <t>P0480</t>
  </si>
  <si>
    <t>Product_480</t>
  </si>
  <si>
    <t>P0481</t>
  </si>
  <si>
    <t>Product_481</t>
  </si>
  <si>
    <t>P0482</t>
  </si>
  <si>
    <t>Product_482</t>
  </si>
  <si>
    <t>P0483</t>
  </si>
  <si>
    <t>Product_483</t>
  </si>
  <si>
    <t>P0484</t>
  </si>
  <si>
    <t>Product_484</t>
  </si>
  <si>
    <t>P0485</t>
  </si>
  <si>
    <t>Product_485</t>
  </si>
  <si>
    <t>P0486</t>
  </si>
  <si>
    <t>Product_486</t>
  </si>
  <si>
    <t>P0487</t>
  </si>
  <si>
    <t>Product_487</t>
  </si>
  <si>
    <t>P0488</t>
  </si>
  <si>
    <t>Product_488</t>
  </si>
  <si>
    <t>P0489</t>
  </si>
  <si>
    <t>Product_489</t>
  </si>
  <si>
    <t>P0490</t>
  </si>
  <si>
    <t>Product_490</t>
  </si>
  <si>
    <t>P0491</t>
  </si>
  <si>
    <t>Product_491</t>
  </si>
  <si>
    <t>P0492</t>
  </si>
  <si>
    <t>Product_492</t>
  </si>
  <si>
    <t>P0493</t>
  </si>
  <si>
    <t>Product_493</t>
  </si>
  <si>
    <t>P0494</t>
  </si>
  <si>
    <t>Product_494</t>
  </si>
  <si>
    <t>P0495</t>
  </si>
  <si>
    <t>Product_495</t>
  </si>
  <si>
    <t>P0496</t>
  </si>
  <si>
    <t>Product_496</t>
  </si>
  <si>
    <t>P0497</t>
  </si>
  <si>
    <t>Product_497</t>
  </si>
  <si>
    <t>P0498</t>
  </si>
  <si>
    <t>Product_498</t>
  </si>
  <si>
    <t>P0499</t>
  </si>
  <si>
    <t>Product_499</t>
  </si>
  <si>
    <t>P0500</t>
  </si>
  <si>
    <t>Product_500</t>
  </si>
  <si>
    <t>Remove Space</t>
  </si>
  <si>
    <t>Length 2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</si>
  <si>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</si>
  <si>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</si>
  <si>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</si>
  <si>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</si>
  <si>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</si>
  <si>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</si>
  <si>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</si>
  <si>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</si>
  <si>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</si>
  <si>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</si>
  <si>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</si>
  <si>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</si>
  <si>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</si>
  <si>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</si>
  <si>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</si>
  <si>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</si>
  <si>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</si>
  <si>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</si>
  <si>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</si>
  <si>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</si>
  <si>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</si>
  <si>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Material</t>
  </si>
  <si>
    <t>Proper</t>
  </si>
  <si>
    <t>ajiT gupta</t>
  </si>
  <si>
    <t>ayuSh triphati</t>
  </si>
  <si>
    <t xml:space="preserve">maruti chavan </t>
  </si>
  <si>
    <t>Proper case</t>
  </si>
  <si>
    <t>Upper case</t>
  </si>
  <si>
    <t>Lower case</t>
  </si>
  <si>
    <t>Mobile</t>
  </si>
  <si>
    <t>Headphones</t>
  </si>
  <si>
    <t>Laptop</t>
  </si>
  <si>
    <t>Mumbai-400086</t>
  </si>
  <si>
    <t>Surat-400989</t>
  </si>
  <si>
    <t>Pune-400605</t>
  </si>
  <si>
    <t>Surat</t>
  </si>
  <si>
    <t>City - Pincode</t>
  </si>
  <si>
    <t>Mumbai</t>
  </si>
  <si>
    <t xml:space="preserve">City </t>
  </si>
  <si>
    <t>Pune</t>
  </si>
  <si>
    <t xml:space="preserve"> Pincode</t>
  </si>
  <si>
    <t>City</t>
  </si>
  <si>
    <t>Pincode</t>
  </si>
  <si>
    <t>Place - Pncode</t>
  </si>
  <si>
    <t>Golibar-400054</t>
  </si>
  <si>
    <t>Santacruz-400056</t>
  </si>
  <si>
    <t>Khar-400054</t>
  </si>
  <si>
    <t>Bhaynder-401105</t>
  </si>
  <si>
    <t>Place</t>
  </si>
  <si>
    <t>Column1</t>
  </si>
  <si>
    <t>stock</t>
  </si>
  <si>
    <t>abc</t>
  </si>
  <si>
    <t>xyz</t>
  </si>
  <si>
    <t>Emp__001</t>
  </si>
  <si>
    <t>Emp__002</t>
  </si>
  <si>
    <t>Emp__003</t>
  </si>
  <si>
    <t>Emp ID</t>
  </si>
  <si>
    <t>Salesman</t>
  </si>
  <si>
    <t>Incentive</t>
  </si>
  <si>
    <t>Depatment</t>
  </si>
  <si>
    <t>Target Status</t>
  </si>
  <si>
    <t>Column2</t>
  </si>
  <si>
    <t>Column3</t>
  </si>
  <si>
    <t>Column4</t>
  </si>
  <si>
    <t>Column5</t>
  </si>
  <si>
    <t>Column6</t>
  </si>
  <si>
    <t>Target Condition</t>
  </si>
  <si>
    <t>Sales Achieved</t>
  </si>
  <si>
    <t>&gt;=50000</t>
  </si>
  <si>
    <t>&lt;50000</t>
  </si>
  <si>
    <t>Status</t>
  </si>
  <si>
    <t>Completed</t>
  </si>
  <si>
    <t>Incomplete</t>
  </si>
  <si>
    <t>INCENTIVE CALCULATIONS</t>
  </si>
  <si>
    <t>75000&gt;</t>
  </si>
  <si>
    <t>50000&gt;</t>
  </si>
  <si>
    <t>&lt;50000)</t>
  </si>
  <si>
    <t>Percentage</t>
  </si>
  <si>
    <t>Working(years)</t>
  </si>
  <si>
    <t xml:space="preserve">              Both</t>
  </si>
  <si>
    <t>Promotion</t>
  </si>
  <si>
    <t>Yes</t>
  </si>
  <si>
    <t>5&gt;</t>
  </si>
  <si>
    <t xml:space="preserve">            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</si>
  <si>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</si>
  <si>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Column7</t>
  </si>
  <si>
    <t>(AND)Promotion</t>
  </si>
  <si>
    <t>(OR)Promotion</t>
  </si>
  <si>
    <t>Sale Date</t>
  </si>
  <si>
    <t>Region</t>
  </si>
  <si>
    <t>State</t>
  </si>
  <si>
    <t>Product</t>
  </si>
  <si>
    <t>Quantity</t>
  </si>
  <si>
    <t>Price per Unit</t>
  </si>
  <si>
    <t>Sales Amount</t>
  </si>
  <si>
    <t>West</t>
  </si>
  <si>
    <t>Gujarat</t>
  </si>
  <si>
    <t>South</t>
  </si>
  <si>
    <t>Tamil Nadu</t>
  </si>
  <si>
    <t>Chennai</t>
  </si>
  <si>
    <t>Coimbatore</t>
  </si>
  <si>
    <t>Karnataka</t>
  </si>
  <si>
    <t>Mysuru</t>
  </si>
  <si>
    <t>Maharashtra</t>
  </si>
  <si>
    <t>Hubli</t>
  </si>
  <si>
    <t>Nagpur</t>
  </si>
  <si>
    <t>Madurai</t>
  </si>
  <si>
    <t>Bengaluru</t>
  </si>
  <si>
    <t>North</t>
  </si>
  <si>
    <t>Delhi</t>
  </si>
  <si>
    <t>Dwarka</t>
  </si>
  <si>
    <t>New Delhi</t>
  </si>
  <si>
    <t>Vadodara</t>
  </si>
  <si>
    <t>Karol Bagh</t>
  </si>
  <si>
    <t>Ahmedabad</t>
  </si>
  <si>
    <t>Groceries</t>
  </si>
  <si>
    <t>Customer Name</t>
  </si>
  <si>
    <t>Product Category</t>
  </si>
  <si>
    <t>Meera</t>
  </si>
  <si>
    <t>Table</t>
  </si>
  <si>
    <t>Vihaan</t>
  </si>
  <si>
    <t>Ruler</t>
  </si>
  <si>
    <t>Nishant</t>
  </si>
  <si>
    <t>Dress</t>
  </si>
  <si>
    <t>Aditi</t>
  </si>
  <si>
    <t>Lentils</t>
  </si>
  <si>
    <t>Ishita</t>
  </si>
  <si>
    <t>Eraser</t>
  </si>
  <si>
    <t>Aarav</t>
  </si>
  <si>
    <t>Riya</t>
  </si>
  <si>
    <t>Pants</t>
  </si>
  <si>
    <t>Aryan</t>
  </si>
  <si>
    <t>Shirt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</si>
  <si>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</si>
  <si>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</si>
  <si>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</si>
  <si>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</si>
  <si>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</si>
  <si>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</si>
  <si>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</si>
  <si>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</si>
  <si>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</si>
  <si>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</si>
  <si>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</si>
  <si>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</si>
  <si>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</si>
  <si>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Employee Name</t>
  </si>
  <si>
    <t>Employee01</t>
  </si>
  <si>
    <t>Employee02</t>
  </si>
  <si>
    <t>Employee03</t>
  </si>
  <si>
    <t>Employee04</t>
  </si>
  <si>
    <t>Employee05</t>
  </si>
  <si>
    <t>Employee06</t>
  </si>
  <si>
    <t>Employee07</t>
  </si>
  <si>
    <t>Employee08</t>
  </si>
  <si>
    <t>Employee09</t>
  </si>
  <si>
    <t>Employee10</t>
  </si>
  <si>
    <t>Employee11</t>
  </si>
  <si>
    <t>Employee12</t>
  </si>
  <si>
    <t>Emp_type</t>
  </si>
  <si>
    <t>Grade1</t>
  </si>
  <si>
    <t>Grade2</t>
  </si>
  <si>
    <t>Grade3</t>
  </si>
  <si>
    <t>Grade4</t>
  </si>
  <si>
    <t>Grade5</t>
  </si>
  <si>
    <t>Grade6</t>
  </si>
  <si>
    <t>Class/Subjects</t>
  </si>
  <si>
    <t>8:00 AM - 8:45 AM</t>
  </si>
  <si>
    <t>8:45 AM - 9:30 AM</t>
  </si>
  <si>
    <t>9:30 AM - 10:15 AM</t>
  </si>
  <si>
    <t>10:15 AM - 11:00 AM</t>
  </si>
  <si>
    <t>11:00 AM - 11:15 AM (Break)</t>
  </si>
  <si>
    <t>11:15 AM - 12:00 PM</t>
  </si>
  <si>
    <t>12:00 PM - 12:45 PM</t>
  </si>
  <si>
    <t>12:45 PM - 1:30 PM</t>
  </si>
  <si>
    <t>1:30 PM - 2:15 PM</t>
  </si>
  <si>
    <t>Mathematics</t>
  </si>
  <si>
    <t>Mathematics (Ms. Johnson)</t>
  </si>
  <si>
    <t>Mathematics (Mr. Smith)</t>
  </si>
  <si>
    <t>Mathematics (Mrs. Lee)</t>
  </si>
  <si>
    <t>Mathematics (Mr. Brown)</t>
  </si>
  <si>
    <t>Break</t>
  </si>
  <si>
    <t>Mathematics (Mr. Wilson)</t>
  </si>
  <si>
    <t>Mathematics (Ms. Taylor)</t>
  </si>
  <si>
    <t>Mathematics (Mr. White)</t>
  </si>
  <si>
    <t>Science</t>
  </si>
  <si>
    <t>Science (Mr. Smith)</t>
  </si>
  <si>
    <t>Science (Mrs. Lee)</t>
  </si>
  <si>
    <t>Science (Mr. Brown)</t>
  </si>
  <si>
    <t>Science (Ms. Davis)</t>
  </si>
  <si>
    <t>Science (Ms. Taylor)</t>
  </si>
  <si>
    <t>Science (Mr. White)</t>
  </si>
  <si>
    <t>Science (Ms. Johnson)</t>
  </si>
  <si>
    <t>English</t>
  </si>
  <si>
    <t>English (Mrs. Lee)</t>
  </si>
  <si>
    <t>English (Mr. Brown)</t>
  </si>
  <si>
    <t>English (Ms. Davis)</t>
  </si>
  <si>
    <t>English (Mr. Wilson)</t>
  </si>
  <si>
    <t>English (Mr. White)</t>
  </si>
  <si>
    <t>English (Ms. Johnson)</t>
  </si>
  <si>
    <t>English (Mr. Smith)</t>
  </si>
  <si>
    <t>History</t>
  </si>
  <si>
    <t>History (Mr. Brown)</t>
  </si>
  <si>
    <t>History (Ms. Davis)</t>
  </si>
  <si>
    <t>History (Mr. Wilson)</t>
  </si>
  <si>
    <t>History (Ms. Taylor)</t>
  </si>
  <si>
    <t>History (Ms. Johnson)</t>
  </si>
  <si>
    <t>History (Mr. Smith)</t>
  </si>
  <si>
    <t>History (Mrs. Lee)</t>
  </si>
  <si>
    <t>Geography</t>
  </si>
  <si>
    <t>Geography (Ms. Davis)</t>
  </si>
  <si>
    <t>Geography (Mr. Wilson)</t>
  </si>
  <si>
    <t>Geography (Ms. Taylor)</t>
  </si>
  <si>
    <t>Geography (Mr. White)</t>
  </si>
  <si>
    <t>Geography (Mr. Smith)</t>
  </si>
  <si>
    <t>Geography (Mrs. Lee)</t>
  </si>
  <si>
    <t>Geography (Mr. Brown)</t>
  </si>
  <si>
    <t>Physical Education</t>
  </si>
  <si>
    <t>Physical Education (Mr. Wilson)</t>
  </si>
  <si>
    <t>Physical Education (Ms. Taylor)</t>
  </si>
  <si>
    <t>Physical Education (Mr. White)</t>
  </si>
  <si>
    <t>Physical Education (Ms. Johnson)</t>
  </si>
  <si>
    <t>Physical Education (Mrs. Lee)</t>
  </si>
  <si>
    <t>Physical Education (Mr. Brown)</t>
  </si>
  <si>
    <t>Physical Education (Ms. Davis)</t>
  </si>
  <si>
    <t>Art</t>
  </si>
  <si>
    <t>Art (Ms. Taylor)</t>
  </si>
  <si>
    <t>Art (Mr. White)</t>
  </si>
  <si>
    <t>Art (Ms. Johnson)</t>
  </si>
  <si>
    <t>Art (Mr. Smith)</t>
  </si>
  <si>
    <t>Art (Mr. Brown)</t>
  </si>
  <si>
    <t>Art (Ms. Davis)</t>
  </si>
  <si>
    <t>Art (Mr. Wilson)</t>
  </si>
  <si>
    <t>Computer Science</t>
  </si>
  <si>
    <t>Computer Science (Mr. White)</t>
  </si>
  <si>
    <t>Computer Science (Ms. Johnson)</t>
  </si>
  <si>
    <t>Computer Science (Mr. Smith)</t>
  </si>
  <si>
    <t>Computer Science (Mrs. Lee)</t>
  </si>
  <si>
    <t>Computer Science (Ms. Davis)</t>
  </si>
  <si>
    <t>Computer Science (Mr. Wilson)</t>
  </si>
  <si>
    <t>Computer Science (Ms. Taylor)</t>
  </si>
  <si>
    <t>Rows</t>
  </si>
  <si>
    <t>Columns</t>
  </si>
  <si>
    <t>Method 2</t>
  </si>
  <si>
    <t>Method 1</t>
  </si>
  <si>
    <t>Product Name/Region</t>
  </si>
  <si>
    <t>Product Name/State</t>
  </si>
  <si>
    <t>Max Sales</t>
  </si>
  <si>
    <t>Max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</si>
</sst>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\₹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Play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right"/>
    </xf>
    <xf numFmtId="165" fontId="0" fillId="2" borderId="0" xfId="0" applyNumberFormat="1" applyFill="1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vertical="center" wrapText="1"/>
    </xf>
    <xf numFmtId="0" fontId="0" fillId="2" borderId="0" xfId="0" applyFill="1"/>
    <xf numFmtId="0" fontId="4" fillId="0" borderId="0" xfId="0" applyFont="1" applyAlignment="1">
      <alignment vertic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/>
    <xf numFmtId="1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0" fillId="0" borderId="10" xfId="0" applyBorder="1" applyAlignment="1">
      <alignment wrapText="1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ont>
        <b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numFmt numFmtId="164" formatCode="dd\-mm\-yyyy"/>
      <alignment horizontal="right" vertical="bottom" textRotation="0" wrapText="0" indent="0" justifyLastLine="0" shrinkToFit="0" readingOrder="0"/>
    </dxf>
    <dxf>
      <numFmt numFmtId="165" formatCode="\₹#,##0.0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B8BD8DC8-FEA0-4DE6-9C0D-10D7B8BF61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1211B4-B5D7-41E6-8E6B-03D44F01E01B}" name="Table2" displayName="Table2" ref="A1:F31" totalsRowShown="0" headerRowDxfId="26">
  <autoFilter ref="A1:F31" xr:uid="{291211B4-B5D7-41E6-8E6B-03D44F01E01B}"/>
  <tableColumns count="6">
    <tableColumn id="1" xr3:uid="{C8FA0C1A-FAF7-490F-A612-6C30EAEA1E72}" name="Employee ID"/>
    <tableColumn id="2" xr3:uid="{83782BDB-8CA2-4C71-814C-21695F39BAE1}" name="Name"/>
    <tableColumn id="3" xr3:uid="{128F2699-221D-4D4F-9161-1DF13172C54A}" name="Department"/>
    <tableColumn id="4" xr3:uid="{0A6794D0-7283-4461-93D8-368EDEF7E683}" name="Salary" dataDxfId="25"/>
    <tableColumn id="5" xr3:uid="{5284C2DD-F848-474E-BB40-24AA5A56A220}" name="Joining Date" dataDxfId="24"/>
    <tableColumn id="7" xr3:uid="{033BAC13-3A7A-423A-87F3-1C018125767A}" name="Column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B3725-6897-4B06-84D5-8193C19945CC}" name="Table4" displayName="Table4" ref="I3:P13" totalsRowShown="0" headerRowDxfId="23">
  <autoFilter ref="I3:P13" xr:uid="{4AAB3725-6897-4B06-84D5-8193C19945CC}"/>
  <tableColumns count="8">
    <tableColumn id="1" xr3:uid="{1F4F171E-7243-4AE5-B7A5-3741099B33C1}" name="SUB 1"/>
    <tableColumn id="2" xr3:uid="{577A3C94-9914-48E4-ABAF-819301398DF8}" name="SUB 2"/>
    <tableColumn id="3" xr3:uid="{AABA7978-7555-4B45-8C92-CABA1317FA4D}" name="SUB 3"/>
    <tableColumn id="4" xr3:uid="{99B48AE7-22AB-472B-B941-8F6E40E8D370}" name="TOTALL">
      <calculatedColumnFormula>SUM(I4:K4)+$H$16</calculatedColumnFormula>
    </tableColumn>
    <tableColumn id="5" xr3:uid="{7F81A82E-EC15-4548-A9F4-83005CEE0244}" name="MAX">
      <calculatedColumnFormula>MAX(I4:K4)</calculatedColumnFormula>
    </tableColumn>
    <tableColumn id="6" xr3:uid="{0438C316-C6AD-4E05-9DB2-34D5B460850E}" name="MIN">
      <calculatedColumnFormula>MIN(I4:K4)</calculatedColumnFormula>
    </tableColumn>
    <tableColumn id="7" xr3:uid="{4DCAAD27-B63B-43AF-998A-40F83DF0A4CB}" name="AVERAGE">
      <calculatedColumnFormula>AVERAGE(I4:K4)</calculatedColumnFormula>
    </tableColumn>
    <tableColumn id="8" xr3:uid="{96AFEAF1-E578-4E9E-9BBD-6F1600658375}" name="COUNT">
      <calculatedColumnFormula>COUNT(I4:K4)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B42525-5B1A-4831-85FD-AAB4C38662BC}" name="Table3" displayName="Table3" ref="A1:F501" totalsRowShown="0" headerRowDxfId="0" headerRowBorderDxfId="8" tableBorderDxfId="9" totalsRowBorderDxfId="7">
  <autoFilter ref="A1:F501" xr:uid="{29B42525-5B1A-4831-85FD-AAB4C38662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787CD38-E147-46A8-9B12-5F6A8EF4A038}" name="Product Code" dataDxfId="6"/>
    <tableColumn id="2" xr3:uid="{3863009F-359F-47B0-9252-A28D56F355F2}" name="Product Name" dataDxfId="5"/>
    <tableColumn id="3" xr3:uid="{82AFDFB0-C020-4342-B1DE-6E102E373DE1}" name="Category" dataDxfId="4"/>
    <tableColumn id="4" xr3:uid="{08462F9D-A253-42BD-9588-47D79B8C0B56}" name="Price" dataDxfId="3"/>
    <tableColumn id="5" xr3:uid="{8ABEEC56-D6DB-4AE8-8BD0-1279BADED480}" name="Stock" dataDxfId="2"/>
    <tableColumn id="6" xr3:uid="{01FD87AC-1EB0-44AB-80A3-D17D4BB6CFBD}" name="Product Description" dataDxfId="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5F1B6-3771-4655-87E8-D6B1CFB709B6}" name="Table1" displayName="Table1" ref="A1:G2" totalsRowShown="0" headerRowDxfId="22" dataDxfId="21">
  <autoFilter ref="A1:G2" xr:uid="{78C5F1B6-3771-4655-87E8-D6B1CFB709B6}"/>
  <tableColumns count="7">
    <tableColumn id="1" xr3:uid="{754434A8-D0B0-40A4-BA46-382E48C25127}" name="Column1" dataDxfId="20"/>
    <tableColumn id="2" xr3:uid="{F420B44D-9A91-4579-B1B0-64DE7C7E6125}" name="Column2" dataDxfId="19"/>
    <tableColumn id="3" xr3:uid="{29795FC8-5764-4360-AF51-F61C5558DB6B}" name="Column3" dataDxfId="18"/>
    <tableColumn id="4" xr3:uid="{ADD2991B-C41A-4A2A-8C21-AE28389C670C}" name="Column4" dataDxfId="17"/>
    <tableColumn id="5" xr3:uid="{D37FF50A-EE95-44BC-87A3-78FD290BACC3}" name="Column5" dataDxfId="16"/>
    <tableColumn id="6" xr3:uid="{F3D3038C-5D63-4039-88CD-D3F665DF7A68}" name="Column6" dataDxfId="15"/>
    <tableColumn id="7" xr3:uid="{CDB14F33-27B4-4BF7-B464-908FC7BCBF36}" name="Column7" dataDxfId="1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2D35-5146-440C-B4C9-841BBEE6C8D5}">
  <dimension ref="A1:P32"/>
  <sheetViews>
    <sheetView workbookViewId="0">
      <selection activeCell="F2" sqref="F2"/>
    </sheetView>
  </sheetViews>
  <sheetFormatPr defaultRowHeight="14.25"/>
  <cols>
    <col min="1" max="1" width="15.3984375" bestFit="1" customWidth="1"/>
    <col min="2" max="2" width="11.33203125" bestFit="1" customWidth="1"/>
    <col min="3" max="3" width="15" bestFit="1" customWidth="1"/>
    <col min="4" max="4" width="10" bestFit="1" customWidth="1"/>
    <col min="5" max="5" width="15.1328125" bestFit="1" customWidth="1"/>
    <col min="6" max="6" width="12.3984375" bestFit="1" customWidth="1"/>
    <col min="10" max="10" width="10.33203125" customWidth="1"/>
    <col min="15" max="15" width="10.06640625" customWidth="1"/>
  </cols>
  <sheetData>
    <row r="1" spans="1:16">
      <c r="A1" s="1" t="s">
        <v>0</v>
      </c>
      <c r="B1" s="1" t="s">
        <v>1</v>
      </c>
      <c r="C1" s="1" t="s">
        <v>2</v>
      </c>
      <c r="D1" s="5" t="s">
        <v>3</v>
      </c>
      <c r="E1" s="3" t="s">
        <v>4</v>
      </c>
      <c r="F1" s="1" t="s">
        <v>1195</v>
      </c>
    </row>
    <row r="2" spans="1:16">
      <c r="A2" t="s">
        <v>5</v>
      </c>
      <c r="B2" t="s">
        <v>6</v>
      </c>
      <c r="C2" t="s">
        <v>7</v>
      </c>
      <c r="D2" s="6">
        <v>41954</v>
      </c>
      <c r="E2" s="4">
        <v>43831</v>
      </c>
      <c r="F2" t="s">
        <v>7</v>
      </c>
    </row>
    <row r="3" spans="1:16">
      <c r="A3" t="s">
        <v>9</v>
      </c>
      <c r="B3" t="s">
        <v>10</v>
      </c>
      <c r="C3" t="s">
        <v>11</v>
      </c>
      <c r="D3" s="6">
        <v>49855</v>
      </c>
      <c r="E3" s="4">
        <v>43832</v>
      </c>
      <c r="I3" s="13" t="s">
        <v>70</v>
      </c>
      <c r="J3" s="13" t="s">
        <v>71</v>
      </c>
      <c r="K3" s="13" t="s">
        <v>72</v>
      </c>
      <c r="L3" s="13" t="s">
        <v>73</v>
      </c>
      <c r="M3" s="13" t="s">
        <v>75</v>
      </c>
      <c r="N3" s="13" t="s">
        <v>76</v>
      </c>
      <c r="O3" s="13" t="s">
        <v>77</v>
      </c>
      <c r="P3" s="13" t="s">
        <v>78</v>
      </c>
    </row>
    <row r="4" spans="1:16">
      <c r="A4" t="s">
        <v>12</v>
      </c>
      <c r="B4" t="s">
        <v>13</v>
      </c>
      <c r="C4" t="s">
        <v>14</v>
      </c>
      <c r="D4" s="6">
        <v>94210</v>
      </c>
      <c r="E4" s="4">
        <v>43833</v>
      </c>
      <c r="I4">
        <v>98</v>
      </c>
      <c r="J4">
        <v>60</v>
      </c>
      <c r="K4">
        <v>68</v>
      </c>
      <c r="L4">
        <f>SUM(I4:K4)+$H$16</f>
        <v>236</v>
      </c>
      <c r="M4">
        <f>MAX(I4:K4)</f>
        <v>98</v>
      </c>
      <c r="N4">
        <f>MIN(I4:K4)</f>
        <v>60</v>
      </c>
      <c r="O4">
        <f>AVERAGE(I4:K4)</f>
        <v>75.333333333333329</v>
      </c>
      <c r="P4">
        <f>COUNT(I4:K4)</f>
        <v>3</v>
      </c>
    </row>
    <row r="5" spans="1:16">
      <c r="A5" t="s">
        <v>15</v>
      </c>
      <c r="B5" t="s">
        <v>16</v>
      </c>
      <c r="C5" t="s">
        <v>7</v>
      </c>
      <c r="D5" s="6">
        <v>74689</v>
      </c>
      <c r="E5" s="4">
        <v>43834</v>
      </c>
      <c r="I5">
        <v>90</v>
      </c>
      <c r="J5">
        <v>61</v>
      </c>
      <c r="K5">
        <v>47</v>
      </c>
      <c r="L5">
        <f t="shared" ref="L5:L13" si="0">SUM(I5:K5)+$H$16</f>
        <v>208</v>
      </c>
      <c r="M5">
        <f t="shared" ref="M5:M13" si="1">MAX(I5:K5)</f>
        <v>90</v>
      </c>
      <c r="N5">
        <f t="shared" ref="N5:N13" si="2">MIN(I5:K5)</f>
        <v>47</v>
      </c>
      <c r="O5">
        <f t="shared" ref="O5:O12" si="3">AVERAGE(I5:K5)</f>
        <v>66</v>
      </c>
      <c r="P5">
        <f t="shared" ref="P5:P13" si="4">COUNT(I5:K5)</f>
        <v>3</v>
      </c>
    </row>
    <row r="6" spans="1:16">
      <c r="A6" t="s">
        <v>17</v>
      </c>
      <c r="B6" t="s">
        <v>18</v>
      </c>
      <c r="C6" t="s">
        <v>11</v>
      </c>
      <c r="D6" s="6">
        <v>74689</v>
      </c>
      <c r="E6" s="4">
        <v>43835</v>
      </c>
      <c r="I6">
        <v>82</v>
      </c>
      <c r="J6">
        <v>10</v>
      </c>
      <c r="K6">
        <v>53</v>
      </c>
      <c r="L6">
        <f t="shared" si="0"/>
        <v>155</v>
      </c>
      <c r="M6">
        <f t="shared" si="1"/>
        <v>82</v>
      </c>
      <c r="N6">
        <f t="shared" si="2"/>
        <v>10</v>
      </c>
      <c r="O6">
        <f t="shared" si="3"/>
        <v>48.333333333333336</v>
      </c>
      <c r="P6">
        <f t="shared" si="4"/>
        <v>3</v>
      </c>
    </row>
    <row r="7" spans="1:16">
      <c r="A7" t="s">
        <v>19</v>
      </c>
      <c r="B7" t="s">
        <v>69</v>
      </c>
      <c r="C7" t="s">
        <v>11</v>
      </c>
      <c r="D7" s="6">
        <v>90652</v>
      </c>
      <c r="E7" s="4">
        <v>43836</v>
      </c>
      <c r="I7">
        <v>14</v>
      </c>
      <c r="J7">
        <v>52</v>
      </c>
      <c r="K7">
        <v>71</v>
      </c>
      <c r="L7">
        <f t="shared" si="0"/>
        <v>147</v>
      </c>
      <c r="M7">
        <f t="shared" si="1"/>
        <v>71</v>
      </c>
      <c r="N7">
        <f t="shared" si="2"/>
        <v>14</v>
      </c>
      <c r="O7">
        <f t="shared" si="3"/>
        <v>45.666666666666664</v>
      </c>
      <c r="P7">
        <f t="shared" si="4"/>
        <v>3</v>
      </c>
    </row>
    <row r="8" spans="1:16">
      <c r="A8" t="s">
        <v>20</v>
      </c>
      <c r="B8" t="s">
        <v>21</v>
      </c>
      <c r="C8" t="s">
        <v>14</v>
      </c>
      <c r="D8" s="6">
        <v>74652</v>
      </c>
      <c r="E8" s="4">
        <v>43837</v>
      </c>
      <c r="I8">
        <v>16</v>
      </c>
      <c r="J8">
        <v>92</v>
      </c>
      <c r="K8">
        <v>40</v>
      </c>
      <c r="L8">
        <f t="shared" si="0"/>
        <v>158</v>
      </c>
      <c r="M8">
        <f t="shared" si="1"/>
        <v>92</v>
      </c>
      <c r="N8">
        <f t="shared" si="2"/>
        <v>16</v>
      </c>
      <c r="O8">
        <f t="shared" si="3"/>
        <v>49.333333333333336</v>
      </c>
      <c r="P8">
        <f t="shared" si="4"/>
        <v>3</v>
      </c>
    </row>
    <row r="9" spans="1:16">
      <c r="A9" t="s">
        <v>22</v>
      </c>
      <c r="B9" t="s">
        <v>23</v>
      </c>
      <c r="C9" t="s">
        <v>7</v>
      </c>
      <c r="D9" s="6">
        <v>45555</v>
      </c>
      <c r="E9" s="4">
        <v>43838</v>
      </c>
      <c r="I9">
        <v>98</v>
      </c>
      <c r="J9">
        <v>62</v>
      </c>
      <c r="K9">
        <v>12</v>
      </c>
      <c r="L9">
        <f t="shared" si="0"/>
        <v>182</v>
      </c>
      <c r="M9">
        <f t="shared" si="1"/>
        <v>98</v>
      </c>
      <c r="N9">
        <f t="shared" si="2"/>
        <v>12</v>
      </c>
      <c r="O9">
        <f t="shared" si="3"/>
        <v>57.333333333333336</v>
      </c>
      <c r="P9">
        <f t="shared" si="4"/>
        <v>3</v>
      </c>
    </row>
    <row r="10" spans="1:16">
      <c r="A10" t="s">
        <v>24</v>
      </c>
      <c r="B10" t="s">
        <v>25</v>
      </c>
      <c r="C10" t="s">
        <v>11</v>
      </c>
      <c r="D10" s="6">
        <v>86989</v>
      </c>
      <c r="E10" s="4">
        <v>43839</v>
      </c>
      <c r="I10">
        <v>15</v>
      </c>
      <c r="J10">
        <v>21</v>
      </c>
      <c r="K10">
        <v>95</v>
      </c>
      <c r="L10">
        <f t="shared" si="0"/>
        <v>141</v>
      </c>
      <c r="M10">
        <f t="shared" si="1"/>
        <v>95</v>
      </c>
      <c r="N10">
        <f t="shared" si="2"/>
        <v>15</v>
      </c>
      <c r="O10">
        <f t="shared" si="3"/>
        <v>43.666666666666664</v>
      </c>
      <c r="P10">
        <f t="shared" si="4"/>
        <v>3</v>
      </c>
    </row>
    <row r="11" spans="1:16">
      <c r="A11" t="s">
        <v>26</v>
      </c>
      <c r="B11" t="s">
        <v>27</v>
      </c>
      <c r="C11" t="s">
        <v>14</v>
      </c>
      <c r="D11" s="6">
        <v>76667</v>
      </c>
      <c r="E11" s="4">
        <v>43840</v>
      </c>
      <c r="I11">
        <v>67</v>
      </c>
      <c r="J11">
        <v>58</v>
      </c>
      <c r="K11">
        <v>15</v>
      </c>
      <c r="L11">
        <f t="shared" si="0"/>
        <v>150</v>
      </c>
      <c r="M11">
        <f t="shared" si="1"/>
        <v>67</v>
      </c>
      <c r="N11">
        <f t="shared" si="2"/>
        <v>15</v>
      </c>
      <c r="O11">
        <f t="shared" si="3"/>
        <v>46.666666666666664</v>
      </c>
      <c r="P11">
        <f t="shared" si="4"/>
        <v>3</v>
      </c>
    </row>
    <row r="12" spans="1:16">
      <c r="A12" t="s">
        <v>28</v>
      </c>
      <c r="B12" t="s">
        <v>29</v>
      </c>
      <c r="C12" t="s">
        <v>14</v>
      </c>
      <c r="D12" s="6">
        <v>73453</v>
      </c>
      <c r="E12" s="4">
        <v>43841</v>
      </c>
      <c r="I12">
        <v>79</v>
      </c>
      <c r="J12">
        <v>47</v>
      </c>
      <c r="K12">
        <v>40</v>
      </c>
      <c r="L12">
        <f t="shared" si="0"/>
        <v>176</v>
      </c>
      <c r="M12">
        <f t="shared" si="1"/>
        <v>79</v>
      </c>
      <c r="N12">
        <f t="shared" si="2"/>
        <v>40</v>
      </c>
      <c r="O12">
        <f t="shared" si="3"/>
        <v>55.333333333333336</v>
      </c>
      <c r="P12">
        <f t="shared" si="4"/>
        <v>3</v>
      </c>
    </row>
    <row r="13" spans="1:16">
      <c r="A13" t="s">
        <v>30</v>
      </c>
      <c r="B13" t="s">
        <v>31</v>
      </c>
      <c r="C13" t="s">
        <v>11</v>
      </c>
      <c r="D13" s="6">
        <v>87657</v>
      </c>
      <c r="E13" s="4">
        <v>43842</v>
      </c>
      <c r="I13">
        <v>61</v>
      </c>
      <c r="J13">
        <v>27</v>
      </c>
      <c r="K13">
        <v>66</v>
      </c>
      <c r="L13">
        <f t="shared" si="0"/>
        <v>164</v>
      </c>
      <c r="M13">
        <f t="shared" si="1"/>
        <v>66</v>
      </c>
      <c r="N13">
        <f t="shared" si="2"/>
        <v>27</v>
      </c>
      <c r="O13">
        <f>AVERAGE(I13:K13)</f>
        <v>51.333333333333336</v>
      </c>
      <c r="P13">
        <f t="shared" si="4"/>
        <v>3</v>
      </c>
    </row>
    <row r="14" spans="1:16">
      <c r="A14" t="s">
        <v>32</v>
      </c>
      <c r="B14" t="s">
        <v>33</v>
      </c>
      <c r="C14" t="s">
        <v>8</v>
      </c>
      <c r="D14" s="6">
        <v>90657</v>
      </c>
      <c r="E14" s="4">
        <v>43843</v>
      </c>
    </row>
    <row r="15" spans="1:16">
      <c r="A15" t="s">
        <v>34</v>
      </c>
      <c r="B15" t="s">
        <v>35</v>
      </c>
      <c r="C15" t="s">
        <v>7</v>
      </c>
      <c r="D15" s="6">
        <v>98657</v>
      </c>
      <c r="E15" s="4">
        <v>43844</v>
      </c>
      <c r="H15" t="s">
        <v>74</v>
      </c>
    </row>
    <row r="16" spans="1:16">
      <c r="A16" t="s">
        <v>36</v>
      </c>
      <c r="B16" t="s">
        <v>37</v>
      </c>
      <c r="C16" t="s">
        <v>14</v>
      </c>
      <c r="D16" s="6">
        <v>56765</v>
      </c>
      <c r="E16" s="4">
        <v>43845</v>
      </c>
      <c r="H16">
        <v>10</v>
      </c>
    </row>
    <row r="17" spans="1:10">
      <c r="A17" t="s">
        <v>38</v>
      </c>
      <c r="B17" t="s">
        <v>39</v>
      </c>
      <c r="C17" t="s">
        <v>14</v>
      </c>
      <c r="D17" s="6">
        <v>63656</v>
      </c>
      <c r="E17" s="4">
        <v>43846</v>
      </c>
    </row>
    <row r="18" spans="1:10">
      <c r="A18" t="s">
        <v>40</v>
      </c>
      <c r="B18" t="s">
        <v>41</v>
      </c>
      <c r="C18" t="s">
        <v>14</v>
      </c>
      <c r="D18" s="6">
        <v>65456</v>
      </c>
      <c r="E18" s="4">
        <v>43847</v>
      </c>
      <c r="J18" s="28" t="s">
        <v>7</v>
      </c>
    </row>
    <row r="19" spans="1:10">
      <c r="A19" t="s">
        <v>42</v>
      </c>
      <c r="B19" t="s">
        <v>43</v>
      </c>
      <c r="C19" t="s">
        <v>44</v>
      </c>
      <c r="D19" s="6">
        <v>87889</v>
      </c>
      <c r="E19" s="4">
        <v>43848</v>
      </c>
      <c r="J19" s="28" t="s">
        <v>11</v>
      </c>
    </row>
    <row r="20" spans="1:10">
      <c r="A20" t="s">
        <v>45</v>
      </c>
      <c r="B20" t="s">
        <v>46</v>
      </c>
      <c r="C20" t="s">
        <v>8</v>
      </c>
      <c r="D20" s="6">
        <v>78678</v>
      </c>
      <c r="E20" s="4">
        <v>43849</v>
      </c>
      <c r="J20" s="28" t="s">
        <v>14</v>
      </c>
    </row>
    <row r="21" spans="1:10">
      <c r="A21" t="s">
        <v>47</v>
      </c>
      <c r="B21" t="s">
        <v>48</v>
      </c>
      <c r="C21" t="s">
        <v>14</v>
      </c>
      <c r="D21" s="6">
        <v>56789</v>
      </c>
      <c r="E21" s="4">
        <v>43850</v>
      </c>
      <c r="J21" s="28" t="s">
        <v>8</v>
      </c>
    </row>
    <row r="22" spans="1:10">
      <c r="A22" t="s">
        <v>49</v>
      </c>
      <c r="B22" t="s">
        <v>50</v>
      </c>
      <c r="C22" t="s">
        <v>44</v>
      </c>
      <c r="D22" s="6">
        <v>56768</v>
      </c>
      <c r="E22" s="4">
        <v>43851</v>
      </c>
      <c r="J22" s="28" t="s">
        <v>44</v>
      </c>
    </row>
    <row r="23" spans="1:10">
      <c r="A23" t="s">
        <v>51</v>
      </c>
      <c r="B23" t="s">
        <v>52</v>
      </c>
      <c r="C23" t="s">
        <v>44</v>
      </c>
      <c r="D23" s="6">
        <v>56789</v>
      </c>
      <c r="E23" s="4">
        <v>43852</v>
      </c>
    </row>
    <row r="24" spans="1:10">
      <c r="A24" t="s">
        <v>53</v>
      </c>
      <c r="B24" t="s">
        <v>54</v>
      </c>
      <c r="C24" t="s">
        <v>14</v>
      </c>
      <c r="D24" s="6">
        <v>87556</v>
      </c>
      <c r="E24" s="4">
        <v>43853</v>
      </c>
    </row>
    <row r="25" spans="1:10">
      <c r="A25" t="s">
        <v>55</v>
      </c>
      <c r="B25" t="s">
        <v>56</v>
      </c>
      <c r="C25" t="s">
        <v>11</v>
      </c>
      <c r="D25" s="6">
        <v>45556</v>
      </c>
      <c r="E25" s="4">
        <v>43854</v>
      </c>
    </row>
    <row r="26" spans="1:10">
      <c r="A26" t="s">
        <v>57</v>
      </c>
      <c r="B26" t="s">
        <v>58</v>
      </c>
      <c r="C26" t="s">
        <v>44</v>
      </c>
      <c r="D26" s="6">
        <v>87990</v>
      </c>
      <c r="E26" s="4">
        <v>43855</v>
      </c>
    </row>
    <row r="27" spans="1:10">
      <c r="A27" t="s">
        <v>59</v>
      </c>
      <c r="B27" t="s">
        <v>60</v>
      </c>
      <c r="C27" t="s">
        <v>8</v>
      </c>
      <c r="D27" s="6">
        <v>92338</v>
      </c>
      <c r="E27" s="4">
        <v>43856</v>
      </c>
    </row>
    <row r="28" spans="1:10">
      <c r="A28" t="s">
        <v>61</v>
      </c>
      <c r="B28" t="s">
        <v>62</v>
      </c>
      <c r="C28" t="s">
        <v>11</v>
      </c>
      <c r="D28" s="6">
        <v>78556</v>
      </c>
      <c r="E28" s="4">
        <v>43857</v>
      </c>
    </row>
    <row r="29" spans="1:10">
      <c r="A29" t="s">
        <v>63</v>
      </c>
      <c r="B29" t="s">
        <v>64</v>
      </c>
      <c r="C29" t="s">
        <v>7</v>
      </c>
      <c r="D29" s="6">
        <v>63766</v>
      </c>
      <c r="E29" s="4">
        <v>43858</v>
      </c>
    </row>
    <row r="30" spans="1:10">
      <c r="A30" t="s">
        <v>65</v>
      </c>
      <c r="B30" t="s">
        <v>66</v>
      </c>
      <c r="C30" t="s">
        <v>14</v>
      </c>
      <c r="D30" s="6">
        <v>76667</v>
      </c>
      <c r="E30" s="4">
        <v>43859</v>
      </c>
    </row>
    <row r="31" spans="1:10">
      <c r="A31" t="s">
        <v>67</v>
      </c>
      <c r="B31" t="s">
        <v>68</v>
      </c>
      <c r="C31" t="s">
        <v>7</v>
      </c>
      <c r="D31" s="6">
        <v>56667</v>
      </c>
      <c r="E31" s="4">
        <v>43860</v>
      </c>
    </row>
    <row r="32" spans="1:10">
      <c r="D32" s="6"/>
    </row>
  </sheetData>
  <phoneticPr fontId="2" type="noConversion"/>
  <conditionalFormatting sqref="A2:E31">
    <cfRule type="expression" dxfId="13" priority="1">
      <formula>$C2=$F$2</formula>
    </cfRule>
  </conditionalFormatting>
  <conditionalFormatting sqref="J18:J22">
    <cfRule type="expression" dxfId="12" priority="7">
      <formula>$C18=#REF!</formula>
    </cfRule>
  </conditionalFormatting>
  <dataValidations count="1">
    <dataValidation type="list" allowBlank="1" showInputMessage="1" showErrorMessage="1" sqref="F2" xr:uid="{C445DCEF-5131-403E-A285-4890C64A6941}">
      <formula1>$J$18:$J$22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E819-CC0C-4703-B6F5-229866FDCABD}">
  <dimension ref="A1:H10"/>
  <sheetViews>
    <sheetView workbookViewId="0">
      <selection activeCell="A2" sqref="A2"/>
    </sheetView>
  </sheetViews>
  <sheetFormatPr defaultRowHeight="14.25"/>
  <cols>
    <col min="2" max="2" width="18.3984375" bestFit="1" customWidth="1"/>
    <col min="3" max="4" width="14.1328125" customWidth="1"/>
    <col min="6" max="6" width="16.33203125" bestFit="1" customWidth="1"/>
    <col min="7" max="7" width="8.796875" customWidth="1"/>
    <col min="8" max="8" width="10.73046875" bestFit="1" customWidth="1"/>
    <col min="12" max="12" width="10.73046875" bestFit="1" customWidth="1"/>
  </cols>
  <sheetData>
    <row r="1" spans="1:8">
      <c r="A1" s="9" t="s">
        <v>82</v>
      </c>
      <c r="B1" s="9" t="s">
        <v>83</v>
      </c>
      <c r="C1" s="9" t="s">
        <v>1132</v>
      </c>
      <c r="D1" s="9" t="s">
        <v>1133</v>
      </c>
      <c r="E1" s="9" t="s">
        <v>85</v>
      </c>
      <c r="F1" s="9" t="s">
        <v>86</v>
      </c>
      <c r="G1" s="9" t="s">
        <v>87</v>
      </c>
      <c r="H1" s="9" t="s">
        <v>88</v>
      </c>
    </row>
    <row r="2" spans="1:8">
      <c r="A2" s="10">
        <v>101</v>
      </c>
      <c r="B2" t="s">
        <v>89</v>
      </c>
      <c r="C2" t="s">
        <v>1163</v>
      </c>
      <c r="D2">
        <f>LEN(C2)</f>
        <v>6</v>
      </c>
      <c r="E2" s="10">
        <v>799</v>
      </c>
      <c r="F2" s="10">
        <v>50</v>
      </c>
      <c r="G2" s="10">
        <v>4.5</v>
      </c>
      <c r="H2" t="s">
        <v>90</v>
      </c>
    </row>
    <row r="3" spans="1:8">
      <c r="A3" s="10">
        <v>102</v>
      </c>
      <c r="B3" t="s">
        <v>91</v>
      </c>
      <c r="C3" t="s">
        <v>1163</v>
      </c>
      <c r="D3">
        <f t="shared" ref="D3:D10" si="0">LEN(C3)</f>
        <v>6</v>
      </c>
      <c r="E3" s="10">
        <v>999</v>
      </c>
      <c r="F3" s="10">
        <v>30</v>
      </c>
      <c r="G3" s="10">
        <v>4.7</v>
      </c>
      <c r="H3" t="s">
        <v>92</v>
      </c>
    </row>
    <row r="4" spans="1:8">
      <c r="A4" s="10">
        <v>103</v>
      </c>
      <c r="B4" t="s">
        <v>93</v>
      </c>
      <c r="C4" t="s">
        <v>1164</v>
      </c>
      <c r="D4">
        <f t="shared" si="0"/>
        <v>10</v>
      </c>
      <c r="E4" s="10">
        <v>399</v>
      </c>
      <c r="F4" s="10">
        <v>15</v>
      </c>
      <c r="G4" s="10">
        <v>4.5999999999999996</v>
      </c>
      <c r="H4" t="s">
        <v>94</v>
      </c>
    </row>
    <row r="5" spans="1:8">
      <c r="A5" s="10">
        <v>104</v>
      </c>
      <c r="B5" t="s">
        <v>95</v>
      </c>
      <c r="C5" t="s">
        <v>1165</v>
      </c>
      <c r="D5">
        <f t="shared" si="0"/>
        <v>6</v>
      </c>
      <c r="E5" s="10">
        <v>1249</v>
      </c>
      <c r="F5" s="10">
        <v>10</v>
      </c>
      <c r="G5" s="10">
        <v>4.8</v>
      </c>
      <c r="H5" t="s">
        <v>96</v>
      </c>
    </row>
    <row r="6" spans="1:8">
      <c r="A6" s="10">
        <v>101</v>
      </c>
      <c r="B6" t="s">
        <v>89</v>
      </c>
      <c r="C6" t="s">
        <v>1163</v>
      </c>
      <c r="D6">
        <f t="shared" si="0"/>
        <v>6</v>
      </c>
      <c r="E6" s="10">
        <v>799</v>
      </c>
      <c r="F6" s="10">
        <v>50</v>
      </c>
      <c r="G6" s="10">
        <v>4.5</v>
      </c>
      <c r="H6" t="s">
        <v>90</v>
      </c>
    </row>
    <row r="7" spans="1:8">
      <c r="A7" s="10">
        <v>105</v>
      </c>
      <c r="B7" t="s">
        <v>97</v>
      </c>
      <c r="C7" t="s">
        <v>1165</v>
      </c>
      <c r="D7">
        <f t="shared" si="0"/>
        <v>6</v>
      </c>
      <c r="E7" s="10">
        <v>1349</v>
      </c>
      <c r="F7" s="10">
        <v>8</v>
      </c>
      <c r="G7" s="10">
        <v>4.7</v>
      </c>
      <c r="H7" t="s">
        <v>98</v>
      </c>
    </row>
    <row r="8" spans="1:8">
      <c r="A8" s="10">
        <v>106</v>
      </c>
      <c r="B8" t="s">
        <v>99</v>
      </c>
      <c r="C8" t="s">
        <v>1164</v>
      </c>
      <c r="D8">
        <f t="shared" si="0"/>
        <v>10</v>
      </c>
      <c r="E8" s="10">
        <v>329</v>
      </c>
      <c r="F8" s="10">
        <v>25</v>
      </c>
      <c r="G8" s="10">
        <v>4.4000000000000004</v>
      </c>
      <c r="H8" t="s">
        <v>94</v>
      </c>
    </row>
    <row r="9" spans="1:8">
      <c r="A9" s="10">
        <v>107</v>
      </c>
      <c r="B9" t="s">
        <v>93</v>
      </c>
      <c r="C9" t="s">
        <v>1164</v>
      </c>
      <c r="D9">
        <f t="shared" si="0"/>
        <v>10</v>
      </c>
      <c r="E9" s="10">
        <v>399</v>
      </c>
      <c r="F9" s="10">
        <v>15</v>
      </c>
      <c r="G9" s="10">
        <v>4.5999999999999996</v>
      </c>
      <c r="H9" t="s">
        <v>94</v>
      </c>
    </row>
    <row r="10" spans="1:8">
      <c r="A10" s="10">
        <v>108</v>
      </c>
      <c r="B10" t="s">
        <v>100</v>
      </c>
      <c r="C10" t="s">
        <v>1165</v>
      </c>
      <c r="D10">
        <f t="shared" si="0"/>
        <v>6</v>
      </c>
      <c r="E10" s="10">
        <v>1299</v>
      </c>
      <c r="F10" s="10">
        <v>6</v>
      </c>
      <c r="G10" s="10">
        <v>4.8</v>
      </c>
      <c r="H10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5128-9039-4165-9086-D466897B0B1D}">
  <dimension ref="A1:D9"/>
  <sheetViews>
    <sheetView workbookViewId="0">
      <selection activeCell="C3" sqref="C3"/>
    </sheetView>
  </sheetViews>
  <sheetFormatPr defaultRowHeight="14.25"/>
  <cols>
    <col min="1" max="1" width="10.53125" bestFit="1" customWidth="1"/>
    <col min="2" max="2" width="11.33203125" bestFit="1" customWidth="1"/>
    <col min="3" max="3" width="10.265625" bestFit="1" customWidth="1"/>
    <col min="4" max="4" width="10.73046875" bestFit="1" customWidth="1"/>
  </cols>
  <sheetData>
    <row r="1" spans="1:4">
      <c r="A1" s="11" t="s">
        <v>0</v>
      </c>
      <c r="B1" s="11" t="s">
        <v>1</v>
      </c>
      <c r="C1" s="11" t="s">
        <v>2</v>
      </c>
      <c r="D1" s="11" t="s">
        <v>101</v>
      </c>
    </row>
    <row r="2" spans="1:4">
      <c r="A2" t="s">
        <v>102</v>
      </c>
      <c r="B2" t="s">
        <v>6</v>
      </c>
      <c r="C2" t="s">
        <v>7</v>
      </c>
      <c r="D2">
        <v>9876543210</v>
      </c>
    </row>
    <row r="3" spans="1:4">
      <c r="A3" t="s">
        <v>103</v>
      </c>
      <c r="B3" t="s">
        <v>10</v>
      </c>
      <c r="C3" t="s">
        <v>79</v>
      </c>
      <c r="D3">
        <v>8828366757</v>
      </c>
    </row>
    <row r="4" spans="1:4">
      <c r="A4" t="s">
        <v>104</v>
      </c>
      <c r="B4" t="s">
        <v>16</v>
      </c>
      <c r="C4" t="s">
        <v>8</v>
      </c>
      <c r="D4">
        <v>9769477233</v>
      </c>
    </row>
    <row r="5" spans="1:4">
      <c r="A5" t="s">
        <v>105</v>
      </c>
      <c r="B5" t="s">
        <v>69</v>
      </c>
      <c r="C5" t="s">
        <v>81</v>
      </c>
      <c r="D5">
        <v>8591197347</v>
      </c>
    </row>
    <row r="6" spans="1:4">
      <c r="A6" t="s">
        <v>106</v>
      </c>
      <c r="B6" t="s">
        <v>21</v>
      </c>
      <c r="C6" t="s">
        <v>8</v>
      </c>
      <c r="D6">
        <v>7208233083</v>
      </c>
    </row>
    <row r="7" spans="1:4">
      <c r="A7" t="s">
        <v>107</v>
      </c>
      <c r="B7" t="s">
        <v>23</v>
      </c>
      <c r="C7" t="s">
        <v>8</v>
      </c>
      <c r="D7">
        <v>7900077672</v>
      </c>
    </row>
    <row r="8" spans="1:4">
      <c r="A8" t="s">
        <v>108</v>
      </c>
      <c r="B8" t="s">
        <v>29</v>
      </c>
      <c r="C8" t="s">
        <v>80</v>
      </c>
      <c r="D8">
        <v>8652758593</v>
      </c>
    </row>
    <row r="9" spans="1:4">
      <c r="A9" t="s">
        <v>109</v>
      </c>
      <c r="B9" t="s">
        <v>31</v>
      </c>
      <c r="C9" t="s">
        <v>81</v>
      </c>
      <c r="D9">
        <v>8425853308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EC92-F537-45A4-A709-67B20456E526}">
  <dimension ref="A1:F635"/>
  <sheetViews>
    <sheetView tabSelected="1" workbookViewId="0">
      <selection activeCell="A2" sqref="A2:F2"/>
    </sheetView>
  </sheetViews>
  <sheetFormatPr defaultRowHeight="10.9" customHeight="1"/>
  <cols>
    <col min="1" max="1" width="13.53125" style="8" customWidth="1"/>
    <col min="2" max="2" width="14.19921875" style="8" customWidth="1"/>
    <col min="3" max="3" width="9.796875" style="8" customWidth="1"/>
    <col min="4" max="4" width="6.53125" style="8" customWidth="1"/>
    <col min="5" max="5" width="7.9296875" style="8" customWidth="1"/>
    <col min="6" max="6" width="70.1328125" style="8" bestFit="1" customWidth="1"/>
    <col min="7" max="7" width="9.06640625" style="8"/>
    <col min="8" max="8" width="9.06640625" style="8" customWidth="1"/>
    <col min="9" max="16384" width="9.06640625" style="8"/>
  </cols>
  <sheetData>
    <row r="1" spans="1:6" ht="15.85" customHeight="1">
      <c r="A1" s="35" t="s">
        <v>110</v>
      </c>
      <c r="B1" s="36" t="s">
        <v>111</v>
      </c>
      <c r="C1" s="36" t="s">
        <v>84</v>
      </c>
      <c r="D1" s="36" t="s">
        <v>85</v>
      </c>
      <c r="E1" s="36" t="s">
        <v>112</v>
      </c>
      <c r="F1" s="37" t="s">
        <v>113</v>
      </c>
    </row>
    <row r="2" spans="1:6" ht="23.65" customHeight="1">
      <c r="A2" s="32" t="s">
        <v>114</v>
      </c>
      <c r="B2" s="30" t="s">
        <v>115</v>
      </c>
      <c r="C2" s="30" t="s">
        <v>116</v>
      </c>
      <c r="D2" s="31">
        <v>363.54</v>
      </c>
      <c r="E2" s="31">
        <v>-3</v>
      </c>
      <c r="F2" s="33" t="s">
        <v>117</v>
      </c>
    </row>
    <row r="3" spans="1:6" ht="10.9" customHeight="1">
      <c r="A3" s="32" t="s">
        <v>118</v>
      </c>
      <c r="B3" s="30" t="s">
        <v>119</v>
      </c>
      <c r="C3" s="30" t="s">
        <v>120</v>
      </c>
      <c r="D3" s="31">
        <v>906.15</v>
      </c>
      <c r="E3" s="31">
        <v>40</v>
      </c>
      <c r="F3" s="33" t="s">
        <v>121</v>
      </c>
    </row>
    <row r="4" spans="1:6" ht="10.9" customHeight="1">
      <c r="A4" s="32" t="s">
        <v>122</v>
      </c>
      <c r="B4" s="30" t="s">
        <v>123</v>
      </c>
      <c r="C4" s="30" t="s">
        <v>124</v>
      </c>
      <c r="D4" s="31">
        <v>234.14</v>
      </c>
      <c r="E4" s="31">
        <v>26</v>
      </c>
      <c r="F4" s="33" t="s">
        <v>125</v>
      </c>
    </row>
    <row r="5" spans="1:6" ht="10.9" customHeight="1">
      <c r="A5" s="32" t="s">
        <v>126</v>
      </c>
      <c r="B5" s="30" t="s">
        <v>127</v>
      </c>
      <c r="C5" s="30" t="s">
        <v>128</v>
      </c>
      <c r="D5" s="31">
        <v>903.5</v>
      </c>
      <c r="E5" s="31">
        <v>69</v>
      </c>
      <c r="F5" s="33" t="s">
        <v>129</v>
      </c>
    </row>
    <row r="6" spans="1:6" ht="10.9" customHeight="1">
      <c r="A6" s="32" t="s">
        <v>130</v>
      </c>
      <c r="B6" s="30" t="s">
        <v>131</v>
      </c>
      <c r="C6" s="30" t="s">
        <v>132</v>
      </c>
      <c r="D6" s="31">
        <v>352.9</v>
      </c>
      <c r="E6" s="31">
        <v>87</v>
      </c>
      <c r="F6" s="33" t="s">
        <v>133</v>
      </c>
    </row>
    <row r="7" spans="1:6" ht="10.9" customHeight="1">
      <c r="A7" s="32" t="s">
        <v>134</v>
      </c>
      <c r="B7" s="30" t="s">
        <v>135</v>
      </c>
      <c r="C7" s="30" t="s">
        <v>116</v>
      </c>
      <c r="D7" s="31">
        <v>549.17999999999995</v>
      </c>
      <c r="E7" s="31">
        <v>31</v>
      </c>
      <c r="F7" s="33" t="s">
        <v>136</v>
      </c>
    </row>
    <row r="8" spans="1:6" ht="10.9" customHeight="1">
      <c r="A8" s="32" t="s">
        <v>137</v>
      </c>
      <c r="B8" s="30" t="s">
        <v>138</v>
      </c>
      <c r="C8" s="30" t="s">
        <v>124</v>
      </c>
      <c r="D8" s="31">
        <v>222.56</v>
      </c>
      <c r="E8" s="31">
        <v>59</v>
      </c>
      <c r="F8" s="33" t="s">
        <v>139</v>
      </c>
    </row>
    <row r="9" spans="1:6" ht="10.9" customHeight="1">
      <c r="A9" s="32" t="s">
        <v>140</v>
      </c>
      <c r="B9" s="30" t="s">
        <v>141</v>
      </c>
      <c r="C9" s="30" t="s">
        <v>120</v>
      </c>
      <c r="D9" s="31">
        <v>969.7</v>
      </c>
      <c r="E9" s="31">
        <v>78</v>
      </c>
      <c r="F9" s="34" t="s">
        <v>142</v>
      </c>
    </row>
    <row r="10" spans="1:6" ht="10.9" customHeight="1">
      <c r="A10" s="32" t="s">
        <v>143</v>
      </c>
      <c r="B10" s="30" t="s">
        <v>144</v>
      </c>
      <c r="C10" s="30" t="s">
        <v>145</v>
      </c>
      <c r="D10" s="31">
        <v>321.88</v>
      </c>
      <c r="E10" s="31">
        <v>92</v>
      </c>
      <c r="F10" s="33" t="s">
        <v>146</v>
      </c>
    </row>
    <row r="11" spans="1:6" ht="10.9" customHeight="1">
      <c r="A11" s="32" t="s">
        <v>147</v>
      </c>
      <c r="B11" s="30" t="s">
        <v>148</v>
      </c>
      <c r="C11" s="30" t="s">
        <v>124</v>
      </c>
      <c r="D11" s="31">
        <v>230.28</v>
      </c>
      <c r="E11" s="31">
        <v>-5</v>
      </c>
      <c r="F11" s="33" t="s">
        <v>149</v>
      </c>
    </row>
    <row r="12" spans="1:6" ht="10.9" customHeight="1">
      <c r="A12" s="32" t="s">
        <v>150</v>
      </c>
      <c r="B12" s="30" t="s">
        <v>151</v>
      </c>
      <c r="C12" s="30" t="s">
        <v>124</v>
      </c>
      <c r="D12" s="31">
        <v>763.66</v>
      </c>
      <c r="E12" s="31">
        <v>22</v>
      </c>
      <c r="F12" s="33" t="s">
        <v>117</v>
      </c>
    </row>
    <row r="13" spans="1:6" ht="10.9" customHeight="1">
      <c r="A13" s="32" t="s">
        <v>152</v>
      </c>
      <c r="B13" s="30" t="s">
        <v>153</v>
      </c>
      <c r="C13" s="30" t="s">
        <v>120</v>
      </c>
      <c r="D13" s="31">
        <v>368.76</v>
      </c>
      <c r="E13" s="31">
        <v>45</v>
      </c>
      <c r="F13" s="33" t="s">
        <v>121</v>
      </c>
    </row>
    <row r="14" spans="1:6" ht="10.9" customHeight="1">
      <c r="A14" s="32" t="s">
        <v>154</v>
      </c>
      <c r="B14" s="30" t="s">
        <v>155</v>
      </c>
      <c r="C14" s="30" t="s">
        <v>156</v>
      </c>
      <c r="D14" s="31">
        <v>669.92</v>
      </c>
      <c r="E14" s="31">
        <v>87</v>
      </c>
      <c r="F14" s="33" t="s">
        <v>125</v>
      </c>
    </row>
    <row r="15" spans="1:6" ht="10.9" customHeight="1">
      <c r="A15" s="32" t="s">
        <v>157</v>
      </c>
      <c r="B15" s="30" t="s">
        <v>158</v>
      </c>
      <c r="C15" s="30" t="s">
        <v>124</v>
      </c>
      <c r="D15" s="31">
        <v>914.74</v>
      </c>
      <c r="E15" s="31">
        <v>-1</v>
      </c>
      <c r="F15" s="33" t="s">
        <v>129</v>
      </c>
    </row>
    <row r="16" spans="1:6" ht="10.9" customHeight="1">
      <c r="A16" s="32" t="s">
        <v>159</v>
      </c>
      <c r="B16" s="30" t="s">
        <v>160</v>
      </c>
      <c r="C16" s="30" t="s">
        <v>145</v>
      </c>
      <c r="D16" s="31">
        <v>137.79</v>
      </c>
      <c r="E16" s="31">
        <v>78</v>
      </c>
      <c r="F16" s="33" t="s">
        <v>133</v>
      </c>
    </row>
    <row r="17" spans="1:6" ht="10.9" customHeight="1">
      <c r="A17" s="32" t="s">
        <v>161</v>
      </c>
      <c r="B17" s="30" t="s">
        <v>162</v>
      </c>
      <c r="C17" s="30" t="s">
        <v>132</v>
      </c>
      <c r="D17" s="31">
        <v>840.84</v>
      </c>
      <c r="E17" s="31">
        <v>39</v>
      </c>
      <c r="F17" s="33" t="s">
        <v>136</v>
      </c>
    </row>
    <row r="18" spans="1:6" ht="10.9" customHeight="1">
      <c r="A18" s="32" t="s">
        <v>163</v>
      </c>
      <c r="B18" s="30" t="s">
        <v>164</v>
      </c>
      <c r="C18" s="30" t="s">
        <v>156</v>
      </c>
      <c r="D18" s="31">
        <v>784.71</v>
      </c>
      <c r="E18" s="31">
        <v>96</v>
      </c>
      <c r="F18" s="33" t="s">
        <v>139</v>
      </c>
    </row>
    <row r="19" spans="1:6" ht="10.9" customHeight="1">
      <c r="A19" s="32" t="s">
        <v>165</v>
      </c>
      <c r="B19" s="30" t="s">
        <v>166</v>
      </c>
      <c r="C19" s="30" t="s">
        <v>120</v>
      </c>
      <c r="D19" s="31">
        <v>588.75</v>
      </c>
      <c r="E19" s="31">
        <v>51</v>
      </c>
      <c r="F19" s="34" t="s">
        <v>142</v>
      </c>
    </row>
    <row r="20" spans="1:6" ht="10.9" customHeight="1">
      <c r="A20" s="32" t="s">
        <v>167</v>
      </c>
      <c r="B20" s="30" t="s">
        <v>168</v>
      </c>
      <c r="C20" s="30" t="s">
        <v>120</v>
      </c>
      <c r="D20" s="31">
        <v>227.05</v>
      </c>
      <c r="E20" s="31">
        <v>8</v>
      </c>
      <c r="F20" s="33" t="s">
        <v>146</v>
      </c>
    </row>
    <row r="21" spans="1:6" ht="10.9" customHeight="1">
      <c r="A21" s="32" t="s">
        <v>169</v>
      </c>
      <c r="B21" s="30" t="s">
        <v>170</v>
      </c>
      <c r="C21" s="30" t="s">
        <v>156</v>
      </c>
      <c r="D21" s="31">
        <v>944.43</v>
      </c>
      <c r="E21" s="31">
        <v>97</v>
      </c>
      <c r="F21" s="33" t="s">
        <v>149</v>
      </c>
    </row>
    <row r="22" spans="1:6" ht="10.9" customHeight="1">
      <c r="A22" s="32" t="s">
        <v>171</v>
      </c>
      <c r="B22" s="30" t="s">
        <v>172</v>
      </c>
      <c r="C22" s="30" t="s">
        <v>132</v>
      </c>
      <c r="D22" s="31">
        <v>763.27</v>
      </c>
      <c r="E22" s="31">
        <v>85</v>
      </c>
      <c r="F22" s="33" t="s">
        <v>117</v>
      </c>
    </row>
    <row r="23" spans="1:6" ht="10.9" customHeight="1">
      <c r="A23" s="32" t="s">
        <v>173</v>
      </c>
      <c r="B23" s="30" t="s">
        <v>174</v>
      </c>
      <c r="C23" s="30" t="s">
        <v>128</v>
      </c>
      <c r="D23" s="31">
        <v>262.69</v>
      </c>
      <c r="E23" s="31">
        <v>38</v>
      </c>
      <c r="F23" s="33" t="s">
        <v>121</v>
      </c>
    </row>
    <row r="24" spans="1:6" ht="10.9" customHeight="1">
      <c r="A24" s="32" t="s">
        <v>175</v>
      </c>
      <c r="B24" s="30" t="s">
        <v>176</v>
      </c>
      <c r="C24" s="30" t="s">
        <v>120</v>
      </c>
      <c r="D24" s="31">
        <v>705.49</v>
      </c>
      <c r="E24" s="31">
        <v>40</v>
      </c>
      <c r="F24" s="33" t="s">
        <v>125</v>
      </c>
    </row>
    <row r="25" spans="1:6" ht="10.9" customHeight="1">
      <c r="A25" s="32" t="s">
        <v>177</v>
      </c>
      <c r="B25" s="30" t="s">
        <v>178</v>
      </c>
      <c r="C25" s="30" t="s">
        <v>145</v>
      </c>
      <c r="D25" s="31">
        <v>531.58000000000004</v>
      </c>
      <c r="E25" s="31">
        <v>42</v>
      </c>
      <c r="F25" s="33" t="s">
        <v>129</v>
      </c>
    </row>
    <row r="26" spans="1:6" ht="10.9" customHeight="1">
      <c r="A26" s="32" t="s">
        <v>179</v>
      </c>
      <c r="B26" s="30" t="s">
        <v>180</v>
      </c>
      <c r="C26" s="30" t="s">
        <v>128</v>
      </c>
      <c r="D26" s="31">
        <v>187.08</v>
      </c>
      <c r="E26" s="31">
        <v>34</v>
      </c>
      <c r="F26" s="33" t="s">
        <v>133</v>
      </c>
    </row>
    <row r="27" spans="1:6" ht="10.9" customHeight="1">
      <c r="A27" s="32" t="s">
        <v>181</v>
      </c>
      <c r="B27" s="30" t="s">
        <v>182</v>
      </c>
      <c r="C27" s="30" t="s">
        <v>145</v>
      </c>
      <c r="D27" s="31">
        <v>843.67</v>
      </c>
      <c r="E27" s="31">
        <v>46</v>
      </c>
      <c r="F27" s="33" t="s">
        <v>136</v>
      </c>
    </row>
    <row r="28" spans="1:6" ht="10.9" customHeight="1">
      <c r="A28" s="32" t="s">
        <v>183</v>
      </c>
      <c r="B28" s="30" t="s">
        <v>184</v>
      </c>
      <c r="C28" s="30" t="s">
        <v>145</v>
      </c>
      <c r="D28" s="31">
        <v>434</v>
      </c>
      <c r="E28" s="31">
        <v>74</v>
      </c>
      <c r="F28" s="33" t="s">
        <v>139</v>
      </c>
    </row>
    <row r="29" spans="1:6" ht="10.9" customHeight="1">
      <c r="A29" s="32" t="s">
        <v>185</v>
      </c>
      <c r="B29" s="30" t="s">
        <v>186</v>
      </c>
      <c r="C29" s="30" t="s">
        <v>187</v>
      </c>
      <c r="D29" s="31">
        <v>566.44000000000005</v>
      </c>
      <c r="E29" s="31">
        <v>11</v>
      </c>
      <c r="F29" s="34" t="s">
        <v>142</v>
      </c>
    </row>
    <row r="30" spans="1:6" ht="10.9" customHeight="1">
      <c r="A30" s="32" t="s">
        <v>188</v>
      </c>
      <c r="B30" s="30" t="s">
        <v>189</v>
      </c>
      <c r="C30" s="30" t="s">
        <v>187</v>
      </c>
      <c r="D30" s="31">
        <v>448.08</v>
      </c>
      <c r="E30" s="31">
        <v>77</v>
      </c>
      <c r="F30" s="33" t="s">
        <v>146</v>
      </c>
    </row>
    <row r="31" spans="1:6" ht="10.9" customHeight="1">
      <c r="A31" s="32" t="s">
        <v>190</v>
      </c>
      <c r="B31" s="30" t="s">
        <v>191</v>
      </c>
      <c r="C31" s="30" t="s">
        <v>187</v>
      </c>
      <c r="D31" s="31">
        <v>142.6</v>
      </c>
      <c r="E31" s="31">
        <v>64</v>
      </c>
      <c r="F31" s="33" t="s">
        <v>149</v>
      </c>
    </row>
    <row r="32" spans="1:6" ht="10.9" customHeight="1">
      <c r="A32" s="32" t="s">
        <v>192</v>
      </c>
      <c r="B32" s="30" t="s">
        <v>193</v>
      </c>
      <c r="C32" s="30" t="s">
        <v>120</v>
      </c>
      <c r="D32" s="31">
        <v>430.97</v>
      </c>
      <c r="E32" s="31">
        <v>0</v>
      </c>
      <c r="F32" s="33" t="s">
        <v>117</v>
      </c>
    </row>
    <row r="33" spans="1:6" ht="10.9" customHeight="1">
      <c r="A33" s="32" t="s">
        <v>194</v>
      </c>
      <c r="B33" s="30" t="s">
        <v>195</v>
      </c>
      <c r="C33" s="30" t="s">
        <v>120</v>
      </c>
      <c r="D33" s="31">
        <v>508.75</v>
      </c>
      <c r="E33" s="31">
        <v>40</v>
      </c>
      <c r="F33" s="33" t="s">
        <v>121</v>
      </c>
    </row>
    <row r="34" spans="1:6" ht="10.9" customHeight="1">
      <c r="A34" s="32" t="s">
        <v>196</v>
      </c>
      <c r="B34" s="30" t="s">
        <v>197</v>
      </c>
      <c r="C34" s="30" t="s">
        <v>128</v>
      </c>
      <c r="D34" s="31">
        <v>421.87</v>
      </c>
      <c r="E34" s="31">
        <v>64</v>
      </c>
      <c r="F34" s="33" t="s">
        <v>125</v>
      </c>
    </row>
    <row r="35" spans="1:6" ht="10.9" customHeight="1">
      <c r="A35" s="32" t="s">
        <v>198</v>
      </c>
      <c r="B35" s="30" t="s">
        <v>199</v>
      </c>
      <c r="C35" s="30" t="s">
        <v>132</v>
      </c>
      <c r="D35" s="31">
        <v>736</v>
      </c>
      <c r="E35" s="31">
        <v>74</v>
      </c>
      <c r="F35" s="33" t="s">
        <v>129</v>
      </c>
    </row>
    <row r="36" spans="1:6" ht="10.9" customHeight="1">
      <c r="A36" s="32" t="s">
        <v>200</v>
      </c>
      <c r="B36" s="30" t="s">
        <v>201</v>
      </c>
      <c r="C36" s="30" t="s">
        <v>132</v>
      </c>
      <c r="D36" s="31">
        <v>269.37</v>
      </c>
      <c r="E36" s="31">
        <v>8</v>
      </c>
      <c r="F36" s="33" t="s">
        <v>133</v>
      </c>
    </row>
    <row r="37" spans="1:6" ht="10.9" customHeight="1">
      <c r="A37" s="32" t="s">
        <v>202</v>
      </c>
      <c r="B37" s="30" t="s">
        <v>203</v>
      </c>
      <c r="C37" s="30" t="s">
        <v>145</v>
      </c>
      <c r="D37" s="31">
        <v>79.55</v>
      </c>
      <c r="E37" s="31">
        <v>18</v>
      </c>
      <c r="F37" s="33" t="s">
        <v>136</v>
      </c>
    </row>
    <row r="38" spans="1:6" ht="10.9" customHeight="1">
      <c r="A38" s="32" t="s">
        <v>204</v>
      </c>
      <c r="B38" s="30" t="s">
        <v>205</v>
      </c>
      <c r="C38" s="30" t="s">
        <v>120</v>
      </c>
      <c r="D38" s="31">
        <v>319.07</v>
      </c>
      <c r="E38" s="31">
        <v>19</v>
      </c>
      <c r="F38" s="33" t="s">
        <v>139</v>
      </c>
    </row>
    <row r="39" spans="1:6" ht="10.9" customHeight="1">
      <c r="A39" s="32" t="s">
        <v>206</v>
      </c>
      <c r="B39" s="30" t="s">
        <v>207</v>
      </c>
      <c r="C39" s="30" t="s">
        <v>145</v>
      </c>
      <c r="D39" s="31">
        <v>720.06</v>
      </c>
      <c r="E39" s="31">
        <v>95</v>
      </c>
      <c r="F39" s="34" t="s">
        <v>142</v>
      </c>
    </row>
    <row r="40" spans="1:6" ht="10.9" customHeight="1">
      <c r="A40" s="32" t="s">
        <v>208</v>
      </c>
      <c r="B40" s="30" t="s">
        <v>209</v>
      </c>
      <c r="C40" s="30" t="s">
        <v>132</v>
      </c>
      <c r="D40" s="31">
        <v>760.24</v>
      </c>
      <c r="E40" s="31">
        <v>48</v>
      </c>
      <c r="F40" s="33" t="s">
        <v>146</v>
      </c>
    </row>
    <row r="41" spans="1:6" ht="10.9" customHeight="1">
      <c r="A41" s="32" t="s">
        <v>210</v>
      </c>
      <c r="B41" s="30" t="s">
        <v>211</v>
      </c>
      <c r="C41" s="30" t="s">
        <v>187</v>
      </c>
      <c r="D41" s="31">
        <v>768.09</v>
      </c>
      <c r="E41" s="31">
        <v>-4</v>
      </c>
      <c r="F41" s="33" t="s">
        <v>149</v>
      </c>
    </row>
    <row r="42" spans="1:6" ht="10.9" customHeight="1">
      <c r="A42" s="32" t="s">
        <v>212</v>
      </c>
      <c r="B42" s="30" t="s">
        <v>213</v>
      </c>
      <c r="C42" s="30" t="s">
        <v>120</v>
      </c>
      <c r="D42" s="31">
        <v>108.44</v>
      </c>
      <c r="E42" s="31">
        <v>-10</v>
      </c>
      <c r="F42" s="33" t="s">
        <v>117</v>
      </c>
    </row>
    <row r="43" spans="1:6" ht="10.9" customHeight="1">
      <c r="A43" s="32" t="s">
        <v>214</v>
      </c>
      <c r="B43" s="30" t="s">
        <v>215</v>
      </c>
      <c r="C43" s="30" t="s">
        <v>145</v>
      </c>
      <c r="D43" s="31">
        <v>779.74</v>
      </c>
      <c r="E43" s="31">
        <v>53</v>
      </c>
      <c r="F43" s="33" t="s">
        <v>121</v>
      </c>
    </row>
    <row r="44" spans="1:6" ht="10.9" customHeight="1">
      <c r="A44" s="32" t="s">
        <v>216</v>
      </c>
      <c r="B44" s="30" t="s">
        <v>217</v>
      </c>
      <c r="C44" s="30" t="s">
        <v>132</v>
      </c>
      <c r="D44" s="31">
        <v>636.39</v>
      </c>
      <c r="E44" s="31">
        <v>46</v>
      </c>
      <c r="F44" s="33" t="s">
        <v>125</v>
      </c>
    </row>
    <row r="45" spans="1:6" ht="10.9" customHeight="1">
      <c r="A45" s="32" t="s">
        <v>218</v>
      </c>
      <c r="B45" s="30" t="s">
        <v>219</v>
      </c>
      <c r="C45" s="30" t="s">
        <v>132</v>
      </c>
      <c r="D45" s="31">
        <v>191.12</v>
      </c>
      <c r="E45" s="31">
        <v>40</v>
      </c>
      <c r="F45" s="33" t="s">
        <v>129</v>
      </c>
    </row>
    <row r="46" spans="1:6" ht="10.9" customHeight="1">
      <c r="A46" s="32" t="s">
        <v>220</v>
      </c>
      <c r="B46" s="30" t="s">
        <v>221</v>
      </c>
      <c r="C46" s="30" t="s">
        <v>128</v>
      </c>
      <c r="D46" s="31">
        <v>990.39</v>
      </c>
      <c r="E46" s="31">
        <v>49</v>
      </c>
      <c r="F46" s="33" t="s">
        <v>133</v>
      </c>
    </row>
    <row r="47" spans="1:6" ht="10.9" customHeight="1">
      <c r="A47" s="32" t="s">
        <v>222</v>
      </c>
      <c r="B47" s="30" t="s">
        <v>223</v>
      </c>
      <c r="C47" s="30" t="s">
        <v>132</v>
      </c>
      <c r="D47" s="31">
        <v>797.12</v>
      </c>
      <c r="E47" s="31">
        <v>63</v>
      </c>
      <c r="F47" s="33" t="s">
        <v>136</v>
      </c>
    </row>
    <row r="48" spans="1:6" ht="10.9" customHeight="1">
      <c r="A48" s="32" t="s">
        <v>224</v>
      </c>
      <c r="B48" s="30" t="s">
        <v>225</v>
      </c>
      <c r="C48" s="30" t="s">
        <v>187</v>
      </c>
      <c r="D48" s="31">
        <v>635.09</v>
      </c>
      <c r="E48" s="31">
        <v>73</v>
      </c>
      <c r="F48" s="33" t="s">
        <v>139</v>
      </c>
    </row>
    <row r="49" spans="1:6" ht="10.9" customHeight="1">
      <c r="A49" s="32" t="s">
        <v>226</v>
      </c>
      <c r="B49" s="30" t="s">
        <v>227</v>
      </c>
      <c r="C49" s="30" t="s">
        <v>128</v>
      </c>
      <c r="D49" s="31">
        <v>394.76</v>
      </c>
      <c r="E49" s="31">
        <v>15</v>
      </c>
      <c r="F49" s="34" t="s">
        <v>142</v>
      </c>
    </row>
    <row r="50" spans="1:6" ht="10.9" customHeight="1">
      <c r="A50" s="32" t="s">
        <v>228</v>
      </c>
      <c r="B50" s="30" t="s">
        <v>229</v>
      </c>
      <c r="C50" s="30" t="s">
        <v>128</v>
      </c>
      <c r="D50" s="31">
        <v>291.57</v>
      </c>
      <c r="E50" s="31">
        <v>45</v>
      </c>
      <c r="F50" s="33" t="s">
        <v>146</v>
      </c>
    </row>
    <row r="51" spans="1:6" ht="10.9" customHeight="1">
      <c r="A51" s="32" t="s">
        <v>230</v>
      </c>
      <c r="B51" s="30" t="s">
        <v>231</v>
      </c>
      <c r="C51" s="30" t="s">
        <v>187</v>
      </c>
      <c r="D51" s="31">
        <v>451.98</v>
      </c>
      <c r="E51" s="31">
        <v>16</v>
      </c>
      <c r="F51" s="33" t="s">
        <v>149</v>
      </c>
    </row>
    <row r="52" spans="1:6" ht="10.9" customHeight="1">
      <c r="A52" s="32" t="s">
        <v>232</v>
      </c>
      <c r="B52" s="30" t="s">
        <v>233</v>
      </c>
      <c r="C52" s="30" t="s">
        <v>120</v>
      </c>
      <c r="D52" s="31">
        <v>699.79</v>
      </c>
      <c r="E52" s="31">
        <v>74</v>
      </c>
      <c r="F52" s="33" t="s">
        <v>117</v>
      </c>
    </row>
    <row r="53" spans="1:6" ht="10.9" customHeight="1">
      <c r="A53" s="32" t="s">
        <v>234</v>
      </c>
      <c r="B53" s="30" t="s">
        <v>235</v>
      </c>
      <c r="C53" s="30" t="s">
        <v>120</v>
      </c>
      <c r="D53" s="31">
        <v>844.49</v>
      </c>
      <c r="E53" s="31">
        <v>42</v>
      </c>
      <c r="F53" s="33" t="s">
        <v>121</v>
      </c>
    </row>
    <row r="54" spans="1:6" ht="10.9" customHeight="1">
      <c r="A54" s="32" t="s">
        <v>236</v>
      </c>
      <c r="B54" s="30" t="s">
        <v>237</v>
      </c>
      <c r="C54" s="30" t="s">
        <v>187</v>
      </c>
      <c r="D54" s="31">
        <v>733.54</v>
      </c>
      <c r="E54" s="31">
        <v>84</v>
      </c>
      <c r="F54" s="33" t="s">
        <v>125</v>
      </c>
    </row>
    <row r="55" spans="1:6" ht="10.9" customHeight="1">
      <c r="A55" s="32" t="s">
        <v>238</v>
      </c>
      <c r="B55" s="30" t="s">
        <v>239</v>
      </c>
      <c r="C55" s="30" t="s">
        <v>187</v>
      </c>
      <c r="D55" s="31">
        <v>652.5</v>
      </c>
      <c r="E55" s="31">
        <v>97</v>
      </c>
      <c r="F55" s="33" t="s">
        <v>129</v>
      </c>
    </row>
    <row r="56" spans="1:6" ht="10.9" customHeight="1">
      <c r="A56" s="32" t="s">
        <v>240</v>
      </c>
      <c r="B56" s="30" t="s">
        <v>241</v>
      </c>
      <c r="C56" s="30" t="s">
        <v>128</v>
      </c>
      <c r="D56" s="31">
        <v>195.42</v>
      </c>
      <c r="E56" s="31">
        <v>50</v>
      </c>
      <c r="F56" s="33" t="s">
        <v>133</v>
      </c>
    </row>
    <row r="57" spans="1:6" ht="10.9" customHeight="1">
      <c r="A57" s="32" t="s">
        <v>242</v>
      </c>
      <c r="B57" s="30" t="s">
        <v>243</v>
      </c>
      <c r="C57" s="30" t="s">
        <v>128</v>
      </c>
      <c r="D57" s="31">
        <v>695.68</v>
      </c>
      <c r="E57" s="31">
        <v>28</v>
      </c>
      <c r="F57" s="33" t="s">
        <v>136</v>
      </c>
    </row>
    <row r="58" spans="1:6" ht="10.9" customHeight="1">
      <c r="A58" s="32" t="s">
        <v>244</v>
      </c>
      <c r="B58" s="30" t="s">
        <v>245</v>
      </c>
      <c r="C58" s="30" t="s">
        <v>145</v>
      </c>
      <c r="D58" s="31">
        <v>585.20000000000005</v>
      </c>
      <c r="E58" s="31">
        <v>67</v>
      </c>
      <c r="F58" s="33" t="s">
        <v>139</v>
      </c>
    </row>
    <row r="59" spans="1:6" ht="10.9" customHeight="1">
      <c r="A59" s="32" t="s">
        <v>246</v>
      </c>
      <c r="B59" s="30" t="s">
        <v>247</v>
      </c>
      <c r="C59" s="30" t="s">
        <v>128</v>
      </c>
      <c r="D59" s="31">
        <v>607.80999999999995</v>
      </c>
      <c r="E59" s="31">
        <v>76</v>
      </c>
      <c r="F59" s="34" t="s">
        <v>142</v>
      </c>
    </row>
    <row r="60" spans="1:6" ht="10.9" customHeight="1">
      <c r="A60" s="32" t="s">
        <v>248</v>
      </c>
      <c r="B60" s="30" t="s">
        <v>249</v>
      </c>
      <c r="C60" s="30" t="s">
        <v>132</v>
      </c>
      <c r="D60" s="31">
        <v>367.37</v>
      </c>
      <c r="E60" s="31">
        <v>56</v>
      </c>
      <c r="F60" s="33" t="s">
        <v>146</v>
      </c>
    </row>
    <row r="61" spans="1:6" ht="10.9" customHeight="1">
      <c r="A61" s="32" t="s">
        <v>250</v>
      </c>
      <c r="B61" s="30" t="s">
        <v>251</v>
      </c>
      <c r="C61" s="30" t="s">
        <v>187</v>
      </c>
      <c r="D61" s="31">
        <v>474</v>
      </c>
      <c r="E61" s="31">
        <v>48</v>
      </c>
      <c r="F61" s="33" t="s">
        <v>149</v>
      </c>
    </row>
    <row r="62" spans="1:6" ht="10.9" customHeight="1">
      <c r="A62" s="32" t="s">
        <v>252</v>
      </c>
      <c r="B62" s="30" t="s">
        <v>253</v>
      </c>
      <c r="C62" s="30" t="s">
        <v>145</v>
      </c>
      <c r="D62" s="31">
        <v>679.73</v>
      </c>
      <c r="E62" s="31">
        <v>91</v>
      </c>
      <c r="F62" s="33" t="s">
        <v>117</v>
      </c>
    </row>
    <row r="63" spans="1:6" ht="10.9" customHeight="1">
      <c r="A63" s="32" t="s">
        <v>254</v>
      </c>
      <c r="B63" s="30" t="s">
        <v>255</v>
      </c>
      <c r="C63" s="30" t="s">
        <v>128</v>
      </c>
      <c r="D63" s="31">
        <v>492.24</v>
      </c>
      <c r="E63" s="31">
        <v>-8</v>
      </c>
      <c r="F63" s="33" t="s">
        <v>121</v>
      </c>
    </row>
    <row r="64" spans="1:6" ht="10.9" customHeight="1">
      <c r="A64" s="32" t="s">
        <v>256</v>
      </c>
      <c r="B64" s="30" t="s">
        <v>257</v>
      </c>
      <c r="C64" s="30" t="s">
        <v>145</v>
      </c>
      <c r="D64" s="31">
        <v>823.49</v>
      </c>
      <c r="E64" s="31">
        <v>6</v>
      </c>
      <c r="F64" s="33" t="s">
        <v>125</v>
      </c>
    </row>
    <row r="65" spans="1:6" ht="10.9" customHeight="1">
      <c r="A65" s="32" t="s">
        <v>258</v>
      </c>
      <c r="B65" s="30" t="s">
        <v>259</v>
      </c>
      <c r="C65" s="30" t="s">
        <v>132</v>
      </c>
      <c r="D65" s="31">
        <v>117.4</v>
      </c>
      <c r="E65" s="31">
        <v>-5</v>
      </c>
      <c r="F65" s="33" t="s">
        <v>129</v>
      </c>
    </row>
    <row r="66" spans="1:6" ht="10.9" customHeight="1">
      <c r="A66" s="32" t="s">
        <v>260</v>
      </c>
      <c r="B66" s="30" t="s">
        <v>261</v>
      </c>
      <c r="C66" s="30" t="s">
        <v>132</v>
      </c>
      <c r="D66" s="31">
        <v>628.92999999999995</v>
      </c>
      <c r="E66" s="31">
        <v>8</v>
      </c>
      <c r="F66" s="33" t="s">
        <v>133</v>
      </c>
    </row>
    <row r="67" spans="1:6" ht="10.9" customHeight="1">
      <c r="A67" s="32" t="s">
        <v>262</v>
      </c>
      <c r="B67" s="30" t="s">
        <v>263</v>
      </c>
      <c r="C67" s="30" t="s">
        <v>145</v>
      </c>
      <c r="D67" s="31">
        <v>678.41</v>
      </c>
      <c r="E67" s="31">
        <v>54</v>
      </c>
      <c r="F67" s="33" t="s">
        <v>136</v>
      </c>
    </row>
    <row r="68" spans="1:6" ht="10.9" customHeight="1">
      <c r="A68" s="32" t="s">
        <v>264</v>
      </c>
      <c r="B68" s="30" t="s">
        <v>265</v>
      </c>
      <c r="C68" s="30" t="s">
        <v>187</v>
      </c>
      <c r="D68" s="31">
        <v>135.61000000000001</v>
      </c>
      <c r="E68" s="31">
        <v>57</v>
      </c>
      <c r="F68" s="33" t="s">
        <v>139</v>
      </c>
    </row>
    <row r="69" spans="1:6" ht="10.9" customHeight="1">
      <c r="A69" s="32" t="s">
        <v>266</v>
      </c>
      <c r="B69" s="30" t="s">
        <v>267</v>
      </c>
      <c r="C69" s="30" t="s">
        <v>187</v>
      </c>
      <c r="D69" s="31">
        <v>465.71</v>
      </c>
      <c r="E69" s="31">
        <v>64</v>
      </c>
      <c r="F69" s="34" t="s">
        <v>142</v>
      </c>
    </row>
    <row r="70" spans="1:6" ht="10.9" customHeight="1">
      <c r="A70" s="32" t="s">
        <v>268</v>
      </c>
      <c r="B70" s="30" t="s">
        <v>269</v>
      </c>
      <c r="C70" s="30" t="s">
        <v>128</v>
      </c>
      <c r="D70" s="31">
        <v>225.49</v>
      </c>
      <c r="E70" s="31">
        <v>67</v>
      </c>
      <c r="F70" s="33" t="s">
        <v>146</v>
      </c>
    </row>
    <row r="71" spans="1:6" ht="10.9" customHeight="1">
      <c r="A71" s="32" t="s">
        <v>270</v>
      </c>
      <c r="B71" s="30" t="s">
        <v>271</v>
      </c>
      <c r="C71" s="30" t="s">
        <v>120</v>
      </c>
      <c r="D71" s="31">
        <v>431.57</v>
      </c>
      <c r="E71" s="31">
        <v>9</v>
      </c>
      <c r="F71" s="33" t="s">
        <v>149</v>
      </c>
    </row>
    <row r="72" spans="1:6" ht="10.9" customHeight="1">
      <c r="A72" s="32" t="s">
        <v>272</v>
      </c>
      <c r="B72" s="30" t="s">
        <v>273</v>
      </c>
      <c r="C72" s="30" t="s">
        <v>187</v>
      </c>
      <c r="D72" s="31">
        <v>230.14</v>
      </c>
      <c r="E72" s="31">
        <v>56</v>
      </c>
      <c r="F72" s="33" t="s">
        <v>117</v>
      </c>
    </row>
    <row r="73" spans="1:6" ht="10.9" customHeight="1">
      <c r="A73" s="32" t="s">
        <v>274</v>
      </c>
      <c r="B73" s="30" t="s">
        <v>275</v>
      </c>
      <c r="C73" s="30" t="s">
        <v>187</v>
      </c>
      <c r="D73" s="31">
        <v>955.7</v>
      </c>
      <c r="E73" s="31">
        <v>63</v>
      </c>
      <c r="F73" s="33" t="s">
        <v>121</v>
      </c>
    </row>
    <row r="74" spans="1:6" ht="10.9" customHeight="1">
      <c r="A74" s="32" t="s">
        <v>276</v>
      </c>
      <c r="B74" s="30" t="s">
        <v>277</v>
      </c>
      <c r="C74" s="30" t="s">
        <v>128</v>
      </c>
      <c r="D74" s="31">
        <v>270.33</v>
      </c>
      <c r="E74" s="31">
        <v>66</v>
      </c>
      <c r="F74" s="33" t="s">
        <v>125</v>
      </c>
    </row>
    <row r="75" spans="1:6" ht="10.9" customHeight="1">
      <c r="A75" s="32" t="s">
        <v>278</v>
      </c>
      <c r="B75" s="30" t="s">
        <v>279</v>
      </c>
      <c r="C75" s="30" t="s">
        <v>132</v>
      </c>
      <c r="D75" s="31">
        <v>411.36</v>
      </c>
      <c r="E75" s="31">
        <v>74</v>
      </c>
      <c r="F75" s="33" t="s">
        <v>129</v>
      </c>
    </row>
    <row r="76" spans="1:6" ht="10.9" customHeight="1">
      <c r="A76" s="32" t="s">
        <v>280</v>
      </c>
      <c r="B76" s="30" t="s">
        <v>281</v>
      </c>
      <c r="C76" s="30" t="s">
        <v>128</v>
      </c>
      <c r="D76" s="31">
        <v>132.56</v>
      </c>
      <c r="E76" s="31">
        <v>4</v>
      </c>
      <c r="F76" s="33" t="s">
        <v>133</v>
      </c>
    </row>
    <row r="77" spans="1:6" ht="10.9" customHeight="1">
      <c r="A77" s="32" t="s">
        <v>282</v>
      </c>
      <c r="B77" s="30" t="s">
        <v>283</v>
      </c>
      <c r="C77" s="30" t="s">
        <v>132</v>
      </c>
      <c r="D77" s="31">
        <v>527.69000000000005</v>
      </c>
      <c r="E77" s="31">
        <v>97</v>
      </c>
      <c r="F77" s="33" t="s">
        <v>136</v>
      </c>
    </row>
    <row r="78" spans="1:6" ht="10.9" customHeight="1">
      <c r="A78" s="32" t="s">
        <v>284</v>
      </c>
      <c r="B78" s="30" t="s">
        <v>285</v>
      </c>
      <c r="C78" s="30" t="s">
        <v>145</v>
      </c>
      <c r="D78" s="31">
        <v>580.25</v>
      </c>
      <c r="E78" s="31">
        <v>21</v>
      </c>
      <c r="F78" s="33" t="s">
        <v>139</v>
      </c>
    </row>
    <row r="79" spans="1:6" ht="10.9" customHeight="1">
      <c r="A79" s="32" t="s">
        <v>286</v>
      </c>
      <c r="B79" s="30" t="s">
        <v>287</v>
      </c>
      <c r="C79" s="30" t="s">
        <v>120</v>
      </c>
      <c r="D79" s="31">
        <v>626.32000000000005</v>
      </c>
      <c r="E79" s="31">
        <v>65</v>
      </c>
      <c r="F79" s="34" t="s">
        <v>142</v>
      </c>
    </row>
    <row r="80" spans="1:6" ht="10.9" customHeight="1">
      <c r="A80" s="32" t="s">
        <v>288</v>
      </c>
      <c r="B80" s="30" t="s">
        <v>289</v>
      </c>
      <c r="C80" s="30" t="s">
        <v>145</v>
      </c>
      <c r="D80" s="31">
        <v>828.12</v>
      </c>
      <c r="E80" s="31">
        <v>84</v>
      </c>
      <c r="F80" s="33" t="s">
        <v>146</v>
      </c>
    </row>
    <row r="81" spans="1:6" ht="10.9" customHeight="1">
      <c r="A81" s="32" t="s">
        <v>290</v>
      </c>
      <c r="B81" s="30" t="s">
        <v>291</v>
      </c>
      <c r="C81" s="30" t="s">
        <v>120</v>
      </c>
      <c r="D81" s="31">
        <v>219.41</v>
      </c>
      <c r="E81" s="31">
        <v>18</v>
      </c>
      <c r="F81" s="33" t="s">
        <v>149</v>
      </c>
    </row>
    <row r="82" spans="1:6" ht="10.9" customHeight="1">
      <c r="A82" s="32" t="s">
        <v>292</v>
      </c>
      <c r="B82" s="30" t="s">
        <v>293</v>
      </c>
      <c r="C82" s="30" t="s">
        <v>187</v>
      </c>
      <c r="D82" s="31">
        <v>490.56</v>
      </c>
      <c r="E82" s="31">
        <v>4</v>
      </c>
      <c r="F82" s="33" t="s">
        <v>117</v>
      </c>
    </row>
    <row r="83" spans="1:6" ht="10.9" customHeight="1">
      <c r="A83" s="32" t="s">
        <v>294</v>
      </c>
      <c r="B83" s="30" t="s">
        <v>295</v>
      </c>
      <c r="C83" s="30" t="s">
        <v>187</v>
      </c>
      <c r="D83" s="31">
        <v>72.930000000000007</v>
      </c>
      <c r="E83" s="31">
        <v>1</v>
      </c>
      <c r="F83" s="33" t="s">
        <v>121</v>
      </c>
    </row>
    <row r="84" spans="1:6" ht="10.9" customHeight="1">
      <c r="A84" s="32" t="s">
        <v>296</v>
      </c>
      <c r="B84" s="30" t="s">
        <v>297</v>
      </c>
      <c r="C84" s="30" t="s">
        <v>120</v>
      </c>
      <c r="D84" s="31">
        <v>792.19</v>
      </c>
      <c r="E84" s="31">
        <v>41</v>
      </c>
      <c r="F84" s="33" t="s">
        <v>125</v>
      </c>
    </row>
    <row r="85" spans="1:6" ht="10.9" customHeight="1">
      <c r="A85" s="32" t="s">
        <v>298</v>
      </c>
      <c r="B85" s="30" t="s">
        <v>299</v>
      </c>
      <c r="C85" s="30" t="s">
        <v>132</v>
      </c>
      <c r="D85" s="31">
        <v>329.11</v>
      </c>
      <c r="E85" s="31">
        <v>68</v>
      </c>
      <c r="F85" s="33" t="s">
        <v>129</v>
      </c>
    </row>
    <row r="86" spans="1:6" ht="10.9" customHeight="1">
      <c r="A86" s="32" t="s">
        <v>300</v>
      </c>
      <c r="B86" s="30" t="s">
        <v>301</v>
      </c>
      <c r="C86" s="30" t="s">
        <v>132</v>
      </c>
      <c r="D86" s="31">
        <v>536.46</v>
      </c>
      <c r="E86" s="31">
        <v>25</v>
      </c>
      <c r="F86" s="33" t="s">
        <v>133</v>
      </c>
    </row>
    <row r="87" spans="1:6" ht="10.9" customHeight="1">
      <c r="A87" s="32" t="s">
        <v>302</v>
      </c>
      <c r="B87" s="30" t="s">
        <v>303</v>
      </c>
      <c r="C87" s="30" t="s">
        <v>128</v>
      </c>
      <c r="D87" s="31">
        <v>112.84</v>
      </c>
      <c r="E87" s="31">
        <v>67</v>
      </c>
      <c r="F87" s="33" t="s">
        <v>136</v>
      </c>
    </row>
    <row r="88" spans="1:6" ht="10.9" customHeight="1">
      <c r="A88" s="32" t="s">
        <v>304</v>
      </c>
      <c r="B88" s="30" t="s">
        <v>305</v>
      </c>
      <c r="C88" s="30" t="s">
        <v>120</v>
      </c>
      <c r="D88" s="31">
        <v>340.83</v>
      </c>
      <c r="E88" s="31">
        <v>9</v>
      </c>
      <c r="F88" s="33" t="s">
        <v>139</v>
      </c>
    </row>
    <row r="89" spans="1:6" ht="10.9" customHeight="1">
      <c r="A89" s="32" t="s">
        <v>306</v>
      </c>
      <c r="B89" s="30" t="s">
        <v>307</v>
      </c>
      <c r="C89" s="30" t="s">
        <v>132</v>
      </c>
      <c r="D89" s="31">
        <v>995.34</v>
      </c>
      <c r="E89" s="31">
        <v>77</v>
      </c>
      <c r="F89" s="34" t="s">
        <v>142</v>
      </c>
    </row>
    <row r="90" spans="1:6" ht="10.9" customHeight="1">
      <c r="A90" s="32" t="s">
        <v>308</v>
      </c>
      <c r="B90" s="30" t="s">
        <v>309</v>
      </c>
      <c r="C90" s="30" t="s">
        <v>132</v>
      </c>
      <c r="D90" s="31">
        <v>769.9</v>
      </c>
      <c r="E90" s="31">
        <v>99</v>
      </c>
      <c r="F90" s="33" t="s">
        <v>146</v>
      </c>
    </row>
    <row r="91" spans="1:6" ht="10.9" customHeight="1">
      <c r="A91" s="32" t="s">
        <v>310</v>
      </c>
      <c r="B91" s="30" t="s">
        <v>311</v>
      </c>
      <c r="C91" s="30" t="s">
        <v>120</v>
      </c>
      <c r="D91" s="31">
        <v>475.06</v>
      </c>
      <c r="E91" s="31">
        <v>95</v>
      </c>
      <c r="F91" s="33" t="s">
        <v>149</v>
      </c>
    </row>
    <row r="92" spans="1:6" ht="10.9" customHeight="1">
      <c r="A92" s="32" t="s">
        <v>312</v>
      </c>
      <c r="B92" s="30" t="s">
        <v>313</v>
      </c>
      <c r="C92" s="30" t="s">
        <v>132</v>
      </c>
      <c r="D92" s="31">
        <v>984.78</v>
      </c>
      <c r="E92" s="31">
        <v>59</v>
      </c>
      <c r="F92" s="33" t="s">
        <v>117</v>
      </c>
    </row>
    <row r="93" spans="1:6" ht="10.9" customHeight="1">
      <c r="A93" s="32" t="s">
        <v>314</v>
      </c>
      <c r="B93" s="30" t="s">
        <v>315</v>
      </c>
      <c r="C93" s="30" t="s">
        <v>132</v>
      </c>
      <c r="D93" s="31">
        <v>827.37</v>
      </c>
      <c r="E93" s="31">
        <v>39</v>
      </c>
      <c r="F93" s="33" t="s">
        <v>121</v>
      </c>
    </row>
    <row r="94" spans="1:6" ht="10.9" customHeight="1">
      <c r="A94" s="32" t="s">
        <v>316</v>
      </c>
      <c r="B94" s="30" t="s">
        <v>317</v>
      </c>
      <c r="C94" s="30" t="s">
        <v>128</v>
      </c>
      <c r="D94" s="31">
        <v>583.88</v>
      </c>
      <c r="E94" s="31">
        <v>20</v>
      </c>
      <c r="F94" s="33" t="s">
        <v>125</v>
      </c>
    </row>
    <row r="95" spans="1:6" ht="10.9" customHeight="1">
      <c r="A95" s="32" t="s">
        <v>318</v>
      </c>
      <c r="B95" s="30" t="s">
        <v>319</v>
      </c>
      <c r="C95" s="30" t="s">
        <v>187</v>
      </c>
      <c r="D95" s="31">
        <v>147.41999999999999</v>
      </c>
      <c r="E95" s="31">
        <v>68</v>
      </c>
      <c r="F95" s="33" t="s">
        <v>129</v>
      </c>
    </row>
    <row r="96" spans="1:6" ht="10.9" customHeight="1">
      <c r="A96" s="32" t="s">
        <v>320</v>
      </c>
      <c r="B96" s="30" t="s">
        <v>321</v>
      </c>
      <c r="C96" s="30" t="s">
        <v>187</v>
      </c>
      <c r="D96" s="31">
        <v>728.6</v>
      </c>
      <c r="E96" s="31">
        <v>30</v>
      </c>
      <c r="F96" s="33" t="s">
        <v>133</v>
      </c>
    </row>
    <row r="97" spans="1:6" ht="10.9" customHeight="1">
      <c r="A97" s="32" t="s">
        <v>322</v>
      </c>
      <c r="B97" s="30" t="s">
        <v>323</v>
      </c>
      <c r="C97" s="30" t="s">
        <v>145</v>
      </c>
      <c r="D97" s="31">
        <v>590.16</v>
      </c>
      <c r="E97" s="31">
        <v>63</v>
      </c>
      <c r="F97" s="33" t="s">
        <v>136</v>
      </c>
    </row>
    <row r="98" spans="1:6" ht="10.9" customHeight="1">
      <c r="A98" s="32" t="s">
        <v>324</v>
      </c>
      <c r="B98" s="30" t="s">
        <v>325</v>
      </c>
      <c r="C98" s="30" t="s">
        <v>120</v>
      </c>
      <c r="D98" s="31">
        <v>889.08</v>
      </c>
      <c r="E98" s="31">
        <v>9</v>
      </c>
      <c r="F98" s="33" t="s">
        <v>139</v>
      </c>
    </row>
    <row r="99" spans="1:6" ht="10.9" customHeight="1">
      <c r="A99" s="32" t="s">
        <v>326</v>
      </c>
      <c r="B99" s="30" t="s">
        <v>327</v>
      </c>
      <c r="C99" s="30" t="s">
        <v>187</v>
      </c>
      <c r="D99" s="31">
        <v>57.22</v>
      </c>
      <c r="E99" s="31">
        <v>34</v>
      </c>
      <c r="F99" s="34" t="s">
        <v>142</v>
      </c>
    </row>
    <row r="100" spans="1:6" ht="10.9" customHeight="1">
      <c r="A100" s="32" t="s">
        <v>328</v>
      </c>
      <c r="B100" s="30" t="s">
        <v>329</v>
      </c>
      <c r="C100" s="30" t="s">
        <v>120</v>
      </c>
      <c r="D100" s="31">
        <v>401.24</v>
      </c>
      <c r="E100" s="31">
        <v>43</v>
      </c>
      <c r="F100" s="33" t="s">
        <v>146</v>
      </c>
    </row>
    <row r="101" spans="1:6" ht="10.9" customHeight="1">
      <c r="A101" s="32" t="s">
        <v>330</v>
      </c>
      <c r="B101" s="30" t="s">
        <v>331</v>
      </c>
      <c r="C101" s="30" t="s">
        <v>132</v>
      </c>
      <c r="D101" s="31">
        <v>796.33</v>
      </c>
      <c r="E101" s="31">
        <v>99</v>
      </c>
      <c r="F101" s="33" t="s">
        <v>149</v>
      </c>
    </row>
    <row r="102" spans="1:6" ht="10.9" customHeight="1">
      <c r="A102" s="32" t="s">
        <v>332</v>
      </c>
      <c r="B102" s="30" t="s">
        <v>333</v>
      </c>
      <c r="C102" s="30" t="s">
        <v>128</v>
      </c>
      <c r="D102" s="31">
        <v>802.31</v>
      </c>
      <c r="E102" s="31">
        <v>97</v>
      </c>
      <c r="F102" s="33" t="s">
        <v>117</v>
      </c>
    </row>
    <row r="103" spans="1:6" ht="10.9" customHeight="1">
      <c r="A103" s="32" t="s">
        <v>334</v>
      </c>
      <c r="B103" s="30" t="s">
        <v>335</v>
      </c>
      <c r="C103" s="30" t="s">
        <v>120</v>
      </c>
      <c r="D103" s="31">
        <v>612.07000000000005</v>
      </c>
      <c r="E103" s="31">
        <v>25</v>
      </c>
      <c r="F103" s="33" t="s">
        <v>121</v>
      </c>
    </row>
    <row r="104" spans="1:6" ht="10.9" customHeight="1">
      <c r="A104" s="32" t="s">
        <v>336</v>
      </c>
      <c r="B104" s="30" t="s">
        <v>337</v>
      </c>
      <c r="C104" s="30" t="s">
        <v>187</v>
      </c>
      <c r="D104" s="31">
        <v>366.32</v>
      </c>
      <c r="E104" s="31">
        <v>12</v>
      </c>
      <c r="F104" s="33" t="s">
        <v>125</v>
      </c>
    </row>
    <row r="105" spans="1:6" ht="10.9" customHeight="1">
      <c r="A105" s="32" t="s">
        <v>338</v>
      </c>
      <c r="B105" s="30" t="s">
        <v>339</v>
      </c>
      <c r="C105" s="30" t="s">
        <v>128</v>
      </c>
      <c r="D105" s="31">
        <v>241.28</v>
      </c>
      <c r="E105" s="31">
        <v>21</v>
      </c>
      <c r="F105" s="33" t="s">
        <v>129</v>
      </c>
    </row>
    <row r="106" spans="1:6" ht="10.9" customHeight="1">
      <c r="A106" s="32" t="s">
        <v>340</v>
      </c>
      <c r="B106" s="30" t="s">
        <v>341</v>
      </c>
      <c r="C106" s="30" t="s">
        <v>128</v>
      </c>
      <c r="D106" s="31">
        <v>55.88</v>
      </c>
      <c r="E106" s="31">
        <v>11</v>
      </c>
      <c r="F106" s="33" t="s">
        <v>133</v>
      </c>
    </row>
    <row r="107" spans="1:6" ht="10.9" customHeight="1">
      <c r="A107" s="32" t="s">
        <v>342</v>
      </c>
      <c r="B107" s="30" t="s">
        <v>343</v>
      </c>
      <c r="C107" s="30" t="s">
        <v>145</v>
      </c>
      <c r="D107" s="31">
        <v>876.55</v>
      </c>
      <c r="E107" s="31">
        <v>-9</v>
      </c>
      <c r="F107" s="33" t="s">
        <v>136</v>
      </c>
    </row>
    <row r="108" spans="1:6" ht="10.9" customHeight="1">
      <c r="A108" s="32" t="s">
        <v>344</v>
      </c>
      <c r="B108" s="30" t="s">
        <v>345</v>
      </c>
      <c r="C108" s="30" t="s">
        <v>187</v>
      </c>
      <c r="D108" s="31">
        <v>411.54</v>
      </c>
      <c r="E108" s="31">
        <v>98</v>
      </c>
      <c r="F108" s="33" t="s">
        <v>139</v>
      </c>
    </row>
    <row r="109" spans="1:6" ht="10.9" customHeight="1">
      <c r="A109" s="32" t="s">
        <v>346</v>
      </c>
      <c r="B109" s="30" t="s">
        <v>347</v>
      </c>
      <c r="C109" s="30" t="s">
        <v>128</v>
      </c>
      <c r="D109" s="31">
        <v>756.41</v>
      </c>
      <c r="E109" s="31">
        <v>63</v>
      </c>
      <c r="F109" s="34" t="s">
        <v>142</v>
      </c>
    </row>
    <row r="110" spans="1:6" ht="10.9" customHeight="1">
      <c r="A110" s="32" t="s">
        <v>348</v>
      </c>
      <c r="B110" s="30" t="s">
        <v>349</v>
      </c>
      <c r="C110" s="30" t="s">
        <v>145</v>
      </c>
      <c r="D110" s="31">
        <v>302.37</v>
      </c>
      <c r="E110" s="31">
        <v>75</v>
      </c>
      <c r="F110" s="33" t="s">
        <v>146</v>
      </c>
    </row>
    <row r="111" spans="1:6" ht="10.9" customHeight="1">
      <c r="A111" s="32" t="s">
        <v>350</v>
      </c>
      <c r="B111" s="30" t="s">
        <v>351</v>
      </c>
      <c r="C111" s="30" t="s">
        <v>145</v>
      </c>
      <c r="D111" s="31">
        <v>510.18</v>
      </c>
      <c r="E111" s="31">
        <v>86</v>
      </c>
      <c r="F111" s="33" t="s">
        <v>149</v>
      </c>
    </row>
    <row r="112" spans="1:6" ht="10.9" customHeight="1">
      <c r="A112" s="32" t="s">
        <v>352</v>
      </c>
      <c r="B112" s="30" t="s">
        <v>353</v>
      </c>
      <c r="C112" s="30" t="s">
        <v>132</v>
      </c>
      <c r="D112" s="31">
        <v>220.09</v>
      </c>
      <c r="E112" s="31">
        <v>82</v>
      </c>
      <c r="F112" s="33" t="s">
        <v>117</v>
      </c>
    </row>
    <row r="113" spans="1:6" ht="10.9" customHeight="1">
      <c r="A113" s="32" t="s">
        <v>354</v>
      </c>
      <c r="B113" s="30" t="s">
        <v>355</v>
      </c>
      <c r="C113" s="30" t="s">
        <v>145</v>
      </c>
      <c r="D113" s="31">
        <v>601.62</v>
      </c>
      <c r="E113" s="31">
        <v>42</v>
      </c>
      <c r="F113" s="33" t="s">
        <v>121</v>
      </c>
    </row>
    <row r="114" spans="1:6" ht="10.9" customHeight="1">
      <c r="A114" s="32" t="s">
        <v>356</v>
      </c>
      <c r="B114" s="30" t="s">
        <v>357</v>
      </c>
      <c r="C114" s="30" t="s">
        <v>120</v>
      </c>
      <c r="D114" s="31">
        <v>919.78</v>
      </c>
      <c r="E114" s="31">
        <v>90</v>
      </c>
      <c r="F114" s="33" t="s">
        <v>125</v>
      </c>
    </row>
    <row r="115" spans="1:6" ht="10.9" customHeight="1">
      <c r="A115" s="32" t="s">
        <v>358</v>
      </c>
      <c r="B115" s="30" t="s">
        <v>359</v>
      </c>
      <c r="C115" s="30" t="s">
        <v>187</v>
      </c>
      <c r="D115" s="31">
        <v>290.58999999999997</v>
      </c>
      <c r="E115" s="31">
        <v>55</v>
      </c>
      <c r="F115" s="33" t="s">
        <v>129</v>
      </c>
    </row>
    <row r="116" spans="1:6" ht="10.9" customHeight="1">
      <c r="A116" s="32" t="s">
        <v>360</v>
      </c>
      <c r="B116" s="30" t="s">
        <v>361</v>
      </c>
      <c r="C116" s="30" t="s">
        <v>120</v>
      </c>
      <c r="D116" s="31">
        <v>237.22</v>
      </c>
      <c r="E116" s="31">
        <v>42</v>
      </c>
      <c r="F116" s="33" t="s">
        <v>133</v>
      </c>
    </row>
    <row r="117" spans="1:6" ht="10.9" customHeight="1">
      <c r="A117" s="32" t="s">
        <v>362</v>
      </c>
      <c r="B117" s="30" t="s">
        <v>363</v>
      </c>
      <c r="C117" s="30" t="s">
        <v>128</v>
      </c>
      <c r="D117" s="31">
        <v>100.65</v>
      </c>
      <c r="E117" s="31">
        <v>84</v>
      </c>
      <c r="F117" s="33" t="s">
        <v>136</v>
      </c>
    </row>
    <row r="118" spans="1:6" ht="10.9" customHeight="1">
      <c r="A118" s="32" t="s">
        <v>364</v>
      </c>
      <c r="B118" s="30" t="s">
        <v>365</v>
      </c>
      <c r="C118" s="30" t="s">
        <v>120</v>
      </c>
      <c r="D118" s="31">
        <v>274.7</v>
      </c>
      <c r="E118" s="31">
        <v>96</v>
      </c>
      <c r="F118" s="33" t="s">
        <v>139</v>
      </c>
    </row>
    <row r="119" spans="1:6" ht="10.9" customHeight="1">
      <c r="A119" s="32" t="s">
        <v>366</v>
      </c>
      <c r="B119" s="30" t="s">
        <v>367</v>
      </c>
      <c r="C119" s="30" t="s">
        <v>145</v>
      </c>
      <c r="D119" s="31">
        <v>524.96</v>
      </c>
      <c r="E119" s="31">
        <v>62</v>
      </c>
      <c r="F119" s="34" t="s">
        <v>142</v>
      </c>
    </row>
    <row r="120" spans="1:6" ht="10.9" customHeight="1">
      <c r="A120" s="32" t="s">
        <v>368</v>
      </c>
      <c r="B120" s="30" t="s">
        <v>369</v>
      </c>
      <c r="C120" s="30" t="s">
        <v>120</v>
      </c>
      <c r="D120" s="31">
        <v>794.42</v>
      </c>
      <c r="E120" s="31">
        <v>25</v>
      </c>
      <c r="F120" s="33" t="s">
        <v>146</v>
      </c>
    </row>
    <row r="121" spans="1:6" ht="10.9" customHeight="1">
      <c r="A121" s="32" t="s">
        <v>370</v>
      </c>
      <c r="B121" s="30" t="s">
        <v>371</v>
      </c>
      <c r="C121" s="30" t="s">
        <v>145</v>
      </c>
      <c r="D121" s="31">
        <v>466.35</v>
      </c>
      <c r="E121" s="31">
        <v>36</v>
      </c>
      <c r="F121" s="33" t="s">
        <v>149</v>
      </c>
    </row>
    <row r="122" spans="1:6" ht="10.9" customHeight="1">
      <c r="A122" s="32" t="s">
        <v>372</v>
      </c>
      <c r="B122" s="30" t="s">
        <v>373</v>
      </c>
      <c r="C122" s="30" t="s">
        <v>120</v>
      </c>
      <c r="D122" s="31">
        <v>304.88</v>
      </c>
      <c r="E122" s="31">
        <v>68</v>
      </c>
      <c r="F122" s="33" t="s">
        <v>117</v>
      </c>
    </row>
    <row r="123" spans="1:6" ht="10.9" customHeight="1">
      <c r="A123" s="32" t="s">
        <v>374</v>
      </c>
      <c r="B123" s="30" t="s">
        <v>375</v>
      </c>
      <c r="C123" s="30" t="s">
        <v>120</v>
      </c>
      <c r="D123" s="31">
        <v>134.71</v>
      </c>
      <c r="E123" s="31">
        <v>45</v>
      </c>
      <c r="F123" s="33" t="s">
        <v>121</v>
      </c>
    </row>
    <row r="124" spans="1:6" ht="10.9" customHeight="1">
      <c r="A124" s="32" t="s">
        <v>376</v>
      </c>
      <c r="B124" s="30" t="s">
        <v>377</v>
      </c>
      <c r="C124" s="30" t="s">
        <v>132</v>
      </c>
      <c r="D124" s="31">
        <v>458.52</v>
      </c>
      <c r="E124" s="31">
        <v>76</v>
      </c>
      <c r="F124" s="33" t="s">
        <v>125</v>
      </c>
    </row>
    <row r="125" spans="1:6" ht="10.9" customHeight="1">
      <c r="A125" s="32" t="s">
        <v>378</v>
      </c>
      <c r="B125" s="30" t="s">
        <v>379</v>
      </c>
      <c r="C125" s="30" t="s">
        <v>187</v>
      </c>
      <c r="D125" s="31">
        <v>892.51</v>
      </c>
      <c r="E125" s="31">
        <v>80</v>
      </c>
      <c r="F125" s="33" t="s">
        <v>129</v>
      </c>
    </row>
    <row r="126" spans="1:6" ht="10.9" customHeight="1">
      <c r="A126" s="32" t="s">
        <v>380</v>
      </c>
      <c r="B126" s="30" t="s">
        <v>381</v>
      </c>
      <c r="C126" s="30" t="s">
        <v>128</v>
      </c>
      <c r="D126" s="31">
        <v>884.02</v>
      </c>
      <c r="E126" s="31">
        <v>41</v>
      </c>
      <c r="F126" s="33" t="s">
        <v>133</v>
      </c>
    </row>
    <row r="127" spans="1:6" ht="10.9" customHeight="1">
      <c r="A127" s="32" t="s">
        <v>382</v>
      </c>
      <c r="B127" s="30" t="s">
        <v>383</v>
      </c>
      <c r="C127" s="30" t="s">
        <v>120</v>
      </c>
      <c r="D127" s="31">
        <v>987.58</v>
      </c>
      <c r="E127" s="31">
        <v>84</v>
      </c>
      <c r="F127" s="33" t="s">
        <v>136</v>
      </c>
    </row>
    <row r="128" spans="1:6" ht="10.9" customHeight="1">
      <c r="A128" s="32" t="s">
        <v>384</v>
      </c>
      <c r="B128" s="30" t="s">
        <v>385</v>
      </c>
      <c r="C128" s="30" t="s">
        <v>128</v>
      </c>
      <c r="D128" s="31">
        <v>377.17</v>
      </c>
      <c r="E128" s="31">
        <v>94</v>
      </c>
      <c r="F128" s="33" t="s">
        <v>139</v>
      </c>
    </row>
    <row r="129" spans="1:6" ht="10.9" customHeight="1">
      <c r="A129" s="32" t="s">
        <v>386</v>
      </c>
      <c r="B129" s="30" t="s">
        <v>387</v>
      </c>
      <c r="C129" s="30" t="s">
        <v>128</v>
      </c>
      <c r="D129" s="31">
        <v>163.44</v>
      </c>
      <c r="E129" s="31">
        <v>12</v>
      </c>
      <c r="F129" s="34" t="s">
        <v>142</v>
      </c>
    </row>
    <row r="130" spans="1:6" ht="10.9" customHeight="1">
      <c r="A130" s="32" t="s">
        <v>388</v>
      </c>
      <c r="B130" s="30" t="s">
        <v>389</v>
      </c>
      <c r="C130" s="30" t="s">
        <v>187</v>
      </c>
      <c r="D130" s="31">
        <v>328.15</v>
      </c>
      <c r="E130" s="31">
        <v>70</v>
      </c>
      <c r="F130" s="33" t="s">
        <v>146</v>
      </c>
    </row>
    <row r="131" spans="1:6" ht="10.9" customHeight="1">
      <c r="A131" s="32" t="s">
        <v>390</v>
      </c>
      <c r="B131" s="30" t="s">
        <v>391</v>
      </c>
      <c r="C131" s="30" t="s">
        <v>120</v>
      </c>
      <c r="D131" s="31">
        <v>73.709999999999994</v>
      </c>
      <c r="E131" s="31">
        <v>78</v>
      </c>
      <c r="F131" s="33" t="s">
        <v>149</v>
      </c>
    </row>
    <row r="132" spans="1:6" ht="10.9" customHeight="1">
      <c r="A132" s="32" t="s">
        <v>392</v>
      </c>
      <c r="B132" s="30" t="s">
        <v>393</v>
      </c>
      <c r="C132" s="30" t="s">
        <v>120</v>
      </c>
      <c r="D132" s="31">
        <v>140.4</v>
      </c>
      <c r="E132" s="31">
        <v>32</v>
      </c>
      <c r="F132" s="33" t="s">
        <v>117</v>
      </c>
    </row>
    <row r="133" spans="1:6" ht="10.9" customHeight="1">
      <c r="A133" s="32" t="s">
        <v>394</v>
      </c>
      <c r="B133" s="30" t="s">
        <v>395</v>
      </c>
      <c r="C133" s="30" t="s">
        <v>187</v>
      </c>
      <c r="D133" s="31">
        <v>212.57</v>
      </c>
      <c r="E133" s="31">
        <v>13</v>
      </c>
      <c r="F133" s="33" t="s">
        <v>121</v>
      </c>
    </row>
    <row r="134" spans="1:6" ht="10.9" customHeight="1">
      <c r="A134" s="32" t="s">
        <v>396</v>
      </c>
      <c r="B134" s="30" t="s">
        <v>397</v>
      </c>
      <c r="C134" s="30" t="s">
        <v>187</v>
      </c>
      <c r="D134" s="31">
        <v>949.27</v>
      </c>
      <c r="E134" s="31">
        <v>94</v>
      </c>
      <c r="F134" s="33" t="s">
        <v>125</v>
      </c>
    </row>
    <row r="135" spans="1:6" ht="10.9" customHeight="1">
      <c r="A135" s="32" t="s">
        <v>398</v>
      </c>
      <c r="B135" s="30" t="s">
        <v>399</v>
      </c>
      <c r="C135" s="30" t="s">
        <v>120</v>
      </c>
      <c r="D135" s="31">
        <v>497.68</v>
      </c>
      <c r="E135" s="31">
        <v>-2</v>
      </c>
      <c r="F135" s="33" t="s">
        <v>129</v>
      </c>
    </row>
    <row r="136" spans="1:6" ht="10.9" customHeight="1">
      <c r="A136" s="32" t="s">
        <v>400</v>
      </c>
      <c r="B136" s="30" t="s">
        <v>401</v>
      </c>
      <c r="C136" s="30" t="s">
        <v>145</v>
      </c>
      <c r="D136" s="31">
        <v>603.72</v>
      </c>
      <c r="E136" s="31">
        <v>45</v>
      </c>
      <c r="F136" s="33" t="s">
        <v>133</v>
      </c>
    </row>
    <row r="137" spans="1:6" ht="10.9" customHeight="1">
      <c r="A137" s="32" t="s">
        <v>402</v>
      </c>
      <c r="B137" s="30" t="s">
        <v>403</v>
      </c>
      <c r="C137" s="30" t="s">
        <v>187</v>
      </c>
      <c r="D137" s="31">
        <v>229.05</v>
      </c>
      <c r="E137" s="31">
        <v>-8</v>
      </c>
      <c r="F137" s="33" t="s">
        <v>136</v>
      </c>
    </row>
    <row r="138" spans="1:6" ht="10.9" customHeight="1">
      <c r="A138" s="32" t="s">
        <v>404</v>
      </c>
      <c r="B138" s="30" t="s">
        <v>405</v>
      </c>
      <c r="C138" s="30" t="s">
        <v>187</v>
      </c>
      <c r="D138" s="31">
        <v>704</v>
      </c>
      <c r="E138" s="31">
        <v>68</v>
      </c>
      <c r="F138" s="33" t="s">
        <v>139</v>
      </c>
    </row>
    <row r="139" spans="1:6" ht="10.9" customHeight="1">
      <c r="A139" s="32" t="s">
        <v>406</v>
      </c>
      <c r="B139" s="30" t="s">
        <v>407</v>
      </c>
      <c r="C139" s="30" t="s">
        <v>187</v>
      </c>
      <c r="D139" s="31">
        <v>187.68</v>
      </c>
      <c r="E139" s="31">
        <v>64</v>
      </c>
      <c r="F139" s="34" t="s">
        <v>142</v>
      </c>
    </row>
    <row r="140" spans="1:6" ht="10.9" customHeight="1">
      <c r="A140" s="32" t="s">
        <v>408</v>
      </c>
      <c r="B140" s="30" t="s">
        <v>409</v>
      </c>
      <c r="C140" s="30" t="s">
        <v>132</v>
      </c>
      <c r="D140" s="31">
        <v>794.47</v>
      </c>
      <c r="E140" s="31">
        <v>85</v>
      </c>
      <c r="F140" s="33" t="s">
        <v>146</v>
      </c>
    </row>
    <row r="141" spans="1:6" ht="10.9" customHeight="1">
      <c r="A141" s="32" t="s">
        <v>410</v>
      </c>
      <c r="B141" s="30" t="s">
        <v>411</v>
      </c>
      <c r="C141" s="30" t="s">
        <v>145</v>
      </c>
      <c r="D141" s="31">
        <v>113.89</v>
      </c>
      <c r="E141" s="31">
        <v>-2</v>
      </c>
      <c r="F141" s="33" t="s">
        <v>149</v>
      </c>
    </row>
    <row r="142" spans="1:6" ht="10.9" customHeight="1">
      <c r="A142" s="32" t="s">
        <v>412</v>
      </c>
      <c r="B142" s="30" t="s">
        <v>413</v>
      </c>
      <c r="C142" s="30" t="s">
        <v>120</v>
      </c>
      <c r="D142" s="31">
        <v>579.39</v>
      </c>
      <c r="E142" s="31">
        <v>62</v>
      </c>
      <c r="F142" s="33" t="s">
        <v>117</v>
      </c>
    </row>
    <row r="143" spans="1:6" ht="10.9" customHeight="1">
      <c r="A143" s="32" t="s">
        <v>414</v>
      </c>
      <c r="B143" s="30" t="s">
        <v>415</v>
      </c>
      <c r="C143" s="30" t="s">
        <v>145</v>
      </c>
      <c r="D143" s="31">
        <v>681.47</v>
      </c>
      <c r="E143" s="31">
        <v>24</v>
      </c>
      <c r="F143" s="33" t="s">
        <v>121</v>
      </c>
    </row>
    <row r="144" spans="1:6" ht="10.9" customHeight="1">
      <c r="A144" s="32" t="s">
        <v>416</v>
      </c>
      <c r="B144" s="30" t="s">
        <v>417</v>
      </c>
      <c r="C144" s="30" t="s">
        <v>145</v>
      </c>
      <c r="D144" s="31">
        <v>86.67</v>
      </c>
      <c r="E144" s="31">
        <v>14</v>
      </c>
      <c r="F144" s="33" t="s">
        <v>125</v>
      </c>
    </row>
    <row r="145" spans="1:6" ht="10.9" customHeight="1">
      <c r="A145" s="32" t="s">
        <v>418</v>
      </c>
      <c r="B145" s="30" t="s">
        <v>419</v>
      </c>
      <c r="C145" s="30" t="s">
        <v>132</v>
      </c>
      <c r="D145" s="31">
        <v>380.33</v>
      </c>
      <c r="E145" s="31">
        <v>38</v>
      </c>
      <c r="F145" s="33" t="s">
        <v>129</v>
      </c>
    </row>
    <row r="146" spans="1:6" ht="10.9" customHeight="1">
      <c r="A146" s="32" t="s">
        <v>420</v>
      </c>
      <c r="B146" s="30" t="s">
        <v>421</v>
      </c>
      <c r="C146" s="30" t="s">
        <v>128</v>
      </c>
      <c r="D146" s="31">
        <v>684.58</v>
      </c>
      <c r="E146" s="31">
        <v>52</v>
      </c>
      <c r="F146" s="33" t="s">
        <v>133</v>
      </c>
    </row>
    <row r="147" spans="1:6" ht="10.9" customHeight="1">
      <c r="A147" s="32" t="s">
        <v>422</v>
      </c>
      <c r="B147" s="30" t="s">
        <v>423</v>
      </c>
      <c r="C147" s="30" t="s">
        <v>132</v>
      </c>
      <c r="D147" s="31">
        <v>618.16999999999996</v>
      </c>
      <c r="E147" s="31">
        <v>28</v>
      </c>
      <c r="F147" s="33" t="s">
        <v>136</v>
      </c>
    </row>
    <row r="148" spans="1:6" ht="10.9" customHeight="1">
      <c r="A148" s="32" t="s">
        <v>424</v>
      </c>
      <c r="B148" s="30" t="s">
        <v>425</v>
      </c>
      <c r="C148" s="30" t="s">
        <v>132</v>
      </c>
      <c r="D148" s="31">
        <v>156.01</v>
      </c>
      <c r="E148" s="31">
        <v>88</v>
      </c>
      <c r="F148" s="33" t="s">
        <v>139</v>
      </c>
    </row>
    <row r="149" spans="1:6" ht="10.9" customHeight="1">
      <c r="A149" s="32" t="s">
        <v>426</v>
      </c>
      <c r="B149" s="30" t="s">
        <v>427</v>
      </c>
      <c r="C149" s="30" t="s">
        <v>128</v>
      </c>
      <c r="D149" s="31">
        <v>515.30999999999995</v>
      </c>
      <c r="E149" s="31">
        <v>55</v>
      </c>
      <c r="F149" s="34" t="s">
        <v>142</v>
      </c>
    </row>
    <row r="150" spans="1:6" ht="10.9" customHeight="1">
      <c r="A150" s="32" t="s">
        <v>428</v>
      </c>
      <c r="B150" s="30" t="s">
        <v>429</v>
      </c>
      <c r="C150" s="30" t="s">
        <v>145</v>
      </c>
      <c r="D150" s="31">
        <v>696.43</v>
      </c>
      <c r="E150" s="31">
        <v>53</v>
      </c>
      <c r="F150" s="33" t="s">
        <v>146</v>
      </c>
    </row>
    <row r="151" spans="1:6" ht="10.9" customHeight="1">
      <c r="A151" s="32" t="s">
        <v>430</v>
      </c>
      <c r="B151" s="30" t="s">
        <v>431</v>
      </c>
      <c r="C151" s="30" t="s">
        <v>132</v>
      </c>
      <c r="D151" s="31">
        <v>179.42</v>
      </c>
      <c r="E151" s="31">
        <v>43</v>
      </c>
      <c r="F151" s="33" t="s">
        <v>149</v>
      </c>
    </row>
    <row r="152" spans="1:6" ht="10.9" customHeight="1">
      <c r="A152" s="32" t="s">
        <v>432</v>
      </c>
      <c r="B152" s="30" t="s">
        <v>433</v>
      </c>
      <c r="C152" s="30" t="s">
        <v>187</v>
      </c>
      <c r="D152" s="31">
        <v>129.47999999999999</v>
      </c>
      <c r="E152" s="31">
        <v>94</v>
      </c>
      <c r="F152" s="33" t="s">
        <v>117</v>
      </c>
    </row>
    <row r="153" spans="1:6" ht="10.9" customHeight="1">
      <c r="A153" s="32" t="s">
        <v>434</v>
      </c>
      <c r="B153" s="30" t="s">
        <v>435</v>
      </c>
      <c r="C153" s="30" t="s">
        <v>120</v>
      </c>
      <c r="D153" s="31">
        <v>447.07</v>
      </c>
      <c r="E153" s="31">
        <v>45</v>
      </c>
      <c r="F153" s="33" t="s">
        <v>121</v>
      </c>
    </row>
    <row r="154" spans="1:6" ht="10.9" customHeight="1">
      <c r="A154" s="32" t="s">
        <v>436</v>
      </c>
      <c r="B154" s="30" t="s">
        <v>437</v>
      </c>
      <c r="C154" s="30" t="s">
        <v>187</v>
      </c>
      <c r="D154" s="31">
        <v>223.62</v>
      </c>
      <c r="E154" s="31">
        <v>71</v>
      </c>
      <c r="F154" s="33" t="s">
        <v>125</v>
      </c>
    </row>
    <row r="155" spans="1:6" ht="10.9" customHeight="1">
      <c r="A155" s="32" t="s">
        <v>438</v>
      </c>
      <c r="B155" s="30" t="s">
        <v>439</v>
      </c>
      <c r="C155" s="30" t="s">
        <v>132</v>
      </c>
      <c r="D155" s="31">
        <v>183.53</v>
      </c>
      <c r="E155" s="31">
        <v>91</v>
      </c>
      <c r="F155" s="33" t="s">
        <v>129</v>
      </c>
    </row>
    <row r="156" spans="1:6" ht="10.9" customHeight="1">
      <c r="A156" s="32" t="s">
        <v>440</v>
      </c>
      <c r="B156" s="30" t="s">
        <v>441</v>
      </c>
      <c r="C156" s="30" t="s">
        <v>187</v>
      </c>
      <c r="D156" s="31">
        <v>183.46</v>
      </c>
      <c r="E156" s="31">
        <v>21</v>
      </c>
      <c r="F156" s="33" t="s">
        <v>133</v>
      </c>
    </row>
    <row r="157" spans="1:6" ht="10.9" customHeight="1">
      <c r="A157" s="32" t="s">
        <v>442</v>
      </c>
      <c r="B157" s="30" t="s">
        <v>443</v>
      </c>
      <c r="C157" s="30" t="s">
        <v>120</v>
      </c>
      <c r="D157" s="31">
        <v>516.53</v>
      </c>
      <c r="E157" s="31">
        <v>8</v>
      </c>
      <c r="F157" s="33" t="s">
        <v>136</v>
      </c>
    </row>
    <row r="158" spans="1:6" ht="10.9" customHeight="1">
      <c r="A158" s="32" t="s">
        <v>444</v>
      </c>
      <c r="B158" s="30" t="s">
        <v>445</v>
      </c>
      <c r="C158" s="30" t="s">
        <v>128</v>
      </c>
      <c r="D158" s="31">
        <v>87.03</v>
      </c>
      <c r="E158" s="31">
        <v>59</v>
      </c>
      <c r="F158" s="33" t="s">
        <v>139</v>
      </c>
    </row>
    <row r="159" spans="1:6" ht="10.9" customHeight="1">
      <c r="A159" s="32" t="s">
        <v>446</v>
      </c>
      <c r="B159" s="30" t="s">
        <v>447</v>
      </c>
      <c r="C159" s="30" t="s">
        <v>120</v>
      </c>
      <c r="D159" s="31">
        <v>685.79</v>
      </c>
      <c r="E159" s="31">
        <v>41</v>
      </c>
      <c r="F159" s="34" t="s">
        <v>142</v>
      </c>
    </row>
    <row r="160" spans="1:6" ht="10.9" customHeight="1">
      <c r="A160" s="32" t="s">
        <v>448</v>
      </c>
      <c r="B160" s="30" t="s">
        <v>449</v>
      </c>
      <c r="C160" s="30" t="s">
        <v>132</v>
      </c>
      <c r="D160" s="31">
        <v>729.48</v>
      </c>
      <c r="E160" s="31">
        <v>53</v>
      </c>
      <c r="F160" s="33" t="s">
        <v>146</v>
      </c>
    </row>
    <row r="161" spans="1:6" ht="10.9" customHeight="1">
      <c r="A161" s="32" t="s">
        <v>450</v>
      </c>
      <c r="B161" s="30" t="s">
        <v>451</v>
      </c>
      <c r="C161" s="30" t="s">
        <v>128</v>
      </c>
      <c r="D161" s="31">
        <v>597.36</v>
      </c>
      <c r="E161" s="31">
        <v>97</v>
      </c>
      <c r="F161" s="33" t="s">
        <v>149</v>
      </c>
    </row>
    <row r="162" spans="1:6" ht="10.9" customHeight="1">
      <c r="A162" s="32" t="s">
        <v>452</v>
      </c>
      <c r="B162" s="30" t="s">
        <v>453</v>
      </c>
      <c r="C162" s="30" t="s">
        <v>187</v>
      </c>
      <c r="D162" s="31">
        <v>529.05999999999995</v>
      </c>
      <c r="E162" s="31">
        <v>93</v>
      </c>
      <c r="F162" s="33" t="s">
        <v>117</v>
      </c>
    </row>
    <row r="163" spans="1:6" ht="10.9" customHeight="1">
      <c r="A163" s="32" t="s">
        <v>454</v>
      </c>
      <c r="B163" s="30" t="s">
        <v>455</v>
      </c>
      <c r="C163" s="30" t="s">
        <v>120</v>
      </c>
      <c r="D163" s="31">
        <v>558.6</v>
      </c>
      <c r="E163" s="31">
        <v>83</v>
      </c>
      <c r="F163" s="33" t="s">
        <v>121</v>
      </c>
    </row>
    <row r="164" spans="1:6" ht="10.9" customHeight="1">
      <c r="A164" s="32" t="s">
        <v>456</v>
      </c>
      <c r="B164" s="30" t="s">
        <v>457</v>
      </c>
      <c r="C164" s="30" t="s">
        <v>187</v>
      </c>
      <c r="D164" s="31">
        <v>154.30000000000001</v>
      </c>
      <c r="E164" s="31">
        <v>51</v>
      </c>
      <c r="F164" s="33" t="s">
        <v>125</v>
      </c>
    </row>
    <row r="165" spans="1:6" ht="10.9" customHeight="1">
      <c r="A165" s="32" t="s">
        <v>458</v>
      </c>
      <c r="B165" s="30" t="s">
        <v>459</v>
      </c>
      <c r="C165" s="30" t="s">
        <v>120</v>
      </c>
      <c r="D165" s="31">
        <v>458.38</v>
      </c>
      <c r="E165" s="31">
        <v>64</v>
      </c>
      <c r="F165" s="33" t="s">
        <v>129</v>
      </c>
    </row>
    <row r="166" spans="1:6" ht="10.9" customHeight="1">
      <c r="A166" s="32" t="s">
        <v>460</v>
      </c>
      <c r="B166" s="30" t="s">
        <v>461</v>
      </c>
      <c r="C166" s="30" t="s">
        <v>132</v>
      </c>
      <c r="D166" s="31">
        <v>297.58</v>
      </c>
      <c r="E166" s="31">
        <v>60</v>
      </c>
      <c r="F166" s="33" t="s">
        <v>133</v>
      </c>
    </row>
    <row r="167" spans="1:6" ht="10.9" customHeight="1">
      <c r="A167" s="32" t="s">
        <v>462</v>
      </c>
      <c r="B167" s="30" t="s">
        <v>463</v>
      </c>
      <c r="C167" s="30" t="s">
        <v>187</v>
      </c>
      <c r="D167" s="31">
        <v>579.45000000000005</v>
      </c>
      <c r="E167" s="31">
        <v>66</v>
      </c>
      <c r="F167" s="33" t="s">
        <v>136</v>
      </c>
    </row>
    <row r="168" spans="1:6" ht="10.9" customHeight="1">
      <c r="A168" s="32" t="s">
        <v>464</v>
      </c>
      <c r="B168" s="30" t="s">
        <v>465</v>
      </c>
      <c r="C168" s="30" t="s">
        <v>128</v>
      </c>
      <c r="D168" s="31">
        <v>182.71</v>
      </c>
      <c r="E168" s="31">
        <v>62</v>
      </c>
      <c r="F168" s="33" t="s">
        <v>139</v>
      </c>
    </row>
    <row r="169" spans="1:6" ht="10.9" customHeight="1">
      <c r="A169" s="32" t="s">
        <v>466</v>
      </c>
      <c r="B169" s="30" t="s">
        <v>467</v>
      </c>
      <c r="C169" s="30" t="s">
        <v>120</v>
      </c>
      <c r="D169" s="31">
        <v>119.27</v>
      </c>
      <c r="E169" s="31">
        <v>22</v>
      </c>
      <c r="F169" s="34" t="s">
        <v>142</v>
      </c>
    </row>
    <row r="170" spans="1:6" ht="10.9" customHeight="1">
      <c r="A170" s="32" t="s">
        <v>468</v>
      </c>
      <c r="B170" s="30" t="s">
        <v>469</v>
      </c>
      <c r="C170" s="30" t="s">
        <v>145</v>
      </c>
      <c r="D170" s="31">
        <v>60.27</v>
      </c>
      <c r="E170" s="31">
        <v>33</v>
      </c>
      <c r="F170" s="33" t="s">
        <v>146</v>
      </c>
    </row>
    <row r="171" spans="1:6" ht="10.9" customHeight="1">
      <c r="A171" s="32" t="s">
        <v>470</v>
      </c>
      <c r="B171" s="30" t="s">
        <v>471</v>
      </c>
      <c r="C171" s="30" t="s">
        <v>187</v>
      </c>
      <c r="D171" s="31">
        <v>200.96</v>
      </c>
      <c r="E171" s="31">
        <v>97</v>
      </c>
      <c r="F171" s="33" t="s">
        <v>149</v>
      </c>
    </row>
    <row r="172" spans="1:6" ht="10.9" customHeight="1">
      <c r="A172" s="32" t="s">
        <v>472</v>
      </c>
      <c r="B172" s="30" t="s">
        <v>473</v>
      </c>
      <c r="C172" s="30" t="s">
        <v>145</v>
      </c>
      <c r="D172" s="31">
        <v>75.959999999999994</v>
      </c>
      <c r="E172" s="31">
        <v>51</v>
      </c>
      <c r="F172" s="33" t="s">
        <v>117</v>
      </c>
    </row>
    <row r="173" spans="1:6" ht="10.9" customHeight="1">
      <c r="A173" s="32" t="s">
        <v>474</v>
      </c>
      <c r="B173" s="30" t="s">
        <v>475</v>
      </c>
      <c r="C173" s="30" t="s">
        <v>120</v>
      </c>
      <c r="D173" s="31">
        <v>834.87</v>
      </c>
      <c r="E173" s="31">
        <v>62</v>
      </c>
      <c r="F173" s="33" t="s">
        <v>121</v>
      </c>
    </row>
    <row r="174" spans="1:6" ht="10.9" customHeight="1">
      <c r="A174" s="32" t="s">
        <v>476</v>
      </c>
      <c r="B174" s="30" t="s">
        <v>477</v>
      </c>
      <c r="C174" s="30" t="s">
        <v>128</v>
      </c>
      <c r="D174" s="31">
        <v>798.81</v>
      </c>
      <c r="E174" s="31">
        <v>69</v>
      </c>
      <c r="F174" s="33" t="s">
        <v>125</v>
      </c>
    </row>
    <row r="175" spans="1:6" ht="10.9" customHeight="1">
      <c r="A175" s="32" t="s">
        <v>478</v>
      </c>
      <c r="B175" s="30" t="s">
        <v>479</v>
      </c>
      <c r="C175" s="30" t="s">
        <v>120</v>
      </c>
      <c r="D175" s="31">
        <v>107.67</v>
      </c>
      <c r="E175" s="31">
        <v>21</v>
      </c>
      <c r="F175" s="33" t="s">
        <v>129</v>
      </c>
    </row>
    <row r="176" spans="1:6" ht="10.9" customHeight="1">
      <c r="A176" s="32" t="s">
        <v>480</v>
      </c>
      <c r="B176" s="30" t="s">
        <v>481</v>
      </c>
      <c r="C176" s="30" t="s">
        <v>120</v>
      </c>
      <c r="D176" s="31">
        <v>670.38</v>
      </c>
      <c r="E176" s="31">
        <v>74</v>
      </c>
      <c r="F176" s="33" t="s">
        <v>133</v>
      </c>
    </row>
    <row r="177" spans="1:6" ht="10.9" customHeight="1">
      <c r="A177" s="32" t="s">
        <v>482</v>
      </c>
      <c r="B177" s="30" t="s">
        <v>483</v>
      </c>
      <c r="C177" s="30" t="s">
        <v>128</v>
      </c>
      <c r="D177" s="31">
        <v>278.58</v>
      </c>
      <c r="E177" s="31">
        <v>-2</v>
      </c>
      <c r="F177" s="33" t="s">
        <v>136</v>
      </c>
    </row>
    <row r="178" spans="1:6" ht="10.9" customHeight="1">
      <c r="A178" s="32" t="s">
        <v>484</v>
      </c>
      <c r="B178" s="30" t="s">
        <v>485</v>
      </c>
      <c r="C178" s="30" t="s">
        <v>128</v>
      </c>
      <c r="D178" s="31">
        <v>825.88</v>
      </c>
      <c r="E178" s="31">
        <v>28</v>
      </c>
      <c r="F178" s="33" t="s">
        <v>139</v>
      </c>
    </row>
    <row r="179" spans="1:6" ht="10.9" customHeight="1">
      <c r="A179" s="32" t="s">
        <v>486</v>
      </c>
      <c r="B179" s="30" t="s">
        <v>487</v>
      </c>
      <c r="C179" s="30" t="s">
        <v>132</v>
      </c>
      <c r="D179" s="31">
        <v>747.94</v>
      </c>
      <c r="E179" s="31">
        <v>80</v>
      </c>
      <c r="F179" s="34" t="s">
        <v>142</v>
      </c>
    </row>
    <row r="180" spans="1:6" ht="10.9" customHeight="1">
      <c r="A180" s="32" t="s">
        <v>488</v>
      </c>
      <c r="B180" s="30" t="s">
        <v>489</v>
      </c>
      <c r="C180" s="30" t="s">
        <v>145</v>
      </c>
      <c r="D180" s="31">
        <v>800.03</v>
      </c>
      <c r="E180" s="31">
        <v>91</v>
      </c>
      <c r="F180" s="33" t="s">
        <v>146</v>
      </c>
    </row>
    <row r="181" spans="1:6" ht="10.9" customHeight="1">
      <c r="A181" s="32" t="s">
        <v>490</v>
      </c>
      <c r="B181" s="30" t="s">
        <v>491</v>
      </c>
      <c r="C181" s="30" t="s">
        <v>120</v>
      </c>
      <c r="D181" s="31">
        <v>429.74</v>
      </c>
      <c r="E181" s="31">
        <v>65</v>
      </c>
      <c r="F181" s="33" t="s">
        <v>149</v>
      </c>
    </row>
    <row r="182" spans="1:6" ht="10.9" customHeight="1">
      <c r="A182" s="32" t="s">
        <v>492</v>
      </c>
      <c r="B182" s="30" t="s">
        <v>493</v>
      </c>
      <c r="C182" s="30" t="s">
        <v>145</v>
      </c>
      <c r="D182" s="31">
        <v>363.5</v>
      </c>
      <c r="E182" s="31">
        <v>35</v>
      </c>
      <c r="F182" s="33" t="s">
        <v>117</v>
      </c>
    </row>
    <row r="183" spans="1:6" ht="10.9" customHeight="1">
      <c r="A183" s="32" t="s">
        <v>494</v>
      </c>
      <c r="B183" s="30" t="s">
        <v>495</v>
      </c>
      <c r="C183" s="30" t="s">
        <v>120</v>
      </c>
      <c r="D183" s="31">
        <v>838.3</v>
      </c>
      <c r="E183" s="31">
        <v>62</v>
      </c>
      <c r="F183" s="33" t="s">
        <v>121</v>
      </c>
    </row>
    <row r="184" spans="1:6" ht="10.9" customHeight="1">
      <c r="A184" s="32" t="s">
        <v>496</v>
      </c>
      <c r="B184" s="30" t="s">
        <v>497</v>
      </c>
      <c r="C184" s="30" t="s">
        <v>132</v>
      </c>
      <c r="D184" s="31">
        <v>967.51</v>
      </c>
      <c r="E184" s="31">
        <v>-7</v>
      </c>
      <c r="F184" s="33" t="s">
        <v>125</v>
      </c>
    </row>
    <row r="185" spans="1:6" ht="10.9" customHeight="1">
      <c r="A185" s="32" t="s">
        <v>498</v>
      </c>
      <c r="B185" s="30" t="s">
        <v>499</v>
      </c>
      <c r="C185" s="30" t="s">
        <v>128</v>
      </c>
      <c r="D185" s="31">
        <v>965.71</v>
      </c>
      <c r="E185" s="31">
        <v>15</v>
      </c>
      <c r="F185" s="33" t="s">
        <v>129</v>
      </c>
    </row>
    <row r="186" spans="1:6" ht="10.9" customHeight="1">
      <c r="A186" s="32" t="s">
        <v>500</v>
      </c>
      <c r="B186" s="30" t="s">
        <v>501</v>
      </c>
      <c r="C186" s="30" t="s">
        <v>128</v>
      </c>
      <c r="D186" s="31">
        <v>392.8</v>
      </c>
      <c r="E186" s="31">
        <v>80</v>
      </c>
      <c r="F186" s="33" t="s">
        <v>133</v>
      </c>
    </row>
    <row r="187" spans="1:6" ht="10.9" customHeight="1">
      <c r="A187" s="32" t="s">
        <v>502</v>
      </c>
      <c r="B187" s="30" t="s">
        <v>503</v>
      </c>
      <c r="C187" s="30" t="s">
        <v>187</v>
      </c>
      <c r="D187" s="31">
        <v>121.02</v>
      </c>
      <c r="E187" s="31">
        <v>63</v>
      </c>
      <c r="F187" s="33" t="s">
        <v>136</v>
      </c>
    </row>
    <row r="188" spans="1:6" ht="10.9" customHeight="1">
      <c r="A188" s="32" t="s">
        <v>504</v>
      </c>
      <c r="B188" s="30" t="s">
        <v>505</v>
      </c>
      <c r="C188" s="30" t="s">
        <v>120</v>
      </c>
      <c r="D188" s="31">
        <v>369.8</v>
      </c>
      <c r="E188" s="31">
        <v>75</v>
      </c>
      <c r="F188" s="33" t="s">
        <v>139</v>
      </c>
    </row>
    <row r="189" spans="1:6" ht="10.9" customHeight="1">
      <c r="A189" s="32" t="s">
        <v>506</v>
      </c>
      <c r="B189" s="30" t="s">
        <v>507</v>
      </c>
      <c r="C189" s="30" t="s">
        <v>187</v>
      </c>
      <c r="D189" s="31">
        <v>68.900000000000006</v>
      </c>
      <c r="E189" s="31">
        <v>48</v>
      </c>
      <c r="F189" s="34" t="s">
        <v>142</v>
      </c>
    </row>
    <row r="190" spans="1:6" ht="10.9" customHeight="1">
      <c r="A190" s="32" t="s">
        <v>508</v>
      </c>
      <c r="B190" s="30" t="s">
        <v>509</v>
      </c>
      <c r="C190" s="30" t="s">
        <v>132</v>
      </c>
      <c r="D190" s="31">
        <v>130.28</v>
      </c>
      <c r="E190" s="31">
        <v>-9</v>
      </c>
      <c r="F190" s="33" t="s">
        <v>146</v>
      </c>
    </row>
    <row r="191" spans="1:6" ht="10.9" customHeight="1">
      <c r="A191" s="32" t="s">
        <v>510</v>
      </c>
      <c r="B191" s="30" t="s">
        <v>511</v>
      </c>
      <c r="C191" s="30" t="s">
        <v>128</v>
      </c>
      <c r="D191" s="31">
        <v>825.3</v>
      </c>
      <c r="E191" s="31">
        <v>11</v>
      </c>
      <c r="F191" s="33" t="s">
        <v>149</v>
      </c>
    </row>
    <row r="192" spans="1:6" ht="10.9" customHeight="1">
      <c r="A192" s="32" t="s">
        <v>512</v>
      </c>
      <c r="B192" s="30" t="s">
        <v>513</v>
      </c>
      <c r="C192" s="30" t="s">
        <v>132</v>
      </c>
      <c r="D192" s="31">
        <v>510.2</v>
      </c>
      <c r="E192" s="31">
        <v>31</v>
      </c>
      <c r="F192" s="33" t="s">
        <v>117</v>
      </c>
    </row>
    <row r="193" spans="1:6" ht="10.9" customHeight="1">
      <c r="A193" s="32" t="s">
        <v>514</v>
      </c>
      <c r="B193" s="30" t="s">
        <v>515</v>
      </c>
      <c r="C193" s="30" t="s">
        <v>145</v>
      </c>
      <c r="D193" s="31">
        <v>423.57</v>
      </c>
      <c r="E193" s="31">
        <v>96</v>
      </c>
      <c r="F193" s="33" t="s">
        <v>121</v>
      </c>
    </row>
    <row r="194" spans="1:6" ht="10.9" customHeight="1">
      <c r="A194" s="32" t="s">
        <v>516</v>
      </c>
      <c r="B194" s="30" t="s">
        <v>517</v>
      </c>
      <c r="C194" s="30" t="s">
        <v>120</v>
      </c>
      <c r="D194" s="31">
        <v>582.75</v>
      </c>
      <c r="E194" s="31">
        <v>19</v>
      </c>
      <c r="F194" s="33" t="s">
        <v>125</v>
      </c>
    </row>
    <row r="195" spans="1:6" ht="10.9" customHeight="1">
      <c r="A195" s="32" t="s">
        <v>518</v>
      </c>
      <c r="B195" s="30" t="s">
        <v>519</v>
      </c>
      <c r="C195" s="30" t="s">
        <v>120</v>
      </c>
      <c r="D195" s="31">
        <v>756.21</v>
      </c>
      <c r="E195" s="31">
        <v>57</v>
      </c>
      <c r="F195" s="33" t="s">
        <v>129</v>
      </c>
    </row>
    <row r="196" spans="1:6" ht="10.9" customHeight="1">
      <c r="A196" s="32" t="s">
        <v>520</v>
      </c>
      <c r="B196" s="30" t="s">
        <v>521</v>
      </c>
      <c r="C196" s="30" t="s">
        <v>120</v>
      </c>
      <c r="D196" s="31">
        <v>104.9</v>
      </c>
      <c r="E196" s="31">
        <v>48</v>
      </c>
      <c r="F196" s="33" t="s">
        <v>133</v>
      </c>
    </row>
    <row r="197" spans="1:6" ht="10.9" customHeight="1">
      <c r="A197" s="32" t="s">
        <v>522</v>
      </c>
      <c r="B197" s="30" t="s">
        <v>523</v>
      </c>
      <c r="C197" s="30" t="s">
        <v>187</v>
      </c>
      <c r="D197" s="31">
        <v>288.79000000000002</v>
      </c>
      <c r="E197" s="31">
        <v>50</v>
      </c>
      <c r="F197" s="33" t="s">
        <v>136</v>
      </c>
    </row>
    <row r="198" spans="1:6" ht="10.9" customHeight="1">
      <c r="A198" s="32" t="s">
        <v>524</v>
      </c>
      <c r="B198" s="30" t="s">
        <v>525</v>
      </c>
      <c r="C198" s="30" t="s">
        <v>128</v>
      </c>
      <c r="D198" s="31">
        <v>341.27</v>
      </c>
      <c r="E198" s="31">
        <v>9</v>
      </c>
      <c r="F198" s="33" t="s">
        <v>139</v>
      </c>
    </row>
    <row r="199" spans="1:6" ht="10.9" customHeight="1">
      <c r="A199" s="32" t="s">
        <v>526</v>
      </c>
      <c r="B199" s="30" t="s">
        <v>527</v>
      </c>
      <c r="C199" s="30" t="s">
        <v>145</v>
      </c>
      <c r="D199" s="31">
        <v>119.78</v>
      </c>
      <c r="E199" s="31">
        <v>90</v>
      </c>
      <c r="F199" s="34" t="s">
        <v>142</v>
      </c>
    </row>
    <row r="200" spans="1:6" ht="10.9" customHeight="1">
      <c r="A200" s="32" t="s">
        <v>528</v>
      </c>
      <c r="B200" s="30" t="s">
        <v>529</v>
      </c>
      <c r="C200" s="30" t="s">
        <v>120</v>
      </c>
      <c r="D200" s="31">
        <v>935.99</v>
      </c>
      <c r="E200" s="31">
        <v>5</v>
      </c>
      <c r="F200" s="33" t="s">
        <v>146</v>
      </c>
    </row>
    <row r="201" spans="1:6" ht="10.9" customHeight="1">
      <c r="A201" s="32" t="s">
        <v>530</v>
      </c>
      <c r="B201" s="30" t="s">
        <v>531</v>
      </c>
      <c r="C201" s="30" t="s">
        <v>145</v>
      </c>
      <c r="D201" s="31">
        <v>137.57</v>
      </c>
      <c r="E201" s="31">
        <v>29</v>
      </c>
      <c r="F201" s="33" t="s">
        <v>149</v>
      </c>
    </row>
    <row r="202" spans="1:6" ht="10.9" customHeight="1">
      <c r="A202" s="32" t="s">
        <v>532</v>
      </c>
      <c r="B202" s="30" t="s">
        <v>533</v>
      </c>
      <c r="C202" s="30" t="s">
        <v>120</v>
      </c>
      <c r="D202" s="31">
        <v>436.32</v>
      </c>
      <c r="E202" s="31">
        <v>52</v>
      </c>
      <c r="F202" s="33" t="s">
        <v>117</v>
      </c>
    </row>
    <row r="203" spans="1:6" ht="10.9" customHeight="1">
      <c r="A203" s="32" t="s">
        <v>534</v>
      </c>
      <c r="B203" s="30" t="s">
        <v>535</v>
      </c>
      <c r="C203" s="30" t="s">
        <v>187</v>
      </c>
      <c r="D203" s="31">
        <v>590.45000000000005</v>
      </c>
      <c r="E203" s="31">
        <v>40</v>
      </c>
      <c r="F203" s="33" t="s">
        <v>121</v>
      </c>
    </row>
    <row r="204" spans="1:6" ht="10.9" customHeight="1">
      <c r="A204" s="32" t="s">
        <v>536</v>
      </c>
      <c r="B204" s="30" t="s">
        <v>537</v>
      </c>
      <c r="C204" s="30" t="s">
        <v>128</v>
      </c>
      <c r="D204" s="31">
        <v>632.98</v>
      </c>
      <c r="E204" s="31">
        <v>39</v>
      </c>
      <c r="F204" s="33" t="s">
        <v>125</v>
      </c>
    </row>
    <row r="205" spans="1:6" ht="10.9" customHeight="1">
      <c r="A205" s="32" t="s">
        <v>538</v>
      </c>
      <c r="B205" s="30" t="s">
        <v>539</v>
      </c>
      <c r="C205" s="30" t="s">
        <v>120</v>
      </c>
      <c r="D205" s="31">
        <v>667.69</v>
      </c>
      <c r="E205" s="31">
        <v>87</v>
      </c>
      <c r="F205" s="33" t="s">
        <v>129</v>
      </c>
    </row>
    <row r="206" spans="1:6" ht="10.9" customHeight="1">
      <c r="A206" s="32" t="s">
        <v>540</v>
      </c>
      <c r="B206" s="30" t="s">
        <v>541</v>
      </c>
      <c r="C206" s="30" t="s">
        <v>128</v>
      </c>
      <c r="D206" s="31">
        <v>352.73</v>
      </c>
      <c r="E206" s="31">
        <v>17</v>
      </c>
      <c r="F206" s="33" t="s">
        <v>133</v>
      </c>
    </row>
    <row r="207" spans="1:6" ht="10.9" customHeight="1">
      <c r="A207" s="32" t="s">
        <v>542</v>
      </c>
      <c r="B207" s="30" t="s">
        <v>543</v>
      </c>
      <c r="C207" s="30" t="s">
        <v>145</v>
      </c>
      <c r="D207" s="31">
        <v>369.53</v>
      </c>
      <c r="E207" s="31">
        <v>27</v>
      </c>
      <c r="F207" s="33" t="s">
        <v>136</v>
      </c>
    </row>
    <row r="208" spans="1:6" ht="10.9" customHeight="1">
      <c r="A208" s="32" t="s">
        <v>544</v>
      </c>
      <c r="B208" s="30" t="s">
        <v>545</v>
      </c>
      <c r="C208" s="30" t="s">
        <v>128</v>
      </c>
      <c r="D208" s="31">
        <v>72.599999999999994</v>
      </c>
      <c r="E208" s="31">
        <v>68</v>
      </c>
      <c r="F208" s="33" t="s">
        <v>139</v>
      </c>
    </row>
    <row r="209" spans="1:6" ht="10.9" customHeight="1">
      <c r="A209" s="32" t="s">
        <v>546</v>
      </c>
      <c r="B209" s="30" t="s">
        <v>547</v>
      </c>
      <c r="C209" s="30" t="s">
        <v>120</v>
      </c>
      <c r="D209" s="31">
        <v>280.36</v>
      </c>
      <c r="E209" s="31">
        <v>51</v>
      </c>
      <c r="F209" s="34" t="s">
        <v>142</v>
      </c>
    </row>
    <row r="210" spans="1:6" ht="10.9" customHeight="1">
      <c r="A210" s="32" t="s">
        <v>548</v>
      </c>
      <c r="B210" s="30" t="s">
        <v>549</v>
      </c>
      <c r="C210" s="30" t="s">
        <v>128</v>
      </c>
      <c r="D210" s="31">
        <v>771.91</v>
      </c>
      <c r="E210" s="31">
        <v>12</v>
      </c>
      <c r="F210" s="33" t="s">
        <v>146</v>
      </c>
    </row>
    <row r="211" spans="1:6" ht="10.9" customHeight="1">
      <c r="A211" s="32" t="s">
        <v>550</v>
      </c>
      <c r="B211" s="30" t="s">
        <v>551</v>
      </c>
      <c r="C211" s="30" t="s">
        <v>187</v>
      </c>
      <c r="D211" s="31">
        <v>827.87</v>
      </c>
      <c r="E211" s="31">
        <v>-4</v>
      </c>
      <c r="F211" s="33" t="s">
        <v>149</v>
      </c>
    </row>
    <row r="212" spans="1:6" ht="10.9" customHeight="1">
      <c r="A212" s="32" t="s">
        <v>552</v>
      </c>
      <c r="B212" s="30" t="s">
        <v>553</v>
      </c>
      <c r="C212" s="30" t="s">
        <v>187</v>
      </c>
      <c r="D212" s="31">
        <v>538.16999999999996</v>
      </c>
      <c r="E212" s="31">
        <v>84</v>
      </c>
      <c r="F212" s="33" t="s">
        <v>117</v>
      </c>
    </row>
    <row r="213" spans="1:6" ht="10.9" customHeight="1">
      <c r="A213" s="32" t="s">
        <v>554</v>
      </c>
      <c r="B213" s="30" t="s">
        <v>555</v>
      </c>
      <c r="C213" s="30" t="s">
        <v>132</v>
      </c>
      <c r="D213" s="31">
        <v>997</v>
      </c>
      <c r="E213" s="31">
        <v>18</v>
      </c>
      <c r="F213" s="33" t="s">
        <v>121</v>
      </c>
    </row>
    <row r="214" spans="1:6" ht="10.9" customHeight="1">
      <c r="A214" s="32" t="s">
        <v>556</v>
      </c>
      <c r="B214" s="30" t="s">
        <v>557</v>
      </c>
      <c r="C214" s="30" t="s">
        <v>128</v>
      </c>
      <c r="D214" s="31">
        <v>999.58</v>
      </c>
      <c r="E214" s="31">
        <v>18</v>
      </c>
      <c r="F214" s="33" t="s">
        <v>125</v>
      </c>
    </row>
    <row r="215" spans="1:6" ht="10.9" customHeight="1">
      <c r="A215" s="32" t="s">
        <v>558</v>
      </c>
      <c r="B215" s="30" t="s">
        <v>559</v>
      </c>
      <c r="C215" s="30" t="s">
        <v>145</v>
      </c>
      <c r="D215" s="31">
        <v>61.74</v>
      </c>
      <c r="E215" s="31">
        <v>71</v>
      </c>
      <c r="F215" s="33" t="s">
        <v>129</v>
      </c>
    </row>
    <row r="216" spans="1:6" ht="10.9" customHeight="1">
      <c r="A216" s="32" t="s">
        <v>560</v>
      </c>
      <c r="B216" s="30" t="s">
        <v>561</v>
      </c>
      <c r="C216" s="30" t="s">
        <v>120</v>
      </c>
      <c r="D216" s="31">
        <v>199.87</v>
      </c>
      <c r="E216" s="31">
        <v>37</v>
      </c>
      <c r="F216" s="33" t="s">
        <v>133</v>
      </c>
    </row>
    <row r="217" spans="1:6" ht="10.9" customHeight="1">
      <c r="A217" s="32" t="s">
        <v>562</v>
      </c>
      <c r="B217" s="30" t="s">
        <v>563</v>
      </c>
      <c r="C217" s="30" t="s">
        <v>120</v>
      </c>
      <c r="D217" s="31">
        <v>106.32</v>
      </c>
      <c r="E217" s="31">
        <v>64</v>
      </c>
      <c r="F217" s="33" t="s">
        <v>136</v>
      </c>
    </row>
    <row r="218" spans="1:6" ht="10.9" customHeight="1">
      <c r="A218" s="32" t="s">
        <v>564</v>
      </c>
      <c r="B218" s="30" t="s">
        <v>565</v>
      </c>
      <c r="C218" s="30" t="s">
        <v>128</v>
      </c>
      <c r="D218" s="31">
        <v>328.43</v>
      </c>
      <c r="E218" s="31">
        <v>71</v>
      </c>
      <c r="F218" s="33" t="s">
        <v>139</v>
      </c>
    </row>
    <row r="219" spans="1:6" ht="10.9" customHeight="1">
      <c r="A219" s="32" t="s">
        <v>566</v>
      </c>
      <c r="B219" s="30" t="s">
        <v>567</v>
      </c>
      <c r="C219" s="30" t="s">
        <v>120</v>
      </c>
      <c r="D219" s="31">
        <v>737.53</v>
      </c>
      <c r="E219" s="31">
        <v>-5</v>
      </c>
      <c r="F219" s="34" t="s">
        <v>142</v>
      </c>
    </row>
    <row r="220" spans="1:6" ht="10.9" customHeight="1">
      <c r="A220" s="32" t="s">
        <v>568</v>
      </c>
      <c r="B220" s="30" t="s">
        <v>569</v>
      </c>
      <c r="C220" s="30" t="s">
        <v>120</v>
      </c>
      <c r="D220" s="31">
        <v>94.08</v>
      </c>
      <c r="E220" s="31">
        <v>70</v>
      </c>
      <c r="F220" s="33" t="s">
        <v>146</v>
      </c>
    </row>
    <row r="221" spans="1:6" ht="10.9" customHeight="1">
      <c r="A221" s="32" t="s">
        <v>570</v>
      </c>
      <c r="B221" s="30" t="s">
        <v>571</v>
      </c>
      <c r="C221" s="30" t="s">
        <v>145</v>
      </c>
      <c r="D221" s="31">
        <v>779.68</v>
      </c>
      <c r="E221" s="31">
        <v>85</v>
      </c>
      <c r="F221" s="33" t="s">
        <v>149</v>
      </c>
    </row>
    <row r="222" spans="1:6" ht="10.9" customHeight="1">
      <c r="A222" s="32" t="s">
        <v>572</v>
      </c>
      <c r="B222" s="30" t="s">
        <v>573</v>
      </c>
      <c r="C222" s="30" t="s">
        <v>120</v>
      </c>
      <c r="D222" s="31">
        <v>236.65</v>
      </c>
      <c r="E222" s="31">
        <v>27</v>
      </c>
      <c r="F222" s="33" t="s">
        <v>117</v>
      </c>
    </row>
    <row r="223" spans="1:6" ht="10.9" customHeight="1">
      <c r="A223" s="32" t="s">
        <v>574</v>
      </c>
      <c r="B223" s="30" t="s">
        <v>575</v>
      </c>
      <c r="C223" s="30" t="s">
        <v>120</v>
      </c>
      <c r="D223" s="31">
        <v>200.81</v>
      </c>
      <c r="E223" s="31">
        <v>31</v>
      </c>
      <c r="F223" s="33" t="s">
        <v>121</v>
      </c>
    </row>
    <row r="224" spans="1:6" ht="10.9" customHeight="1">
      <c r="A224" s="32" t="s">
        <v>576</v>
      </c>
      <c r="B224" s="30" t="s">
        <v>577</v>
      </c>
      <c r="C224" s="30" t="s">
        <v>128</v>
      </c>
      <c r="D224" s="31">
        <v>457.29</v>
      </c>
      <c r="E224" s="31">
        <v>84</v>
      </c>
      <c r="F224" s="33" t="s">
        <v>125</v>
      </c>
    </row>
    <row r="225" spans="1:6" ht="10.9" customHeight="1">
      <c r="A225" s="32" t="s">
        <v>578</v>
      </c>
      <c r="B225" s="30" t="s">
        <v>579</v>
      </c>
      <c r="C225" s="30" t="s">
        <v>120</v>
      </c>
      <c r="D225" s="31">
        <v>584.57000000000005</v>
      </c>
      <c r="E225" s="31">
        <v>57</v>
      </c>
      <c r="F225" s="33" t="s">
        <v>129</v>
      </c>
    </row>
    <row r="226" spans="1:6" ht="10.9" customHeight="1">
      <c r="A226" s="32" t="s">
        <v>580</v>
      </c>
      <c r="B226" s="30" t="s">
        <v>581</v>
      </c>
      <c r="C226" s="30" t="s">
        <v>120</v>
      </c>
      <c r="D226" s="31">
        <v>355.77</v>
      </c>
      <c r="E226" s="31">
        <v>91</v>
      </c>
      <c r="F226" s="33" t="s">
        <v>133</v>
      </c>
    </row>
    <row r="227" spans="1:6" ht="10.9" customHeight="1">
      <c r="A227" s="32" t="s">
        <v>582</v>
      </c>
      <c r="B227" s="30" t="s">
        <v>583</v>
      </c>
      <c r="C227" s="30" t="s">
        <v>145</v>
      </c>
      <c r="D227" s="31">
        <v>352.16</v>
      </c>
      <c r="E227" s="31">
        <v>10</v>
      </c>
      <c r="F227" s="33" t="s">
        <v>136</v>
      </c>
    </row>
    <row r="228" spans="1:6" ht="10.9" customHeight="1">
      <c r="A228" s="32" t="s">
        <v>584</v>
      </c>
      <c r="B228" s="30" t="s">
        <v>585</v>
      </c>
      <c r="C228" s="30" t="s">
        <v>187</v>
      </c>
      <c r="D228" s="31">
        <v>223.48</v>
      </c>
      <c r="E228" s="31">
        <v>31</v>
      </c>
      <c r="F228" s="33" t="s">
        <v>139</v>
      </c>
    </row>
    <row r="229" spans="1:6" ht="10.9" customHeight="1">
      <c r="A229" s="32" t="s">
        <v>586</v>
      </c>
      <c r="B229" s="30" t="s">
        <v>587</v>
      </c>
      <c r="C229" s="30" t="s">
        <v>145</v>
      </c>
      <c r="D229" s="31">
        <v>780.48</v>
      </c>
      <c r="E229" s="31">
        <v>57</v>
      </c>
      <c r="F229" s="34" t="s">
        <v>142</v>
      </c>
    </row>
    <row r="230" spans="1:6" ht="10.9" customHeight="1">
      <c r="A230" s="32" t="s">
        <v>588</v>
      </c>
      <c r="B230" s="30" t="s">
        <v>589</v>
      </c>
      <c r="C230" s="30" t="s">
        <v>187</v>
      </c>
      <c r="D230" s="31">
        <v>353.1</v>
      </c>
      <c r="E230" s="31">
        <v>84</v>
      </c>
      <c r="F230" s="33" t="s">
        <v>146</v>
      </c>
    </row>
    <row r="231" spans="1:6" ht="10.9" customHeight="1">
      <c r="A231" s="32" t="s">
        <v>590</v>
      </c>
      <c r="B231" s="30" t="s">
        <v>591</v>
      </c>
      <c r="C231" s="30" t="s">
        <v>145</v>
      </c>
      <c r="D231" s="31">
        <v>919.1</v>
      </c>
      <c r="E231" s="31">
        <v>62</v>
      </c>
      <c r="F231" s="33" t="s">
        <v>149</v>
      </c>
    </row>
    <row r="232" spans="1:6" ht="10.9" customHeight="1">
      <c r="A232" s="32" t="s">
        <v>592</v>
      </c>
      <c r="B232" s="30" t="s">
        <v>593</v>
      </c>
      <c r="C232" s="30" t="s">
        <v>128</v>
      </c>
      <c r="D232" s="31">
        <v>411.71</v>
      </c>
      <c r="E232" s="31">
        <v>97</v>
      </c>
      <c r="F232" s="33" t="s">
        <v>117</v>
      </c>
    </row>
    <row r="233" spans="1:6" ht="10.9" customHeight="1">
      <c r="A233" s="32" t="s">
        <v>594</v>
      </c>
      <c r="B233" s="30" t="s">
        <v>595</v>
      </c>
      <c r="C233" s="30" t="s">
        <v>187</v>
      </c>
      <c r="D233" s="31">
        <v>933.06</v>
      </c>
      <c r="E233" s="31">
        <v>81</v>
      </c>
      <c r="F233" s="33" t="s">
        <v>121</v>
      </c>
    </row>
    <row r="234" spans="1:6" ht="10.9" customHeight="1">
      <c r="A234" s="32" t="s">
        <v>596</v>
      </c>
      <c r="B234" s="30" t="s">
        <v>597</v>
      </c>
      <c r="C234" s="30" t="s">
        <v>145</v>
      </c>
      <c r="D234" s="31">
        <v>126.73</v>
      </c>
      <c r="E234" s="31">
        <v>18</v>
      </c>
      <c r="F234" s="33" t="s">
        <v>125</v>
      </c>
    </row>
    <row r="235" spans="1:6" ht="10.9" customHeight="1">
      <c r="A235" s="32" t="s">
        <v>598</v>
      </c>
      <c r="B235" s="30" t="s">
        <v>599</v>
      </c>
      <c r="C235" s="30" t="s">
        <v>128</v>
      </c>
      <c r="D235" s="31">
        <v>321.52999999999997</v>
      </c>
      <c r="E235" s="31">
        <v>38</v>
      </c>
      <c r="F235" s="33" t="s">
        <v>129</v>
      </c>
    </row>
    <row r="236" spans="1:6" ht="10.9" customHeight="1">
      <c r="A236" s="32" t="s">
        <v>600</v>
      </c>
      <c r="B236" s="30" t="s">
        <v>601</v>
      </c>
      <c r="C236" s="30" t="s">
        <v>187</v>
      </c>
      <c r="D236" s="31">
        <v>609.57000000000005</v>
      </c>
      <c r="E236" s="31">
        <v>52</v>
      </c>
      <c r="F236" s="33" t="s">
        <v>133</v>
      </c>
    </row>
    <row r="237" spans="1:6" ht="10.9" customHeight="1">
      <c r="A237" s="32" t="s">
        <v>602</v>
      </c>
      <c r="B237" s="30" t="s">
        <v>603</v>
      </c>
      <c r="C237" s="30" t="s">
        <v>128</v>
      </c>
      <c r="D237" s="31">
        <v>656.77</v>
      </c>
      <c r="E237" s="31">
        <v>5</v>
      </c>
      <c r="F237" s="33" t="s">
        <v>136</v>
      </c>
    </row>
    <row r="238" spans="1:6" ht="10.9" customHeight="1">
      <c r="A238" s="32" t="s">
        <v>604</v>
      </c>
      <c r="B238" s="30" t="s">
        <v>605</v>
      </c>
      <c r="C238" s="30" t="s">
        <v>132</v>
      </c>
      <c r="D238" s="31">
        <v>560.67999999999995</v>
      </c>
      <c r="E238" s="31">
        <v>38</v>
      </c>
      <c r="F238" s="33" t="s">
        <v>139</v>
      </c>
    </row>
    <row r="239" spans="1:6" ht="10.9" customHeight="1">
      <c r="A239" s="32" t="s">
        <v>606</v>
      </c>
      <c r="B239" s="30" t="s">
        <v>607</v>
      </c>
      <c r="C239" s="30" t="s">
        <v>187</v>
      </c>
      <c r="D239" s="31">
        <v>453.13</v>
      </c>
      <c r="E239" s="31">
        <v>96</v>
      </c>
      <c r="F239" s="34" t="s">
        <v>142</v>
      </c>
    </row>
    <row r="240" spans="1:6" ht="10.9" customHeight="1">
      <c r="A240" s="32" t="s">
        <v>608</v>
      </c>
      <c r="B240" s="30" t="s">
        <v>609</v>
      </c>
      <c r="C240" s="30" t="s">
        <v>120</v>
      </c>
      <c r="D240" s="31">
        <v>485.92</v>
      </c>
      <c r="E240" s="31">
        <v>49</v>
      </c>
      <c r="F240" s="33" t="s">
        <v>146</v>
      </c>
    </row>
    <row r="241" spans="1:6" ht="10.9" customHeight="1">
      <c r="A241" s="32" t="s">
        <v>610</v>
      </c>
      <c r="B241" s="30" t="s">
        <v>611</v>
      </c>
      <c r="C241" s="30" t="s">
        <v>145</v>
      </c>
      <c r="D241" s="31">
        <v>187.02</v>
      </c>
      <c r="E241" s="31">
        <v>88</v>
      </c>
      <c r="F241" s="33" t="s">
        <v>149</v>
      </c>
    </row>
    <row r="242" spans="1:6" ht="10.9" customHeight="1">
      <c r="A242" s="32" t="s">
        <v>612</v>
      </c>
      <c r="B242" s="30" t="s">
        <v>613</v>
      </c>
      <c r="C242" s="30" t="s">
        <v>145</v>
      </c>
      <c r="D242" s="31">
        <v>946.65</v>
      </c>
      <c r="E242" s="31">
        <v>40</v>
      </c>
      <c r="F242" s="33" t="s">
        <v>117</v>
      </c>
    </row>
    <row r="243" spans="1:6" ht="10.9" customHeight="1">
      <c r="A243" s="32" t="s">
        <v>614</v>
      </c>
      <c r="B243" s="30" t="s">
        <v>615</v>
      </c>
      <c r="C243" s="30" t="s">
        <v>120</v>
      </c>
      <c r="D243" s="31">
        <v>915.71</v>
      </c>
      <c r="E243" s="31">
        <v>75</v>
      </c>
      <c r="F243" s="33" t="s">
        <v>121</v>
      </c>
    </row>
    <row r="244" spans="1:6" ht="10.9" customHeight="1">
      <c r="A244" s="32" t="s">
        <v>616</v>
      </c>
      <c r="B244" s="30" t="s">
        <v>617</v>
      </c>
      <c r="C244" s="30" t="s">
        <v>120</v>
      </c>
      <c r="D244" s="31">
        <v>232.59</v>
      </c>
      <c r="E244" s="31">
        <v>6</v>
      </c>
      <c r="F244" s="33" t="s">
        <v>125</v>
      </c>
    </row>
    <row r="245" spans="1:6" ht="10.9" customHeight="1">
      <c r="A245" s="32" t="s">
        <v>618</v>
      </c>
      <c r="B245" s="30" t="s">
        <v>619</v>
      </c>
      <c r="C245" s="30" t="s">
        <v>132</v>
      </c>
      <c r="D245" s="31">
        <v>164.48</v>
      </c>
      <c r="E245" s="31">
        <v>90</v>
      </c>
      <c r="F245" s="33" t="s">
        <v>129</v>
      </c>
    </row>
    <row r="246" spans="1:6" ht="10.9" customHeight="1">
      <c r="A246" s="32" t="s">
        <v>620</v>
      </c>
      <c r="B246" s="30" t="s">
        <v>621</v>
      </c>
      <c r="C246" s="30" t="s">
        <v>120</v>
      </c>
      <c r="D246" s="31">
        <v>124.29</v>
      </c>
      <c r="E246" s="31">
        <v>37</v>
      </c>
      <c r="F246" s="33" t="s">
        <v>133</v>
      </c>
    </row>
    <row r="247" spans="1:6" ht="10.9" customHeight="1">
      <c r="A247" s="32" t="s">
        <v>622</v>
      </c>
      <c r="B247" s="30" t="s">
        <v>623</v>
      </c>
      <c r="C247" s="30" t="s">
        <v>187</v>
      </c>
      <c r="D247" s="31">
        <v>285.76</v>
      </c>
      <c r="E247" s="31">
        <v>10</v>
      </c>
      <c r="F247" s="33" t="s">
        <v>136</v>
      </c>
    </row>
    <row r="248" spans="1:6" ht="10.9" customHeight="1">
      <c r="A248" s="32" t="s">
        <v>624</v>
      </c>
      <c r="B248" s="30" t="s">
        <v>625</v>
      </c>
      <c r="C248" s="30" t="s">
        <v>120</v>
      </c>
      <c r="D248" s="31">
        <v>677.85</v>
      </c>
      <c r="E248" s="31">
        <v>43</v>
      </c>
      <c r="F248" s="33" t="s">
        <v>139</v>
      </c>
    </row>
    <row r="249" spans="1:6" ht="10.9" customHeight="1">
      <c r="A249" s="32" t="s">
        <v>626</v>
      </c>
      <c r="B249" s="30" t="s">
        <v>627</v>
      </c>
      <c r="C249" s="30" t="s">
        <v>120</v>
      </c>
      <c r="D249" s="31">
        <v>555.08000000000004</v>
      </c>
      <c r="E249" s="31">
        <v>93</v>
      </c>
      <c r="F249" s="34" t="s">
        <v>142</v>
      </c>
    </row>
    <row r="250" spans="1:6" ht="10.9" customHeight="1">
      <c r="A250" s="32" t="s">
        <v>628</v>
      </c>
      <c r="B250" s="30" t="s">
        <v>629</v>
      </c>
      <c r="C250" s="30" t="s">
        <v>120</v>
      </c>
      <c r="D250" s="31">
        <v>665.57</v>
      </c>
      <c r="E250" s="31">
        <v>76</v>
      </c>
      <c r="F250" s="33" t="s">
        <v>146</v>
      </c>
    </row>
    <row r="251" spans="1:6" ht="10.9" customHeight="1">
      <c r="A251" s="32" t="s">
        <v>630</v>
      </c>
      <c r="B251" s="30" t="s">
        <v>631</v>
      </c>
      <c r="C251" s="30" t="s">
        <v>145</v>
      </c>
      <c r="D251" s="31">
        <v>946.31</v>
      </c>
      <c r="E251" s="31">
        <v>29</v>
      </c>
      <c r="F251" s="33" t="s">
        <v>149</v>
      </c>
    </row>
    <row r="252" spans="1:6" ht="10.9" customHeight="1">
      <c r="A252" s="32" t="s">
        <v>632</v>
      </c>
      <c r="B252" s="30" t="s">
        <v>633</v>
      </c>
      <c r="C252" s="30" t="s">
        <v>132</v>
      </c>
      <c r="D252" s="31">
        <v>381.53</v>
      </c>
      <c r="E252" s="31">
        <v>-8</v>
      </c>
      <c r="F252" s="33" t="s">
        <v>117</v>
      </c>
    </row>
    <row r="253" spans="1:6" ht="10.9" customHeight="1">
      <c r="A253" s="32" t="s">
        <v>634</v>
      </c>
      <c r="B253" s="30" t="s">
        <v>635</v>
      </c>
      <c r="C253" s="30" t="s">
        <v>132</v>
      </c>
      <c r="D253" s="31">
        <v>993.37</v>
      </c>
      <c r="E253" s="31">
        <v>-4</v>
      </c>
      <c r="F253" s="33" t="s">
        <v>121</v>
      </c>
    </row>
    <row r="254" spans="1:6" ht="10.9" customHeight="1">
      <c r="A254" s="32" t="s">
        <v>636</v>
      </c>
      <c r="B254" s="30" t="s">
        <v>637</v>
      </c>
      <c r="C254" s="30" t="s">
        <v>120</v>
      </c>
      <c r="D254" s="31">
        <v>503.74</v>
      </c>
      <c r="E254" s="31">
        <v>36</v>
      </c>
      <c r="F254" s="33" t="s">
        <v>125</v>
      </c>
    </row>
    <row r="255" spans="1:6" ht="10.9" customHeight="1">
      <c r="A255" s="32" t="s">
        <v>638</v>
      </c>
      <c r="B255" s="30" t="s">
        <v>639</v>
      </c>
      <c r="C255" s="30" t="s">
        <v>120</v>
      </c>
      <c r="D255" s="31">
        <v>379.61</v>
      </c>
      <c r="E255" s="31">
        <v>-1</v>
      </c>
      <c r="F255" s="33" t="s">
        <v>129</v>
      </c>
    </row>
    <row r="256" spans="1:6" ht="10.9" customHeight="1">
      <c r="A256" s="32" t="s">
        <v>640</v>
      </c>
      <c r="B256" s="30" t="s">
        <v>641</v>
      </c>
      <c r="C256" s="30" t="s">
        <v>128</v>
      </c>
      <c r="D256" s="31">
        <v>714.28</v>
      </c>
      <c r="E256" s="31">
        <v>2</v>
      </c>
      <c r="F256" s="33" t="s">
        <v>133</v>
      </c>
    </row>
    <row r="257" spans="1:6" ht="10.9" customHeight="1">
      <c r="A257" s="32" t="s">
        <v>642</v>
      </c>
      <c r="B257" s="30" t="s">
        <v>643</v>
      </c>
      <c r="C257" s="30" t="s">
        <v>120</v>
      </c>
      <c r="D257" s="31">
        <v>658.58</v>
      </c>
      <c r="E257" s="31">
        <v>46</v>
      </c>
      <c r="F257" s="33" t="s">
        <v>136</v>
      </c>
    </row>
    <row r="258" spans="1:6" ht="10.9" customHeight="1">
      <c r="A258" s="32" t="s">
        <v>644</v>
      </c>
      <c r="B258" s="30" t="s">
        <v>645</v>
      </c>
      <c r="C258" s="30" t="s">
        <v>128</v>
      </c>
      <c r="D258" s="31">
        <v>515.22</v>
      </c>
      <c r="E258" s="31">
        <v>34</v>
      </c>
      <c r="F258" s="33" t="s">
        <v>139</v>
      </c>
    </row>
    <row r="259" spans="1:6" ht="10.9" customHeight="1">
      <c r="A259" s="32" t="s">
        <v>646</v>
      </c>
      <c r="B259" s="30" t="s">
        <v>647</v>
      </c>
      <c r="C259" s="30" t="s">
        <v>128</v>
      </c>
      <c r="D259" s="31">
        <v>203.71</v>
      </c>
      <c r="E259" s="31">
        <v>62</v>
      </c>
      <c r="F259" s="34" t="s">
        <v>142</v>
      </c>
    </row>
    <row r="260" spans="1:6" ht="10.9" customHeight="1">
      <c r="A260" s="32" t="s">
        <v>648</v>
      </c>
      <c r="B260" s="30" t="s">
        <v>649</v>
      </c>
      <c r="C260" s="30" t="s">
        <v>128</v>
      </c>
      <c r="D260" s="31">
        <v>628.94000000000005</v>
      </c>
      <c r="E260" s="31">
        <v>64</v>
      </c>
      <c r="F260" s="33" t="s">
        <v>146</v>
      </c>
    </row>
    <row r="261" spans="1:6" ht="10.9" customHeight="1">
      <c r="A261" s="32" t="s">
        <v>650</v>
      </c>
      <c r="B261" s="30" t="s">
        <v>651</v>
      </c>
      <c r="C261" s="30" t="s">
        <v>187</v>
      </c>
      <c r="D261" s="31">
        <v>388.72</v>
      </c>
      <c r="E261" s="31">
        <v>95</v>
      </c>
      <c r="F261" s="33" t="s">
        <v>149</v>
      </c>
    </row>
    <row r="262" spans="1:6" ht="10.9" customHeight="1">
      <c r="A262" s="32" t="s">
        <v>652</v>
      </c>
      <c r="B262" s="30" t="s">
        <v>653</v>
      </c>
      <c r="C262" s="30" t="s">
        <v>132</v>
      </c>
      <c r="D262" s="31">
        <v>114.38</v>
      </c>
      <c r="E262" s="31">
        <v>89</v>
      </c>
      <c r="F262" s="33" t="s">
        <v>117</v>
      </c>
    </row>
    <row r="263" spans="1:6" ht="10.9" customHeight="1">
      <c r="A263" s="32" t="s">
        <v>654</v>
      </c>
      <c r="B263" s="30" t="s">
        <v>655</v>
      </c>
      <c r="C263" s="30" t="s">
        <v>128</v>
      </c>
      <c r="D263" s="31">
        <v>963.67</v>
      </c>
      <c r="E263" s="31">
        <v>67</v>
      </c>
      <c r="F263" s="33" t="s">
        <v>121</v>
      </c>
    </row>
    <row r="264" spans="1:6" ht="10.9" customHeight="1">
      <c r="A264" s="32" t="s">
        <v>656</v>
      </c>
      <c r="B264" s="30" t="s">
        <v>657</v>
      </c>
      <c r="C264" s="30" t="s">
        <v>132</v>
      </c>
      <c r="D264" s="31">
        <v>119.73</v>
      </c>
      <c r="E264" s="31">
        <v>33</v>
      </c>
      <c r="F264" s="33" t="s">
        <v>125</v>
      </c>
    </row>
    <row r="265" spans="1:6" ht="10.9" customHeight="1">
      <c r="A265" s="32" t="s">
        <v>658</v>
      </c>
      <c r="B265" s="30" t="s">
        <v>659</v>
      </c>
      <c r="C265" s="30" t="s">
        <v>145</v>
      </c>
      <c r="D265" s="31">
        <v>360.15</v>
      </c>
      <c r="E265" s="31">
        <v>47</v>
      </c>
      <c r="F265" s="33" t="s">
        <v>129</v>
      </c>
    </row>
    <row r="266" spans="1:6" ht="10.9" customHeight="1">
      <c r="A266" s="32" t="s">
        <v>660</v>
      </c>
      <c r="B266" s="30" t="s">
        <v>661</v>
      </c>
      <c r="C266" s="30" t="s">
        <v>128</v>
      </c>
      <c r="D266" s="31">
        <v>976.24</v>
      </c>
      <c r="E266" s="31">
        <v>55</v>
      </c>
      <c r="F266" s="33" t="s">
        <v>133</v>
      </c>
    </row>
    <row r="267" spans="1:6" ht="10.9" customHeight="1">
      <c r="A267" s="32" t="s">
        <v>662</v>
      </c>
      <c r="B267" s="30" t="s">
        <v>663</v>
      </c>
      <c r="C267" s="30" t="s">
        <v>187</v>
      </c>
      <c r="D267" s="31">
        <v>797.81</v>
      </c>
      <c r="E267" s="31">
        <v>85</v>
      </c>
      <c r="F267" s="33" t="s">
        <v>136</v>
      </c>
    </row>
    <row r="268" spans="1:6" ht="10.9" customHeight="1">
      <c r="A268" s="32" t="s">
        <v>664</v>
      </c>
      <c r="B268" s="30" t="s">
        <v>665</v>
      </c>
      <c r="C268" s="30" t="s">
        <v>145</v>
      </c>
      <c r="D268" s="31">
        <v>210.18</v>
      </c>
      <c r="E268" s="31">
        <v>82</v>
      </c>
      <c r="F268" s="33" t="s">
        <v>139</v>
      </c>
    </row>
    <row r="269" spans="1:6" ht="10.9" customHeight="1">
      <c r="A269" s="32" t="s">
        <v>666</v>
      </c>
      <c r="B269" s="30" t="s">
        <v>667</v>
      </c>
      <c r="C269" s="30" t="s">
        <v>187</v>
      </c>
      <c r="D269" s="31">
        <v>449.69</v>
      </c>
      <c r="E269" s="31">
        <v>4</v>
      </c>
      <c r="F269" s="34" t="s">
        <v>142</v>
      </c>
    </row>
    <row r="270" spans="1:6" ht="10.9" customHeight="1">
      <c r="A270" s="32" t="s">
        <v>668</v>
      </c>
      <c r="B270" s="30" t="s">
        <v>669</v>
      </c>
      <c r="C270" s="30" t="s">
        <v>132</v>
      </c>
      <c r="D270" s="31">
        <v>256.45</v>
      </c>
      <c r="E270" s="31">
        <v>69</v>
      </c>
      <c r="F270" s="33" t="s">
        <v>146</v>
      </c>
    </row>
    <row r="271" spans="1:6" ht="10.9" customHeight="1">
      <c r="A271" s="32" t="s">
        <v>670</v>
      </c>
      <c r="B271" s="30" t="s">
        <v>671</v>
      </c>
      <c r="C271" s="30" t="s">
        <v>132</v>
      </c>
      <c r="D271" s="31">
        <v>187.52</v>
      </c>
      <c r="E271" s="31">
        <v>71</v>
      </c>
      <c r="F271" s="33" t="s">
        <v>149</v>
      </c>
    </row>
    <row r="272" spans="1:6" ht="10.9" customHeight="1">
      <c r="A272" s="32" t="s">
        <v>672</v>
      </c>
      <c r="B272" s="30" t="s">
        <v>673</v>
      </c>
      <c r="C272" s="30" t="s">
        <v>145</v>
      </c>
      <c r="D272" s="31">
        <v>124.46</v>
      </c>
      <c r="E272" s="31">
        <v>25</v>
      </c>
      <c r="F272" s="33" t="s">
        <v>117</v>
      </c>
    </row>
    <row r="273" spans="1:6" ht="10.9" customHeight="1">
      <c r="A273" s="32" t="s">
        <v>674</v>
      </c>
      <c r="B273" s="30" t="s">
        <v>675</v>
      </c>
      <c r="C273" s="30" t="s">
        <v>132</v>
      </c>
      <c r="D273" s="31">
        <v>312.91000000000003</v>
      </c>
      <c r="E273" s="31">
        <v>47</v>
      </c>
      <c r="F273" s="33" t="s">
        <v>121</v>
      </c>
    </row>
    <row r="274" spans="1:6" ht="10.9" customHeight="1">
      <c r="A274" s="32" t="s">
        <v>676</v>
      </c>
      <c r="B274" s="30" t="s">
        <v>677</v>
      </c>
      <c r="C274" s="30" t="s">
        <v>120</v>
      </c>
      <c r="D274" s="31">
        <v>989.84</v>
      </c>
      <c r="E274" s="31">
        <v>-6</v>
      </c>
      <c r="F274" s="33" t="s">
        <v>125</v>
      </c>
    </row>
    <row r="275" spans="1:6" ht="10.9" customHeight="1">
      <c r="A275" s="32" t="s">
        <v>678</v>
      </c>
      <c r="B275" s="30" t="s">
        <v>679</v>
      </c>
      <c r="C275" s="30" t="s">
        <v>120</v>
      </c>
      <c r="D275" s="31">
        <v>417.69</v>
      </c>
      <c r="E275" s="31">
        <v>54</v>
      </c>
      <c r="F275" s="33" t="s">
        <v>129</v>
      </c>
    </row>
    <row r="276" spans="1:6" ht="10.9" customHeight="1">
      <c r="A276" s="32" t="s">
        <v>680</v>
      </c>
      <c r="B276" s="30" t="s">
        <v>681</v>
      </c>
      <c r="C276" s="30" t="s">
        <v>187</v>
      </c>
      <c r="D276" s="31">
        <v>610.87</v>
      </c>
      <c r="E276" s="31">
        <v>32</v>
      </c>
      <c r="F276" s="33" t="s">
        <v>133</v>
      </c>
    </row>
    <row r="277" spans="1:6" ht="10.9" customHeight="1">
      <c r="A277" s="32" t="s">
        <v>682</v>
      </c>
      <c r="B277" s="30" t="s">
        <v>683</v>
      </c>
      <c r="C277" s="30" t="s">
        <v>145</v>
      </c>
      <c r="D277" s="31">
        <v>719.3</v>
      </c>
      <c r="E277" s="31">
        <v>68</v>
      </c>
      <c r="F277" s="33" t="s">
        <v>136</v>
      </c>
    </row>
    <row r="278" spans="1:6" ht="10.9" customHeight="1">
      <c r="A278" s="32" t="s">
        <v>684</v>
      </c>
      <c r="B278" s="30" t="s">
        <v>685</v>
      </c>
      <c r="C278" s="30" t="s">
        <v>128</v>
      </c>
      <c r="D278" s="31">
        <v>554.79</v>
      </c>
      <c r="E278" s="31">
        <v>76</v>
      </c>
      <c r="F278" s="33" t="s">
        <v>139</v>
      </c>
    </row>
    <row r="279" spans="1:6" ht="10.9" customHeight="1">
      <c r="A279" s="32" t="s">
        <v>686</v>
      </c>
      <c r="B279" s="30" t="s">
        <v>687</v>
      </c>
      <c r="C279" s="30" t="s">
        <v>132</v>
      </c>
      <c r="D279" s="31">
        <v>865.73</v>
      </c>
      <c r="E279" s="31">
        <v>48</v>
      </c>
      <c r="F279" s="34" t="s">
        <v>142</v>
      </c>
    </row>
    <row r="280" spans="1:6" ht="10.9" customHeight="1">
      <c r="A280" s="32" t="s">
        <v>688</v>
      </c>
      <c r="B280" s="30" t="s">
        <v>689</v>
      </c>
      <c r="C280" s="30" t="s">
        <v>145</v>
      </c>
      <c r="D280" s="31">
        <v>95.29</v>
      </c>
      <c r="E280" s="31">
        <v>97</v>
      </c>
      <c r="F280" s="33" t="s">
        <v>146</v>
      </c>
    </row>
    <row r="281" spans="1:6" ht="10.9" customHeight="1">
      <c r="A281" s="32" t="s">
        <v>690</v>
      </c>
      <c r="B281" s="30" t="s">
        <v>691</v>
      </c>
      <c r="C281" s="30" t="s">
        <v>132</v>
      </c>
      <c r="D281" s="31">
        <v>276.58999999999997</v>
      </c>
      <c r="E281" s="31">
        <v>86</v>
      </c>
      <c r="F281" s="33" t="s">
        <v>149</v>
      </c>
    </row>
    <row r="282" spans="1:6" ht="10.9" customHeight="1">
      <c r="A282" s="32" t="s">
        <v>692</v>
      </c>
      <c r="B282" s="30" t="s">
        <v>693</v>
      </c>
      <c r="C282" s="30" t="s">
        <v>128</v>
      </c>
      <c r="D282" s="31">
        <v>192.63</v>
      </c>
      <c r="E282" s="31">
        <v>-4</v>
      </c>
      <c r="F282" s="33" t="s">
        <v>117</v>
      </c>
    </row>
    <row r="283" spans="1:6" ht="10.9" customHeight="1">
      <c r="A283" s="32" t="s">
        <v>694</v>
      </c>
      <c r="B283" s="30" t="s">
        <v>695</v>
      </c>
      <c r="C283" s="30" t="s">
        <v>145</v>
      </c>
      <c r="D283" s="31">
        <v>966.13</v>
      </c>
      <c r="E283" s="31">
        <v>53</v>
      </c>
      <c r="F283" s="33" t="s">
        <v>121</v>
      </c>
    </row>
    <row r="284" spans="1:6" ht="10.9" customHeight="1">
      <c r="A284" s="32" t="s">
        <v>696</v>
      </c>
      <c r="B284" s="30" t="s">
        <v>697</v>
      </c>
      <c r="C284" s="30" t="s">
        <v>128</v>
      </c>
      <c r="D284" s="31">
        <v>195.15</v>
      </c>
      <c r="E284" s="31">
        <v>45</v>
      </c>
      <c r="F284" s="33" t="s">
        <v>125</v>
      </c>
    </row>
    <row r="285" spans="1:6" ht="10.9" customHeight="1">
      <c r="A285" s="32" t="s">
        <v>698</v>
      </c>
      <c r="B285" s="30" t="s">
        <v>699</v>
      </c>
      <c r="C285" s="30" t="s">
        <v>120</v>
      </c>
      <c r="D285" s="31">
        <v>603.51</v>
      </c>
      <c r="E285" s="31">
        <v>26</v>
      </c>
      <c r="F285" s="33" t="s">
        <v>129</v>
      </c>
    </row>
    <row r="286" spans="1:6" ht="10.9" customHeight="1">
      <c r="A286" s="32" t="s">
        <v>700</v>
      </c>
      <c r="B286" s="30" t="s">
        <v>701</v>
      </c>
      <c r="C286" s="30" t="s">
        <v>120</v>
      </c>
      <c r="D286" s="31">
        <v>403.91</v>
      </c>
      <c r="E286" s="31">
        <v>95</v>
      </c>
      <c r="F286" s="33" t="s">
        <v>133</v>
      </c>
    </row>
    <row r="287" spans="1:6" ht="10.9" customHeight="1">
      <c r="A287" s="32" t="s">
        <v>702</v>
      </c>
      <c r="B287" s="30" t="s">
        <v>703</v>
      </c>
      <c r="C287" s="30" t="s">
        <v>120</v>
      </c>
      <c r="D287" s="31">
        <v>84.93</v>
      </c>
      <c r="E287" s="31">
        <v>43</v>
      </c>
      <c r="F287" s="33" t="s">
        <v>136</v>
      </c>
    </row>
    <row r="288" spans="1:6" ht="10.9" customHeight="1">
      <c r="A288" s="32" t="s">
        <v>704</v>
      </c>
      <c r="B288" s="30" t="s">
        <v>705</v>
      </c>
      <c r="C288" s="30" t="s">
        <v>128</v>
      </c>
      <c r="D288" s="31">
        <v>964.55</v>
      </c>
      <c r="E288" s="31">
        <v>-9</v>
      </c>
      <c r="F288" s="33" t="s">
        <v>139</v>
      </c>
    </row>
    <row r="289" spans="1:6" ht="10.9" customHeight="1">
      <c r="A289" s="32" t="s">
        <v>706</v>
      </c>
      <c r="B289" s="30" t="s">
        <v>707</v>
      </c>
      <c r="C289" s="30" t="s">
        <v>120</v>
      </c>
      <c r="D289" s="31">
        <v>547.49</v>
      </c>
      <c r="E289" s="31">
        <v>94</v>
      </c>
      <c r="F289" s="34" t="s">
        <v>142</v>
      </c>
    </row>
    <row r="290" spans="1:6" ht="10.9" customHeight="1">
      <c r="A290" s="32" t="s">
        <v>708</v>
      </c>
      <c r="B290" s="30" t="s">
        <v>709</v>
      </c>
      <c r="C290" s="30" t="s">
        <v>145</v>
      </c>
      <c r="D290" s="31">
        <v>830.77</v>
      </c>
      <c r="E290" s="31">
        <v>7</v>
      </c>
      <c r="F290" s="33" t="s">
        <v>146</v>
      </c>
    </row>
    <row r="291" spans="1:6" ht="10.9" customHeight="1">
      <c r="A291" s="32" t="s">
        <v>710</v>
      </c>
      <c r="B291" s="30" t="s">
        <v>711</v>
      </c>
      <c r="C291" s="30" t="s">
        <v>132</v>
      </c>
      <c r="D291" s="31">
        <v>604.09</v>
      </c>
      <c r="E291" s="31">
        <v>6</v>
      </c>
      <c r="F291" s="33" t="s">
        <v>149</v>
      </c>
    </row>
    <row r="292" spans="1:6" ht="10.9" customHeight="1">
      <c r="A292" s="32" t="s">
        <v>712</v>
      </c>
      <c r="B292" s="30" t="s">
        <v>713</v>
      </c>
      <c r="C292" s="30" t="s">
        <v>145</v>
      </c>
      <c r="D292" s="31">
        <v>84.84</v>
      </c>
      <c r="E292" s="31">
        <v>77</v>
      </c>
      <c r="F292" s="33" t="s">
        <v>117</v>
      </c>
    </row>
    <row r="293" spans="1:6" ht="10.9" customHeight="1">
      <c r="A293" s="32" t="s">
        <v>714</v>
      </c>
      <c r="B293" s="30" t="s">
        <v>715</v>
      </c>
      <c r="C293" s="30" t="s">
        <v>120</v>
      </c>
      <c r="D293" s="31">
        <v>925.89</v>
      </c>
      <c r="E293" s="31">
        <v>11</v>
      </c>
      <c r="F293" s="33" t="s">
        <v>121</v>
      </c>
    </row>
    <row r="294" spans="1:6" ht="10.9" customHeight="1">
      <c r="A294" s="32" t="s">
        <v>716</v>
      </c>
      <c r="B294" s="30" t="s">
        <v>717</v>
      </c>
      <c r="C294" s="30" t="s">
        <v>132</v>
      </c>
      <c r="D294" s="31">
        <v>720.77</v>
      </c>
      <c r="E294" s="31">
        <v>65</v>
      </c>
      <c r="F294" s="33" t="s">
        <v>125</v>
      </c>
    </row>
    <row r="295" spans="1:6" ht="10.9" customHeight="1">
      <c r="A295" s="32" t="s">
        <v>718</v>
      </c>
      <c r="B295" s="30" t="s">
        <v>719</v>
      </c>
      <c r="C295" s="30" t="s">
        <v>132</v>
      </c>
      <c r="D295" s="31">
        <v>943.6</v>
      </c>
      <c r="E295" s="31">
        <v>21</v>
      </c>
      <c r="F295" s="33" t="s">
        <v>129</v>
      </c>
    </row>
    <row r="296" spans="1:6" ht="10.9" customHeight="1">
      <c r="A296" s="32" t="s">
        <v>720</v>
      </c>
      <c r="B296" s="30" t="s">
        <v>721</v>
      </c>
      <c r="C296" s="30" t="s">
        <v>187</v>
      </c>
      <c r="D296" s="31">
        <v>838.11</v>
      </c>
      <c r="E296" s="31">
        <v>74</v>
      </c>
      <c r="F296" s="33" t="s">
        <v>133</v>
      </c>
    </row>
    <row r="297" spans="1:6" ht="10.9" customHeight="1">
      <c r="A297" s="32" t="s">
        <v>722</v>
      </c>
      <c r="B297" s="30" t="s">
        <v>723</v>
      </c>
      <c r="C297" s="30" t="s">
        <v>120</v>
      </c>
      <c r="D297" s="31">
        <v>549.20000000000005</v>
      </c>
      <c r="E297" s="31">
        <v>52</v>
      </c>
      <c r="F297" s="33" t="s">
        <v>136</v>
      </c>
    </row>
    <row r="298" spans="1:6" ht="10.9" customHeight="1">
      <c r="A298" s="32" t="s">
        <v>724</v>
      </c>
      <c r="B298" s="30" t="s">
        <v>725</v>
      </c>
      <c r="C298" s="30" t="s">
        <v>128</v>
      </c>
      <c r="D298" s="31">
        <v>514.66999999999996</v>
      </c>
      <c r="E298" s="31">
        <v>13</v>
      </c>
      <c r="F298" s="33" t="s">
        <v>139</v>
      </c>
    </row>
    <row r="299" spans="1:6" ht="10.9" customHeight="1">
      <c r="A299" s="32" t="s">
        <v>726</v>
      </c>
      <c r="B299" s="30" t="s">
        <v>727</v>
      </c>
      <c r="C299" s="30" t="s">
        <v>120</v>
      </c>
      <c r="D299" s="31">
        <v>477.28</v>
      </c>
      <c r="E299" s="31">
        <v>17</v>
      </c>
      <c r="F299" s="34" t="s">
        <v>142</v>
      </c>
    </row>
    <row r="300" spans="1:6" ht="10.9" customHeight="1">
      <c r="A300" s="32" t="s">
        <v>728</v>
      </c>
      <c r="B300" s="30" t="s">
        <v>729</v>
      </c>
      <c r="C300" s="30" t="s">
        <v>128</v>
      </c>
      <c r="D300" s="31">
        <v>767.76</v>
      </c>
      <c r="E300" s="31">
        <v>84</v>
      </c>
      <c r="F300" s="33" t="s">
        <v>146</v>
      </c>
    </row>
    <row r="301" spans="1:6" ht="10.9" customHeight="1">
      <c r="A301" s="32" t="s">
        <v>730</v>
      </c>
      <c r="B301" s="30" t="s">
        <v>731</v>
      </c>
      <c r="C301" s="30" t="s">
        <v>132</v>
      </c>
      <c r="D301" s="31">
        <v>584.52</v>
      </c>
      <c r="E301" s="31">
        <v>-7</v>
      </c>
      <c r="F301" s="33" t="s">
        <v>149</v>
      </c>
    </row>
    <row r="302" spans="1:6" ht="10.9" customHeight="1">
      <c r="A302" s="32" t="s">
        <v>732</v>
      </c>
      <c r="B302" s="30" t="s">
        <v>733</v>
      </c>
      <c r="C302" s="30" t="s">
        <v>132</v>
      </c>
      <c r="D302" s="31">
        <v>624.82000000000005</v>
      </c>
      <c r="E302" s="31">
        <v>92</v>
      </c>
      <c r="F302" s="33" t="s">
        <v>117</v>
      </c>
    </row>
    <row r="303" spans="1:6" ht="10.9" customHeight="1">
      <c r="A303" s="32" t="s">
        <v>734</v>
      </c>
      <c r="B303" s="30" t="s">
        <v>735</v>
      </c>
      <c r="C303" s="30" t="s">
        <v>145</v>
      </c>
      <c r="D303" s="31">
        <v>324.95999999999998</v>
      </c>
      <c r="E303" s="31">
        <v>18</v>
      </c>
      <c r="F303" s="33" t="s">
        <v>121</v>
      </c>
    </row>
    <row r="304" spans="1:6" ht="10.9" customHeight="1">
      <c r="A304" s="32" t="s">
        <v>736</v>
      </c>
      <c r="B304" s="30" t="s">
        <v>737</v>
      </c>
      <c r="C304" s="30" t="s">
        <v>132</v>
      </c>
      <c r="D304" s="31">
        <v>337.88</v>
      </c>
      <c r="E304" s="31">
        <v>7</v>
      </c>
      <c r="F304" s="33" t="s">
        <v>125</v>
      </c>
    </row>
    <row r="305" spans="1:6" ht="10.9" customHeight="1">
      <c r="A305" s="32" t="s">
        <v>738</v>
      </c>
      <c r="B305" s="30" t="s">
        <v>739</v>
      </c>
      <c r="C305" s="30" t="s">
        <v>132</v>
      </c>
      <c r="D305" s="31">
        <v>542.5</v>
      </c>
      <c r="E305" s="31">
        <v>70</v>
      </c>
      <c r="F305" s="33" t="s">
        <v>129</v>
      </c>
    </row>
    <row r="306" spans="1:6" ht="10.9" customHeight="1">
      <c r="A306" s="32" t="s">
        <v>740</v>
      </c>
      <c r="B306" s="30" t="s">
        <v>741</v>
      </c>
      <c r="C306" s="30" t="s">
        <v>120</v>
      </c>
      <c r="D306" s="31">
        <v>986.72</v>
      </c>
      <c r="E306" s="31">
        <v>94</v>
      </c>
      <c r="F306" s="33" t="s">
        <v>133</v>
      </c>
    </row>
    <row r="307" spans="1:6" ht="10.9" customHeight="1">
      <c r="A307" s="32" t="s">
        <v>742</v>
      </c>
      <c r="B307" s="30" t="s">
        <v>743</v>
      </c>
      <c r="C307" s="30" t="s">
        <v>187</v>
      </c>
      <c r="D307" s="31">
        <v>103.69</v>
      </c>
      <c r="E307" s="31">
        <v>41</v>
      </c>
      <c r="F307" s="33" t="s">
        <v>136</v>
      </c>
    </row>
    <row r="308" spans="1:6" ht="10.9" customHeight="1">
      <c r="A308" s="32" t="s">
        <v>744</v>
      </c>
      <c r="B308" s="30" t="s">
        <v>745</v>
      </c>
      <c r="C308" s="30" t="s">
        <v>145</v>
      </c>
      <c r="D308" s="31">
        <v>367.49</v>
      </c>
      <c r="E308" s="31">
        <v>31</v>
      </c>
      <c r="F308" s="33" t="s">
        <v>139</v>
      </c>
    </row>
    <row r="309" spans="1:6" ht="10.9" customHeight="1">
      <c r="A309" s="32" t="s">
        <v>746</v>
      </c>
      <c r="B309" s="30" t="s">
        <v>747</v>
      </c>
      <c r="C309" s="30" t="s">
        <v>187</v>
      </c>
      <c r="D309" s="31">
        <v>958.77</v>
      </c>
      <c r="E309" s="31">
        <v>22</v>
      </c>
      <c r="F309" s="34" t="s">
        <v>142</v>
      </c>
    </row>
    <row r="310" spans="1:6" ht="10.9" customHeight="1">
      <c r="A310" s="32" t="s">
        <v>748</v>
      </c>
      <c r="B310" s="30" t="s">
        <v>749</v>
      </c>
      <c r="C310" s="30" t="s">
        <v>145</v>
      </c>
      <c r="D310" s="31">
        <v>328</v>
      </c>
      <c r="E310" s="31">
        <v>68</v>
      </c>
      <c r="F310" s="33" t="s">
        <v>146</v>
      </c>
    </row>
    <row r="311" spans="1:6" ht="10.9" customHeight="1">
      <c r="A311" s="32" t="s">
        <v>750</v>
      </c>
      <c r="B311" s="30" t="s">
        <v>751</v>
      </c>
      <c r="C311" s="30" t="s">
        <v>145</v>
      </c>
      <c r="D311" s="31">
        <v>909.59</v>
      </c>
      <c r="E311" s="31">
        <v>15</v>
      </c>
      <c r="F311" s="33" t="s">
        <v>149</v>
      </c>
    </row>
    <row r="312" spans="1:6" ht="10.9" customHeight="1">
      <c r="A312" s="32" t="s">
        <v>752</v>
      </c>
      <c r="B312" s="30" t="s">
        <v>753</v>
      </c>
      <c r="C312" s="30" t="s">
        <v>187</v>
      </c>
      <c r="D312" s="31">
        <v>358.53</v>
      </c>
      <c r="E312" s="31">
        <v>35</v>
      </c>
      <c r="F312" s="33" t="s">
        <v>117</v>
      </c>
    </row>
    <row r="313" spans="1:6" ht="10.9" customHeight="1">
      <c r="A313" s="32" t="s">
        <v>754</v>
      </c>
      <c r="B313" s="30" t="s">
        <v>755</v>
      </c>
      <c r="C313" s="30" t="s">
        <v>120</v>
      </c>
      <c r="D313" s="31">
        <v>709.05</v>
      </c>
      <c r="E313" s="31">
        <v>47</v>
      </c>
      <c r="F313" s="33" t="s">
        <v>121</v>
      </c>
    </row>
    <row r="314" spans="1:6" ht="10.9" customHeight="1">
      <c r="A314" s="32" t="s">
        <v>756</v>
      </c>
      <c r="B314" s="30" t="s">
        <v>757</v>
      </c>
      <c r="C314" s="30" t="s">
        <v>132</v>
      </c>
      <c r="D314" s="31">
        <v>894.49</v>
      </c>
      <c r="E314" s="31">
        <v>6</v>
      </c>
      <c r="F314" s="33" t="s">
        <v>125</v>
      </c>
    </row>
    <row r="315" spans="1:6" ht="10.9" customHeight="1">
      <c r="A315" s="32" t="s">
        <v>758</v>
      </c>
      <c r="B315" s="30" t="s">
        <v>759</v>
      </c>
      <c r="C315" s="30" t="s">
        <v>128</v>
      </c>
      <c r="D315" s="31">
        <v>719.34</v>
      </c>
      <c r="E315" s="31">
        <v>44</v>
      </c>
      <c r="F315" s="33" t="s">
        <v>129</v>
      </c>
    </row>
    <row r="316" spans="1:6" ht="10.9" customHeight="1">
      <c r="A316" s="32" t="s">
        <v>760</v>
      </c>
      <c r="B316" s="30" t="s">
        <v>761</v>
      </c>
      <c r="C316" s="30" t="s">
        <v>132</v>
      </c>
      <c r="D316" s="31">
        <v>407.29</v>
      </c>
      <c r="E316" s="31">
        <v>98</v>
      </c>
      <c r="F316" s="33" t="s">
        <v>133</v>
      </c>
    </row>
    <row r="317" spans="1:6" ht="10.9" customHeight="1">
      <c r="A317" s="32" t="s">
        <v>762</v>
      </c>
      <c r="B317" s="30" t="s">
        <v>763</v>
      </c>
      <c r="C317" s="30" t="s">
        <v>187</v>
      </c>
      <c r="D317" s="31">
        <v>754.38</v>
      </c>
      <c r="E317" s="31">
        <v>24</v>
      </c>
      <c r="F317" s="33" t="s">
        <v>136</v>
      </c>
    </row>
    <row r="318" spans="1:6" ht="10.9" customHeight="1">
      <c r="A318" s="32" t="s">
        <v>764</v>
      </c>
      <c r="B318" s="30" t="s">
        <v>765</v>
      </c>
      <c r="C318" s="30" t="s">
        <v>120</v>
      </c>
      <c r="D318" s="31">
        <v>958.09</v>
      </c>
      <c r="E318" s="31">
        <v>84</v>
      </c>
      <c r="F318" s="33" t="s">
        <v>139</v>
      </c>
    </row>
    <row r="319" spans="1:6" ht="10.9" customHeight="1">
      <c r="A319" s="32" t="s">
        <v>766</v>
      </c>
      <c r="B319" s="30" t="s">
        <v>767</v>
      </c>
      <c r="C319" s="30" t="s">
        <v>120</v>
      </c>
      <c r="D319" s="31">
        <v>458.26</v>
      </c>
      <c r="E319" s="31">
        <v>42</v>
      </c>
      <c r="F319" s="34" t="s">
        <v>142</v>
      </c>
    </row>
    <row r="320" spans="1:6" ht="10.9" customHeight="1">
      <c r="A320" s="32" t="s">
        <v>768</v>
      </c>
      <c r="B320" s="30" t="s">
        <v>769</v>
      </c>
      <c r="C320" s="30" t="s">
        <v>132</v>
      </c>
      <c r="D320" s="31">
        <v>793.08</v>
      </c>
      <c r="E320" s="31">
        <v>-2</v>
      </c>
      <c r="F320" s="33" t="s">
        <v>146</v>
      </c>
    </row>
    <row r="321" spans="1:6" ht="10.9" customHeight="1">
      <c r="A321" s="32" t="s">
        <v>770</v>
      </c>
      <c r="B321" s="30" t="s">
        <v>771</v>
      </c>
      <c r="C321" s="30" t="s">
        <v>187</v>
      </c>
      <c r="D321" s="31">
        <v>954.81</v>
      </c>
      <c r="E321" s="31">
        <v>15</v>
      </c>
      <c r="F321" s="33" t="s">
        <v>149</v>
      </c>
    </row>
    <row r="322" spans="1:6" ht="10.9" customHeight="1">
      <c r="A322" s="32" t="s">
        <v>772</v>
      </c>
      <c r="B322" s="30" t="s">
        <v>773</v>
      </c>
      <c r="C322" s="30" t="s">
        <v>187</v>
      </c>
      <c r="D322" s="31">
        <v>510.13</v>
      </c>
      <c r="E322" s="31">
        <v>47</v>
      </c>
      <c r="F322" s="33" t="s">
        <v>117</v>
      </c>
    </row>
    <row r="323" spans="1:6" ht="10.9" customHeight="1">
      <c r="A323" s="32" t="s">
        <v>774</v>
      </c>
      <c r="B323" s="30" t="s">
        <v>775</v>
      </c>
      <c r="C323" s="30" t="s">
        <v>132</v>
      </c>
      <c r="D323" s="31">
        <v>188.34</v>
      </c>
      <c r="E323" s="31">
        <v>95</v>
      </c>
      <c r="F323" s="33" t="s">
        <v>121</v>
      </c>
    </row>
    <row r="324" spans="1:6" ht="10.9" customHeight="1">
      <c r="A324" s="32" t="s">
        <v>776</v>
      </c>
      <c r="B324" s="30" t="s">
        <v>777</v>
      </c>
      <c r="C324" s="30" t="s">
        <v>120</v>
      </c>
      <c r="D324" s="31">
        <v>184.92</v>
      </c>
      <c r="E324" s="31">
        <v>60</v>
      </c>
      <c r="F324" s="33" t="s">
        <v>125</v>
      </c>
    </row>
    <row r="325" spans="1:6" ht="10.9" customHeight="1">
      <c r="A325" s="32" t="s">
        <v>778</v>
      </c>
      <c r="B325" s="30" t="s">
        <v>779</v>
      </c>
      <c r="C325" s="30" t="s">
        <v>120</v>
      </c>
      <c r="D325" s="31">
        <v>550.88</v>
      </c>
      <c r="E325" s="31">
        <v>99</v>
      </c>
      <c r="F325" s="33" t="s">
        <v>129</v>
      </c>
    </row>
    <row r="326" spans="1:6" ht="10.9" customHeight="1">
      <c r="A326" s="32" t="s">
        <v>780</v>
      </c>
      <c r="B326" s="30" t="s">
        <v>781</v>
      </c>
      <c r="C326" s="30" t="s">
        <v>128</v>
      </c>
      <c r="D326" s="31">
        <v>735.53</v>
      </c>
      <c r="E326" s="31">
        <v>-9</v>
      </c>
      <c r="F326" s="33" t="s">
        <v>133</v>
      </c>
    </row>
    <row r="327" spans="1:6" ht="10.9" customHeight="1">
      <c r="A327" s="32" t="s">
        <v>782</v>
      </c>
      <c r="B327" s="30" t="s">
        <v>783</v>
      </c>
      <c r="C327" s="30" t="s">
        <v>128</v>
      </c>
      <c r="D327" s="31">
        <v>904.83</v>
      </c>
      <c r="E327" s="31">
        <v>3</v>
      </c>
      <c r="F327" s="33" t="s">
        <v>136</v>
      </c>
    </row>
    <row r="328" spans="1:6" ht="10.9" customHeight="1">
      <c r="A328" s="32" t="s">
        <v>784</v>
      </c>
      <c r="B328" s="30" t="s">
        <v>785</v>
      </c>
      <c r="C328" s="30" t="s">
        <v>187</v>
      </c>
      <c r="D328" s="31">
        <v>880.99</v>
      </c>
      <c r="E328" s="31">
        <v>78</v>
      </c>
      <c r="F328" s="33" t="s">
        <v>139</v>
      </c>
    </row>
    <row r="329" spans="1:6" ht="10.9" customHeight="1">
      <c r="A329" s="32" t="s">
        <v>786</v>
      </c>
      <c r="B329" s="30" t="s">
        <v>787</v>
      </c>
      <c r="C329" s="30" t="s">
        <v>187</v>
      </c>
      <c r="D329" s="31">
        <v>73.87</v>
      </c>
      <c r="E329" s="31">
        <v>72</v>
      </c>
      <c r="F329" s="34" t="s">
        <v>142</v>
      </c>
    </row>
    <row r="330" spans="1:6" ht="10.9" customHeight="1">
      <c r="A330" s="32" t="s">
        <v>788</v>
      </c>
      <c r="B330" s="30" t="s">
        <v>789</v>
      </c>
      <c r="C330" s="30" t="s">
        <v>132</v>
      </c>
      <c r="D330" s="31">
        <v>894.91</v>
      </c>
      <c r="E330" s="31">
        <v>8</v>
      </c>
      <c r="F330" s="33" t="s">
        <v>146</v>
      </c>
    </row>
    <row r="331" spans="1:6" ht="10.9" customHeight="1">
      <c r="A331" s="32" t="s">
        <v>790</v>
      </c>
      <c r="B331" s="30" t="s">
        <v>791</v>
      </c>
      <c r="C331" s="30" t="s">
        <v>128</v>
      </c>
      <c r="D331" s="31">
        <v>572.44000000000005</v>
      </c>
      <c r="E331" s="31">
        <v>72</v>
      </c>
      <c r="F331" s="33" t="s">
        <v>149</v>
      </c>
    </row>
    <row r="332" spans="1:6" ht="10.9" customHeight="1">
      <c r="A332" s="32" t="s">
        <v>792</v>
      </c>
      <c r="B332" s="30" t="s">
        <v>793</v>
      </c>
      <c r="C332" s="30" t="s">
        <v>132</v>
      </c>
      <c r="D332" s="31">
        <v>648.57000000000005</v>
      </c>
      <c r="E332" s="31">
        <v>26</v>
      </c>
      <c r="F332" s="33" t="s">
        <v>117</v>
      </c>
    </row>
    <row r="333" spans="1:6" ht="10.9" customHeight="1">
      <c r="A333" s="32" t="s">
        <v>794</v>
      </c>
      <c r="B333" s="30" t="s">
        <v>795</v>
      </c>
      <c r="C333" s="30" t="s">
        <v>145</v>
      </c>
      <c r="D333" s="31">
        <v>736.3</v>
      </c>
      <c r="E333" s="31">
        <v>-6</v>
      </c>
      <c r="F333" s="33" t="s">
        <v>121</v>
      </c>
    </row>
    <row r="334" spans="1:6" ht="10.9" customHeight="1">
      <c r="A334" s="32" t="s">
        <v>796</v>
      </c>
      <c r="B334" s="30" t="s">
        <v>797</v>
      </c>
      <c r="C334" s="30" t="s">
        <v>128</v>
      </c>
      <c r="D334" s="31">
        <v>777.31</v>
      </c>
      <c r="E334" s="31">
        <v>90</v>
      </c>
      <c r="F334" s="33" t="s">
        <v>125</v>
      </c>
    </row>
    <row r="335" spans="1:6" ht="10.9" customHeight="1">
      <c r="A335" s="32" t="s">
        <v>798</v>
      </c>
      <c r="B335" s="30" t="s">
        <v>799</v>
      </c>
      <c r="C335" s="30" t="s">
        <v>132</v>
      </c>
      <c r="D335" s="31">
        <v>693.46</v>
      </c>
      <c r="E335" s="31">
        <v>75</v>
      </c>
      <c r="F335" s="33" t="s">
        <v>129</v>
      </c>
    </row>
    <row r="336" spans="1:6" ht="10.9" customHeight="1">
      <c r="A336" s="32" t="s">
        <v>800</v>
      </c>
      <c r="B336" s="30" t="s">
        <v>801</v>
      </c>
      <c r="C336" s="30" t="s">
        <v>132</v>
      </c>
      <c r="D336" s="31">
        <v>547.19000000000005</v>
      </c>
      <c r="E336" s="31">
        <v>30</v>
      </c>
      <c r="F336" s="33" t="s">
        <v>133</v>
      </c>
    </row>
    <row r="337" spans="1:6" ht="10.9" customHeight="1">
      <c r="A337" s="32" t="s">
        <v>802</v>
      </c>
      <c r="B337" s="30" t="s">
        <v>803</v>
      </c>
      <c r="C337" s="30" t="s">
        <v>132</v>
      </c>
      <c r="D337" s="31">
        <v>729.63</v>
      </c>
      <c r="E337" s="31">
        <v>9</v>
      </c>
      <c r="F337" s="33" t="s">
        <v>136</v>
      </c>
    </row>
    <row r="338" spans="1:6" ht="10.9" customHeight="1">
      <c r="A338" s="32" t="s">
        <v>804</v>
      </c>
      <c r="B338" s="30" t="s">
        <v>805</v>
      </c>
      <c r="C338" s="30" t="s">
        <v>120</v>
      </c>
      <c r="D338" s="31">
        <v>287.58</v>
      </c>
      <c r="E338" s="31">
        <v>45</v>
      </c>
      <c r="F338" s="33" t="s">
        <v>139</v>
      </c>
    </row>
    <row r="339" spans="1:6" ht="10.9" customHeight="1">
      <c r="A339" s="32" t="s">
        <v>806</v>
      </c>
      <c r="B339" s="30" t="s">
        <v>807</v>
      </c>
      <c r="C339" s="30" t="s">
        <v>145</v>
      </c>
      <c r="D339" s="31">
        <v>222.73</v>
      </c>
      <c r="E339" s="31">
        <v>62</v>
      </c>
      <c r="F339" s="34" t="s">
        <v>142</v>
      </c>
    </row>
    <row r="340" spans="1:6" ht="10.9" customHeight="1">
      <c r="A340" s="32" t="s">
        <v>808</v>
      </c>
      <c r="B340" s="30" t="s">
        <v>809</v>
      </c>
      <c r="C340" s="30" t="s">
        <v>132</v>
      </c>
      <c r="D340" s="31">
        <v>871.83</v>
      </c>
      <c r="E340" s="31">
        <v>71</v>
      </c>
      <c r="F340" s="33" t="s">
        <v>146</v>
      </c>
    </row>
    <row r="341" spans="1:6" ht="10.9" customHeight="1">
      <c r="A341" s="32" t="s">
        <v>810</v>
      </c>
      <c r="B341" s="30" t="s">
        <v>811</v>
      </c>
      <c r="C341" s="30" t="s">
        <v>187</v>
      </c>
      <c r="D341" s="31">
        <v>236.7</v>
      </c>
      <c r="E341" s="31">
        <v>74</v>
      </c>
      <c r="F341" s="33" t="s">
        <v>149</v>
      </c>
    </row>
    <row r="342" spans="1:6" ht="10.9" customHeight="1">
      <c r="A342" s="32" t="s">
        <v>812</v>
      </c>
      <c r="B342" s="30" t="s">
        <v>813</v>
      </c>
      <c r="C342" s="30" t="s">
        <v>132</v>
      </c>
      <c r="D342" s="31">
        <v>963.67</v>
      </c>
      <c r="E342" s="31">
        <v>23</v>
      </c>
      <c r="F342" s="33" t="s">
        <v>117</v>
      </c>
    </row>
    <row r="343" spans="1:6" ht="10.9" customHeight="1">
      <c r="A343" s="32" t="s">
        <v>814</v>
      </c>
      <c r="B343" s="30" t="s">
        <v>815</v>
      </c>
      <c r="C343" s="30" t="s">
        <v>132</v>
      </c>
      <c r="D343" s="31">
        <v>963.39</v>
      </c>
      <c r="E343" s="31">
        <v>67</v>
      </c>
      <c r="F343" s="33" t="s">
        <v>121</v>
      </c>
    </row>
    <row r="344" spans="1:6" ht="10.9" customHeight="1">
      <c r="A344" s="32" t="s">
        <v>816</v>
      </c>
      <c r="B344" s="30" t="s">
        <v>817</v>
      </c>
      <c r="C344" s="30" t="s">
        <v>187</v>
      </c>
      <c r="D344" s="31">
        <v>385.63</v>
      </c>
      <c r="E344" s="31">
        <v>-5</v>
      </c>
      <c r="F344" s="33" t="s">
        <v>125</v>
      </c>
    </row>
    <row r="345" spans="1:6" ht="10.9" customHeight="1">
      <c r="A345" s="32" t="s">
        <v>818</v>
      </c>
      <c r="B345" s="30" t="s">
        <v>819</v>
      </c>
      <c r="C345" s="30" t="s">
        <v>132</v>
      </c>
      <c r="D345" s="31">
        <v>596.26</v>
      </c>
      <c r="E345" s="31">
        <v>-2</v>
      </c>
      <c r="F345" s="33" t="s">
        <v>129</v>
      </c>
    </row>
    <row r="346" spans="1:6" ht="10.9" customHeight="1">
      <c r="A346" s="32" t="s">
        <v>820</v>
      </c>
      <c r="B346" s="30" t="s">
        <v>821</v>
      </c>
      <c r="C346" s="30" t="s">
        <v>120</v>
      </c>
      <c r="D346" s="31">
        <v>656.03</v>
      </c>
      <c r="E346" s="31">
        <v>5</v>
      </c>
      <c r="F346" s="33" t="s">
        <v>133</v>
      </c>
    </row>
    <row r="347" spans="1:6" ht="10.9" customHeight="1">
      <c r="A347" s="32" t="s">
        <v>822</v>
      </c>
      <c r="B347" s="30" t="s">
        <v>823</v>
      </c>
      <c r="C347" s="30" t="s">
        <v>132</v>
      </c>
      <c r="D347" s="31">
        <v>860.38</v>
      </c>
      <c r="E347" s="31">
        <v>4</v>
      </c>
      <c r="F347" s="33" t="s">
        <v>136</v>
      </c>
    </row>
    <row r="348" spans="1:6" ht="10.9" customHeight="1">
      <c r="A348" s="32" t="s">
        <v>824</v>
      </c>
      <c r="B348" s="30" t="s">
        <v>825</v>
      </c>
      <c r="C348" s="30" t="s">
        <v>145</v>
      </c>
      <c r="D348" s="31">
        <v>218.11</v>
      </c>
      <c r="E348" s="31">
        <v>1</v>
      </c>
      <c r="F348" s="33" t="s">
        <v>139</v>
      </c>
    </row>
    <row r="349" spans="1:6" ht="10.9" customHeight="1">
      <c r="A349" s="32" t="s">
        <v>826</v>
      </c>
      <c r="B349" s="30" t="s">
        <v>827</v>
      </c>
      <c r="C349" s="30" t="s">
        <v>132</v>
      </c>
      <c r="D349" s="31">
        <v>869.7</v>
      </c>
      <c r="E349" s="31">
        <v>84</v>
      </c>
      <c r="F349" s="34" t="s">
        <v>142</v>
      </c>
    </row>
    <row r="350" spans="1:6" ht="10.9" customHeight="1">
      <c r="A350" s="32" t="s">
        <v>828</v>
      </c>
      <c r="B350" s="30" t="s">
        <v>829</v>
      </c>
      <c r="C350" s="30" t="s">
        <v>128</v>
      </c>
      <c r="D350" s="31">
        <v>963.7</v>
      </c>
      <c r="E350" s="31">
        <v>4</v>
      </c>
      <c r="F350" s="33" t="s">
        <v>146</v>
      </c>
    </row>
    <row r="351" spans="1:6" ht="10.9" customHeight="1">
      <c r="A351" s="32" t="s">
        <v>830</v>
      </c>
      <c r="B351" s="30" t="s">
        <v>831</v>
      </c>
      <c r="C351" s="30" t="s">
        <v>132</v>
      </c>
      <c r="D351" s="31">
        <v>418.92</v>
      </c>
      <c r="E351" s="31">
        <v>50</v>
      </c>
      <c r="F351" s="33" t="s">
        <v>149</v>
      </c>
    </row>
    <row r="352" spans="1:6" ht="10.9" customHeight="1">
      <c r="A352" s="32" t="s">
        <v>832</v>
      </c>
      <c r="B352" s="30" t="s">
        <v>833</v>
      </c>
      <c r="C352" s="30" t="s">
        <v>132</v>
      </c>
      <c r="D352" s="31">
        <v>261.97000000000003</v>
      </c>
      <c r="E352" s="31">
        <v>-4</v>
      </c>
      <c r="F352" s="33" t="s">
        <v>117</v>
      </c>
    </row>
    <row r="353" spans="1:6" ht="10.9" customHeight="1">
      <c r="A353" s="32" t="s">
        <v>834</v>
      </c>
      <c r="B353" s="30" t="s">
        <v>835</v>
      </c>
      <c r="C353" s="30" t="s">
        <v>128</v>
      </c>
      <c r="D353" s="31">
        <v>602.94000000000005</v>
      </c>
      <c r="E353" s="31">
        <v>37</v>
      </c>
      <c r="F353" s="33" t="s">
        <v>121</v>
      </c>
    </row>
    <row r="354" spans="1:6" ht="10.9" customHeight="1">
      <c r="A354" s="32" t="s">
        <v>836</v>
      </c>
      <c r="B354" s="30" t="s">
        <v>837</v>
      </c>
      <c r="C354" s="30" t="s">
        <v>128</v>
      </c>
      <c r="D354" s="31">
        <v>816.26</v>
      </c>
      <c r="E354" s="31">
        <v>8</v>
      </c>
      <c r="F354" s="33" t="s">
        <v>125</v>
      </c>
    </row>
    <row r="355" spans="1:6" ht="10.9" customHeight="1">
      <c r="A355" s="32" t="s">
        <v>838</v>
      </c>
      <c r="B355" s="30" t="s">
        <v>839</v>
      </c>
      <c r="C355" s="30" t="s">
        <v>145</v>
      </c>
      <c r="D355" s="31">
        <v>211.36</v>
      </c>
      <c r="E355" s="31">
        <v>42</v>
      </c>
      <c r="F355" s="33" t="s">
        <v>129</v>
      </c>
    </row>
    <row r="356" spans="1:6" ht="10.9" customHeight="1">
      <c r="A356" s="32" t="s">
        <v>840</v>
      </c>
      <c r="B356" s="30" t="s">
        <v>841</v>
      </c>
      <c r="C356" s="30" t="s">
        <v>128</v>
      </c>
      <c r="D356" s="31">
        <v>429.86</v>
      </c>
      <c r="E356" s="31">
        <v>58</v>
      </c>
      <c r="F356" s="33" t="s">
        <v>133</v>
      </c>
    </row>
    <row r="357" spans="1:6" ht="10.9" customHeight="1">
      <c r="A357" s="32" t="s">
        <v>842</v>
      </c>
      <c r="B357" s="30" t="s">
        <v>843</v>
      </c>
      <c r="C357" s="30" t="s">
        <v>132</v>
      </c>
      <c r="D357" s="31">
        <v>891.65</v>
      </c>
      <c r="E357" s="31">
        <v>9</v>
      </c>
      <c r="F357" s="33" t="s">
        <v>136</v>
      </c>
    </row>
    <row r="358" spans="1:6" ht="10.9" customHeight="1">
      <c r="A358" s="32" t="s">
        <v>844</v>
      </c>
      <c r="B358" s="30" t="s">
        <v>845</v>
      </c>
      <c r="C358" s="30" t="s">
        <v>128</v>
      </c>
      <c r="D358" s="31">
        <v>683.23</v>
      </c>
      <c r="E358" s="31">
        <v>47</v>
      </c>
      <c r="F358" s="33" t="s">
        <v>139</v>
      </c>
    </row>
    <row r="359" spans="1:6" ht="10.9" customHeight="1">
      <c r="A359" s="32" t="s">
        <v>846</v>
      </c>
      <c r="B359" s="30" t="s">
        <v>847</v>
      </c>
      <c r="C359" s="30" t="s">
        <v>132</v>
      </c>
      <c r="D359" s="31">
        <v>365.1</v>
      </c>
      <c r="E359" s="31">
        <v>80</v>
      </c>
      <c r="F359" s="34" t="s">
        <v>142</v>
      </c>
    </row>
    <row r="360" spans="1:6" ht="10.9" customHeight="1">
      <c r="A360" s="32" t="s">
        <v>848</v>
      </c>
      <c r="B360" s="30" t="s">
        <v>849</v>
      </c>
      <c r="C360" s="30" t="s">
        <v>128</v>
      </c>
      <c r="D360" s="31">
        <v>608.1</v>
      </c>
      <c r="E360" s="31">
        <v>-2</v>
      </c>
      <c r="F360" s="33" t="s">
        <v>146</v>
      </c>
    </row>
    <row r="361" spans="1:6" ht="10.9" customHeight="1">
      <c r="A361" s="32" t="s">
        <v>850</v>
      </c>
      <c r="B361" s="30" t="s">
        <v>851</v>
      </c>
      <c r="C361" s="30" t="s">
        <v>128</v>
      </c>
      <c r="D361" s="31">
        <v>495.37</v>
      </c>
      <c r="E361" s="31">
        <v>35</v>
      </c>
      <c r="F361" s="33" t="s">
        <v>149</v>
      </c>
    </row>
    <row r="362" spans="1:6" ht="10.9" customHeight="1">
      <c r="A362" s="32" t="s">
        <v>852</v>
      </c>
      <c r="B362" s="30" t="s">
        <v>853</v>
      </c>
      <c r="C362" s="30" t="s">
        <v>120</v>
      </c>
      <c r="D362" s="31">
        <v>999.62</v>
      </c>
      <c r="E362" s="31">
        <v>82</v>
      </c>
      <c r="F362" s="33" t="s">
        <v>117</v>
      </c>
    </row>
    <row r="363" spans="1:6" ht="10.9" customHeight="1">
      <c r="A363" s="32" t="s">
        <v>854</v>
      </c>
      <c r="B363" s="30" t="s">
        <v>855</v>
      </c>
      <c r="C363" s="30" t="s">
        <v>132</v>
      </c>
      <c r="D363" s="31">
        <v>810.19</v>
      </c>
      <c r="E363" s="31">
        <v>25</v>
      </c>
      <c r="F363" s="33" t="s">
        <v>121</v>
      </c>
    </row>
    <row r="364" spans="1:6" ht="10.9" customHeight="1">
      <c r="A364" s="32" t="s">
        <v>856</v>
      </c>
      <c r="B364" s="30" t="s">
        <v>857</v>
      </c>
      <c r="C364" s="30" t="s">
        <v>187</v>
      </c>
      <c r="D364" s="31">
        <v>688.72</v>
      </c>
      <c r="E364" s="31">
        <v>45</v>
      </c>
      <c r="F364" s="33" t="s">
        <v>125</v>
      </c>
    </row>
    <row r="365" spans="1:6" ht="10.9" customHeight="1">
      <c r="A365" s="32" t="s">
        <v>858</v>
      </c>
      <c r="B365" s="30" t="s">
        <v>859</v>
      </c>
      <c r="C365" s="30" t="s">
        <v>128</v>
      </c>
      <c r="D365" s="31">
        <v>804.4</v>
      </c>
      <c r="E365" s="31">
        <v>88</v>
      </c>
      <c r="F365" s="33" t="s">
        <v>129</v>
      </c>
    </row>
    <row r="366" spans="1:6" ht="10.9" customHeight="1">
      <c r="A366" s="32" t="s">
        <v>860</v>
      </c>
      <c r="B366" s="30" t="s">
        <v>861</v>
      </c>
      <c r="C366" s="30" t="s">
        <v>120</v>
      </c>
      <c r="D366" s="31">
        <v>501.69</v>
      </c>
      <c r="E366" s="31">
        <v>70</v>
      </c>
      <c r="F366" s="33" t="s">
        <v>133</v>
      </c>
    </row>
    <row r="367" spans="1:6" ht="10.9" customHeight="1">
      <c r="A367" s="32" t="s">
        <v>862</v>
      </c>
      <c r="B367" s="30" t="s">
        <v>863</v>
      </c>
      <c r="C367" s="30" t="s">
        <v>120</v>
      </c>
      <c r="D367" s="31">
        <v>863.92</v>
      </c>
      <c r="E367" s="31">
        <v>17</v>
      </c>
      <c r="F367" s="33" t="s">
        <v>136</v>
      </c>
    </row>
    <row r="368" spans="1:6" ht="10.9" customHeight="1">
      <c r="A368" s="32" t="s">
        <v>864</v>
      </c>
      <c r="B368" s="30" t="s">
        <v>865</v>
      </c>
      <c r="C368" s="30" t="s">
        <v>145</v>
      </c>
      <c r="D368" s="31">
        <v>653.04</v>
      </c>
      <c r="E368" s="31">
        <v>43</v>
      </c>
      <c r="F368" s="33" t="s">
        <v>139</v>
      </c>
    </row>
    <row r="369" spans="1:6" ht="10.9" customHeight="1">
      <c r="A369" s="32" t="s">
        <v>866</v>
      </c>
      <c r="B369" s="30" t="s">
        <v>867</v>
      </c>
      <c r="C369" s="30" t="s">
        <v>120</v>
      </c>
      <c r="D369" s="31">
        <v>287.69</v>
      </c>
      <c r="E369" s="31">
        <v>8</v>
      </c>
      <c r="F369" s="34" t="s">
        <v>142</v>
      </c>
    </row>
    <row r="370" spans="1:6" ht="10.9" customHeight="1">
      <c r="A370" s="32" t="s">
        <v>868</v>
      </c>
      <c r="B370" s="30" t="s">
        <v>869</v>
      </c>
      <c r="C370" s="30" t="s">
        <v>120</v>
      </c>
      <c r="D370" s="31">
        <v>175.63</v>
      </c>
      <c r="E370" s="31">
        <v>3</v>
      </c>
      <c r="F370" s="33" t="s">
        <v>146</v>
      </c>
    </row>
    <row r="371" spans="1:6" ht="10.9" customHeight="1">
      <c r="A371" s="32" t="s">
        <v>870</v>
      </c>
      <c r="B371" s="30" t="s">
        <v>871</v>
      </c>
      <c r="C371" s="30" t="s">
        <v>120</v>
      </c>
      <c r="D371" s="31">
        <v>650.97</v>
      </c>
      <c r="E371" s="31">
        <v>34</v>
      </c>
      <c r="F371" s="33" t="s">
        <v>149</v>
      </c>
    </row>
    <row r="372" spans="1:6" ht="10.9" customHeight="1">
      <c r="A372" s="32" t="s">
        <v>872</v>
      </c>
      <c r="B372" s="30" t="s">
        <v>873</v>
      </c>
      <c r="C372" s="30" t="s">
        <v>120</v>
      </c>
      <c r="D372" s="31">
        <v>778.01</v>
      </c>
      <c r="E372" s="31">
        <v>75</v>
      </c>
      <c r="F372" s="33" t="s">
        <v>117</v>
      </c>
    </row>
    <row r="373" spans="1:6" ht="10.9" customHeight="1">
      <c r="A373" s="32" t="s">
        <v>874</v>
      </c>
      <c r="B373" s="30" t="s">
        <v>875</v>
      </c>
      <c r="C373" s="30" t="s">
        <v>128</v>
      </c>
      <c r="D373" s="31">
        <v>358.25</v>
      </c>
      <c r="E373" s="31">
        <v>61</v>
      </c>
      <c r="F373" s="33" t="s">
        <v>121</v>
      </c>
    </row>
    <row r="374" spans="1:6" ht="10.9" customHeight="1">
      <c r="A374" s="32" t="s">
        <v>876</v>
      </c>
      <c r="B374" s="30" t="s">
        <v>877</v>
      </c>
      <c r="C374" s="30" t="s">
        <v>128</v>
      </c>
      <c r="D374" s="31">
        <v>323</v>
      </c>
      <c r="E374" s="31">
        <v>-8</v>
      </c>
      <c r="F374" s="33" t="s">
        <v>125</v>
      </c>
    </row>
    <row r="375" spans="1:6" ht="10.9" customHeight="1">
      <c r="A375" s="32" t="s">
        <v>878</v>
      </c>
      <c r="B375" s="30" t="s">
        <v>879</v>
      </c>
      <c r="C375" s="30" t="s">
        <v>145</v>
      </c>
      <c r="D375" s="31">
        <v>384.14</v>
      </c>
      <c r="E375" s="31">
        <v>15</v>
      </c>
      <c r="F375" s="33" t="s">
        <v>129</v>
      </c>
    </row>
    <row r="376" spans="1:6" ht="10.9" customHeight="1">
      <c r="A376" s="32" t="s">
        <v>880</v>
      </c>
      <c r="B376" s="30" t="s">
        <v>881</v>
      </c>
      <c r="C376" s="30" t="s">
        <v>145</v>
      </c>
      <c r="D376" s="31">
        <v>952.49</v>
      </c>
      <c r="E376" s="31">
        <v>89</v>
      </c>
      <c r="F376" s="33" t="s">
        <v>133</v>
      </c>
    </row>
    <row r="377" spans="1:6" ht="10.9" customHeight="1">
      <c r="A377" s="32" t="s">
        <v>882</v>
      </c>
      <c r="B377" s="30" t="s">
        <v>883</v>
      </c>
      <c r="C377" s="30" t="s">
        <v>145</v>
      </c>
      <c r="D377" s="31">
        <v>628.48</v>
      </c>
      <c r="E377" s="31">
        <v>27</v>
      </c>
      <c r="F377" s="33" t="s">
        <v>136</v>
      </c>
    </row>
    <row r="378" spans="1:6" ht="10.9" customHeight="1">
      <c r="A378" s="32" t="s">
        <v>884</v>
      </c>
      <c r="B378" s="30" t="s">
        <v>885</v>
      </c>
      <c r="C378" s="30" t="s">
        <v>187</v>
      </c>
      <c r="D378" s="31">
        <v>827.56</v>
      </c>
      <c r="E378" s="31">
        <v>92</v>
      </c>
      <c r="F378" s="33" t="s">
        <v>139</v>
      </c>
    </row>
    <row r="379" spans="1:6" ht="10.9" customHeight="1">
      <c r="A379" s="32" t="s">
        <v>886</v>
      </c>
      <c r="B379" s="30" t="s">
        <v>887</v>
      </c>
      <c r="C379" s="30" t="s">
        <v>128</v>
      </c>
      <c r="D379" s="31">
        <v>695.98</v>
      </c>
      <c r="E379" s="31">
        <v>57</v>
      </c>
      <c r="F379" s="34" t="s">
        <v>142</v>
      </c>
    </row>
    <row r="380" spans="1:6" ht="10.9" customHeight="1">
      <c r="A380" s="32" t="s">
        <v>888</v>
      </c>
      <c r="B380" s="30" t="s">
        <v>889</v>
      </c>
      <c r="C380" s="30" t="s">
        <v>132</v>
      </c>
      <c r="D380" s="31">
        <v>902.33</v>
      </c>
      <c r="E380" s="31">
        <v>46</v>
      </c>
      <c r="F380" s="33" t="s">
        <v>146</v>
      </c>
    </row>
    <row r="381" spans="1:6" ht="10.9" customHeight="1">
      <c r="A381" s="32" t="s">
        <v>890</v>
      </c>
      <c r="B381" s="30" t="s">
        <v>891</v>
      </c>
      <c r="C381" s="30" t="s">
        <v>128</v>
      </c>
      <c r="D381" s="31">
        <v>420.41</v>
      </c>
      <c r="E381" s="31">
        <v>58</v>
      </c>
      <c r="F381" s="33" t="s">
        <v>149</v>
      </c>
    </row>
    <row r="382" spans="1:6" ht="10.9" customHeight="1">
      <c r="A382" s="32" t="s">
        <v>892</v>
      </c>
      <c r="B382" s="30" t="s">
        <v>893</v>
      </c>
      <c r="C382" s="30" t="s">
        <v>128</v>
      </c>
      <c r="D382" s="31">
        <v>798.08</v>
      </c>
      <c r="E382" s="31">
        <v>97</v>
      </c>
      <c r="F382" s="33" t="s">
        <v>117</v>
      </c>
    </row>
    <row r="383" spans="1:6" ht="10.9" customHeight="1">
      <c r="A383" s="32" t="s">
        <v>894</v>
      </c>
      <c r="B383" s="30" t="s">
        <v>895</v>
      </c>
      <c r="C383" s="30" t="s">
        <v>132</v>
      </c>
      <c r="D383" s="31">
        <v>468.78</v>
      </c>
      <c r="E383" s="31">
        <v>-5</v>
      </c>
      <c r="F383" s="33" t="s">
        <v>121</v>
      </c>
    </row>
    <row r="384" spans="1:6" ht="10.9" customHeight="1">
      <c r="A384" s="32" t="s">
        <v>896</v>
      </c>
      <c r="B384" s="30" t="s">
        <v>897</v>
      </c>
      <c r="C384" s="30" t="s">
        <v>132</v>
      </c>
      <c r="D384" s="31">
        <v>846.18</v>
      </c>
      <c r="E384" s="31">
        <v>37</v>
      </c>
      <c r="F384" s="33" t="s">
        <v>125</v>
      </c>
    </row>
    <row r="385" spans="1:6" ht="10.9" customHeight="1">
      <c r="A385" s="32" t="s">
        <v>898</v>
      </c>
      <c r="B385" s="30" t="s">
        <v>899</v>
      </c>
      <c r="C385" s="30" t="s">
        <v>187</v>
      </c>
      <c r="D385" s="31">
        <v>668.87</v>
      </c>
      <c r="E385" s="31">
        <v>82</v>
      </c>
      <c r="F385" s="33" t="s">
        <v>129</v>
      </c>
    </row>
    <row r="386" spans="1:6" ht="10.9" customHeight="1">
      <c r="A386" s="32" t="s">
        <v>900</v>
      </c>
      <c r="B386" s="30" t="s">
        <v>901</v>
      </c>
      <c r="C386" s="30" t="s">
        <v>128</v>
      </c>
      <c r="D386" s="31">
        <v>285.81</v>
      </c>
      <c r="E386" s="31">
        <v>1</v>
      </c>
      <c r="F386" s="33" t="s">
        <v>133</v>
      </c>
    </row>
    <row r="387" spans="1:6" ht="10.9" customHeight="1">
      <c r="A387" s="32" t="s">
        <v>902</v>
      </c>
      <c r="B387" s="30" t="s">
        <v>903</v>
      </c>
      <c r="C387" s="30" t="s">
        <v>120</v>
      </c>
      <c r="D387" s="31">
        <v>901.5</v>
      </c>
      <c r="E387" s="31">
        <v>62</v>
      </c>
      <c r="F387" s="33" t="s">
        <v>136</v>
      </c>
    </row>
    <row r="388" spans="1:6" ht="10.9" customHeight="1">
      <c r="A388" s="32" t="s">
        <v>904</v>
      </c>
      <c r="B388" s="30" t="s">
        <v>905</v>
      </c>
      <c r="C388" s="30" t="s">
        <v>120</v>
      </c>
      <c r="D388" s="31">
        <v>228.39</v>
      </c>
      <c r="E388" s="31">
        <v>-7</v>
      </c>
      <c r="F388" s="33" t="s">
        <v>139</v>
      </c>
    </row>
    <row r="389" spans="1:6" ht="10.9" customHeight="1">
      <c r="A389" s="32" t="s">
        <v>906</v>
      </c>
      <c r="B389" s="30" t="s">
        <v>907</v>
      </c>
      <c r="C389" s="30" t="s">
        <v>128</v>
      </c>
      <c r="D389" s="31">
        <v>905.74</v>
      </c>
      <c r="E389" s="31">
        <v>59</v>
      </c>
      <c r="F389" s="34" t="s">
        <v>142</v>
      </c>
    </row>
    <row r="390" spans="1:6" ht="10.9" customHeight="1">
      <c r="A390" s="32" t="s">
        <v>908</v>
      </c>
      <c r="B390" s="30" t="s">
        <v>909</v>
      </c>
      <c r="C390" s="30" t="s">
        <v>132</v>
      </c>
      <c r="D390" s="31">
        <v>821.84</v>
      </c>
      <c r="E390" s="31">
        <v>74</v>
      </c>
      <c r="F390" s="33" t="s">
        <v>146</v>
      </c>
    </row>
    <row r="391" spans="1:6" ht="10.9" customHeight="1">
      <c r="A391" s="32" t="s">
        <v>910</v>
      </c>
      <c r="B391" s="30" t="s">
        <v>911</v>
      </c>
      <c r="C391" s="30" t="s">
        <v>145</v>
      </c>
      <c r="D391" s="31">
        <v>99.42</v>
      </c>
      <c r="E391" s="31">
        <v>92</v>
      </c>
      <c r="F391" s="33" t="s">
        <v>149</v>
      </c>
    </row>
    <row r="392" spans="1:6" ht="10.9" customHeight="1">
      <c r="A392" s="32" t="s">
        <v>912</v>
      </c>
      <c r="B392" s="30" t="s">
        <v>913</v>
      </c>
      <c r="C392" s="30" t="s">
        <v>120</v>
      </c>
      <c r="D392" s="31">
        <v>888.88</v>
      </c>
      <c r="E392" s="31">
        <v>1</v>
      </c>
      <c r="F392" s="33" t="s">
        <v>117</v>
      </c>
    </row>
    <row r="393" spans="1:6" ht="10.9" customHeight="1">
      <c r="A393" s="32" t="s">
        <v>914</v>
      </c>
      <c r="B393" s="30" t="s">
        <v>915</v>
      </c>
      <c r="C393" s="30" t="s">
        <v>145</v>
      </c>
      <c r="D393" s="31">
        <v>513.07000000000005</v>
      </c>
      <c r="E393" s="31">
        <v>64</v>
      </c>
      <c r="F393" s="33" t="s">
        <v>121</v>
      </c>
    </row>
    <row r="394" spans="1:6" ht="10.9" customHeight="1">
      <c r="A394" s="32" t="s">
        <v>916</v>
      </c>
      <c r="B394" s="30" t="s">
        <v>917</v>
      </c>
      <c r="C394" s="30" t="s">
        <v>145</v>
      </c>
      <c r="D394" s="31">
        <v>145.58000000000001</v>
      </c>
      <c r="E394" s="31">
        <v>-4</v>
      </c>
      <c r="F394" s="33" t="s">
        <v>125</v>
      </c>
    </row>
    <row r="395" spans="1:6" ht="10.9" customHeight="1">
      <c r="A395" s="32" t="s">
        <v>918</v>
      </c>
      <c r="B395" s="30" t="s">
        <v>919</v>
      </c>
      <c r="C395" s="30" t="s">
        <v>120</v>
      </c>
      <c r="D395" s="31">
        <v>958.08</v>
      </c>
      <c r="E395" s="31">
        <v>13</v>
      </c>
      <c r="F395" s="33" t="s">
        <v>129</v>
      </c>
    </row>
    <row r="396" spans="1:6" ht="10.9" customHeight="1">
      <c r="A396" s="32" t="s">
        <v>920</v>
      </c>
      <c r="B396" s="30" t="s">
        <v>921</v>
      </c>
      <c r="C396" s="30" t="s">
        <v>187</v>
      </c>
      <c r="D396" s="31">
        <v>357.59</v>
      </c>
      <c r="E396" s="31">
        <v>21</v>
      </c>
      <c r="F396" s="33" t="s">
        <v>133</v>
      </c>
    </row>
    <row r="397" spans="1:6" ht="10.9" customHeight="1">
      <c r="A397" s="32" t="s">
        <v>922</v>
      </c>
      <c r="B397" s="30" t="s">
        <v>923</v>
      </c>
      <c r="C397" s="30" t="s">
        <v>187</v>
      </c>
      <c r="D397" s="31">
        <v>371.86</v>
      </c>
      <c r="E397" s="31">
        <v>54</v>
      </c>
      <c r="F397" s="33" t="s">
        <v>136</v>
      </c>
    </row>
    <row r="398" spans="1:6" ht="10.9" customHeight="1">
      <c r="A398" s="32" t="s">
        <v>924</v>
      </c>
      <c r="B398" s="30" t="s">
        <v>925</v>
      </c>
      <c r="C398" s="30" t="s">
        <v>120</v>
      </c>
      <c r="D398" s="31">
        <v>466.12</v>
      </c>
      <c r="E398" s="31">
        <v>37</v>
      </c>
      <c r="F398" s="33" t="s">
        <v>139</v>
      </c>
    </row>
    <row r="399" spans="1:6" ht="10.9" customHeight="1">
      <c r="A399" s="32" t="s">
        <v>926</v>
      </c>
      <c r="B399" s="30" t="s">
        <v>927</v>
      </c>
      <c r="C399" s="30" t="s">
        <v>120</v>
      </c>
      <c r="D399" s="31">
        <v>822.82</v>
      </c>
      <c r="E399" s="31">
        <v>84</v>
      </c>
      <c r="F399" s="34" t="s">
        <v>142</v>
      </c>
    </row>
    <row r="400" spans="1:6" ht="10.9" customHeight="1">
      <c r="A400" s="32" t="s">
        <v>928</v>
      </c>
      <c r="B400" s="30" t="s">
        <v>929</v>
      </c>
      <c r="C400" s="30" t="s">
        <v>132</v>
      </c>
      <c r="D400" s="31">
        <v>759.65</v>
      </c>
      <c r="E400" s="31">
        <v>75</v>
      </c>
      <c r="F400" s="33" t="s">
        <v>146</v>
      </c>
    </row>
    <row r="401" spans="1:6" ht="10.9" customHeight="1">
      <c r="A401" s="32" t="s">
        <v>930</v>
      </c>
      <c r="B401" s="30" t="s">
        <v>931</v>
      </c>
      <c r="C401" s="30" t="s">
        <v>128</v>
      </c>
      <c r="D401" s="31">
        <v>715.03</v>
      </c>
      <c r="E401" s="31">
        <v>-6</v>
      </c>
      <c r="F401" s="33" t="s">
        <v>149</v>
      </c>
    </row>
    <row r="402" spans="1:6" ht="10.9" customHeight="1">
      <c r="A402" s="32" t="s">
        <v>932</v>
      </c>
      <c r="B402" s="30" t="s">
        <v>933</v>
      </c>
      <c r="C402" s="30" t="s">
        <v>187</v>
      </c>
      <c r="D402" s="31">
        <v>960.29</v>
      </c>
      <c r="E402" s="31">
        <v>23</v>
      </c>
      <c r="F402" s="33" t="s">
        <v>117</v>
      </c>
    </row>
    <row r="403" spans="1:6" ht="10.9" customHeight="1">
      <c r="A403" s="32" t="s">
        <v>934</v>
      </c>
      <c r="B403" s="30" t="s">
        <v>935</v>
      </c>
      <c r="C403" s="30" t="s">
        <v>187</v>
      </c>
      <c r="D403" s="31">
        <v>499.52</v>
      </c>
      <c r="E403" s="31">
        <v>48</v>
      </c>
      <c r="F403" s="33" t="s">
        <v>121</v>
      </c>
    </row>
    <row r="404" spans="1:6" ht="10.9" customHeight="1">
      <c r="A404" s="32" t="s">
        <v>936</v>
      </c>
      <c r="B404" s="30" t="s">
        <v>937</v>
      </c>
      <c r="C404" s="30" t="s">
        <v>187</v>
      </c>
      <c r="D404" s="31">
        <v>931.21</v>
      </c>
      <c r="E404" s="31">
        <v>2</v>
      </c>
      <c r="F404" s="33" t="s">
        <v>125</v>
      </c>
    </row>
    <row r="405" spans="1:6" ht="10.9" customHeight="1">
      <c r="A405" s="32" t="s">
        <v>938</v>
      </c>
      <c r="B405" s="30" t="s">
        <v>939</v>
      </c>
      <c r="C405" s="30" t="s">
        <v>120</v>
      </c>
      <c r="D405" s="31">
        <v>931.88</v>
      </c>
      <c r="E405" s="31">
        <v>53</v>
      </c>
      <c r="F405" s="33" t="s">
        <v>129</v>
      </c>
    </row>
    <row r="406" spans="1:6" ht="10.9" customHeight="1">
      <c r="A406" s="32" t="s">
        <v>940</v>
      </c>
      <c r="B406" s="30" t="s">
        <v>941</v>
      </c>
      <c r="C406" s="30" t="s">
        <v>145</v>
      </c>
      <c r="D406" s="31">
        <v>895.39</v>
      </c>
      <c r="E406" s="31">
        <v>78</v>
      </c>
      <c r="F406" s="33" t="s">
        <v>133</v>
      </c>
    </row>
    <row r="407" spans="1:6" ht="10.9" customHeight="1">
      <c r="A407" s="32" t="s">
        <v>942</v>
      </c>
      <c r="B407" s="30" t="s">
        <v>943</v>
      </c>
      <c r="C407" s="30" t="s">
        <v>132</v>
      </c>
      <c r="D407" s="31">
        <v>736.04</v>
      </c>
      <c r="E407" s="31">
        <v>-9</v>
      </c>
      <c r="F407" s="33" t="s">
        <v>136</v>
      </c>
    </row>
    <row r="408" spans="1:6" ht="10.9" customHeight="1">
      <c r="A408" s="32" t="s">
        <v>944</v>
      </c>
      <c r="B408" s="30" t="s">
        <v>945</v>
      </c>
      <c r="C408" s="30" t="s">
        <v>120</v>
      </c>
      <c r="D408" s="31">
        <v>315.91000000000003</v>
      </c>
      <c r="E408" s="31">
        <v>63</v>
      </c>
      <c r="F408" s="33" t="s">
        <v>139</v>
      </c>
    </row>
    <row r="409" spans="1:6" ht="10.9" customHeight="1">
      <c r="A409" s="32" t="s">
        <v>946</v>
      </c>
      <c r="B409" s="30" t="s">
        <v>947</v>
      </c>
      <c r="C409" s="30" t="s">
        <v>187</v>
      </c>
      <c r="D409" s="31">
        <v>390.05</v>
      </c>
      <c r="E409" s="31">
        <v>70</v>
      </c>
      <c r="F409" s="34" t="s">
        <v>142</v>
      </c>
    </row>
    <row r="410" spans="1:6" ht="10.9" customHeight="1">
      <c r="A410" s="32" t="s">
        <v>948</v>
      </c>
      <c r="B410" s="30" t="s">
        <v>949</v>
      </c>
      <c r="C410" s="30" t="s">
        <v>132</v>
      </c>
      <c r="D410" s="31">
        <v>86.41</v>
      </c>
      <c r="E410" s="31">
        <v>64</v>
      </c>
      <c r="F410" s="33" t="s">
        <v>146</v>
      </c>
    </row>
    <row r="411" spans="1:6" ht="10.9" customHeight="1">
      <c r="A411" s="32" t="s">
        <v>950</v>
      </c>
      <c r="B411" s="30" t="s">
        <v>951</v>
      </c>
      <c r="C411" s="30" t="s">
        <v>145</v>
      </c>
      <c r="D411" s="31">
        <v>297.97000000000003</v>
      </c>
      <c r="E411" s="31">
        <v>41</v>
      </c>
      <c r="F411" s="33" t="s">
        <v>149</v>
      </c>
    </row>
    <row r="412" spans="1:6" ht="10.9" customHeight="1">
      <c r="A412" s="32" t="s">
        <v>952</v>
      </c>
      <c r="B412" s="30" t="s">
        <v>953</v>
      </c>
      <c r="C412" s="30" t="s">
        <v>145</v>
      </c>
      <c r="D412" s="31">
        <v>982.28</v>
      </c>
      <c r="E412" s="31">
        <v>14</v>
      </c>
      <c r="F412" s="33" t="s">
        <v>117</v>
      </c>
    </row>
    <row r="413" spans="1:6" ht="10.9" customHeight="1">
      <c r="A413" s="32" t="s">
        <v>954</v>
      </c>
      <c r="B413" s="30" t="s">
        <v>955</v>
      </c>
      <c r="C413" s="30" t="s">
        <v>132</v>
      </c>
      <c r="D413" s="31">
        <v>229.63</v>
      </c>
      <c r="E413" s="31">
        <v>-7</v>
      </c>
      <c r="F413" s="33" t="s">
        <v>121</v>
      </c>
    </row>
    <row r="414" spans="1:6" ht="10.9" customHeight="1">
      <c r="A414" s="32" t="s">
        <v>956</v>
      </c>
      <c r="B414" s="30" t="s">
        <v>957</v>
      </c>
      <c r="C414" s="30" t="s">
        <v>145</v>
      </c>
      <c r="D414" s="31">
        <v>324.85000000000002</v>
      </c>
      <c r="E414" s="31">
        <v>8</v>
      </c>
      <c r="F414" s="33" t="s">
        <v>125</v>
      </c>
    </row>
    <row r="415" spans="1:6" ht="10.9" customHeight="1">
      <c r="A415" s="32" t="s">
        <v>958</v>
      </c>
      <c r="B415" s="30" t="s">
        <v>959</v>
      </c>
      <c r="C415" s="30" t="s">
        <v>132</v>
      </c>
      <c r="D415" s="31">
        <v>380.52</v>
      </c>
      <c r="E415" s="31">
        <v>49</v>
      </c>
      <c r="F415" s="33" t="s">
        <v>129</v>
      </c>
    </row>
    <row r="416" spans="1:6" ht="10.9" customHeight="1">
      <c r="A416" s="32" t="s">
        <v>960</v>
      </c>
      <c r="B416" s="30" t="s">
        <v>961</v>
      </c>
      <c r="C416" s="30" t="s">
        <v>120</v>
      </c>
      <c r="D416" s="31">
        <v>877.99</v>
      </c>
      <c r="E416" s="31">
        <v>30</v>
      </c>
      <c r="F416" s="33" t="s">
        <v>133</v>
      </c>
    </row>
    <row r="417" spans="1:6" ht="10.9" customHeight="1">
      <c r="A417" s="32" t="s">
        <v>962</v>
      </c>
      <c r="B417" s="30" t="s">
        <v>963</v>
      </c>
      <c r="C417" s="30" t="s">
        <v>187</v>
      </c>
      <c r="D417" s="31">
        <v>938.45</v>
      </c>
      <c r="E417" s="31">
        <v>53</v>
      </c>
      <c r="F417" s="33" t="s">
        <v>136</v>
      </c>
    </row>
    <row r="418" spans="1:6" ht="10.9" customHeight="1">
      <c r="A418" s="32" t="s">
        <v>964</v>
      </c>
      <c r="B418" s="30" t="s">
        <v>965</v>
      </c>
      <c r="C418" s="30" t="s">
        <v>128</v>
      </c>
      <c r="D418" s="31">
        <v>713.93</v>
      </c>
      <c r="E418" s="31">
        <v>47</v>
      </c>
      <c r="F418" s="33" t="s">
        <v>139</v>
      </c>
    </row>
    <row r="419" spans="1:6" ht="10.9" customHeight="1">
      <c r="A419" s="32" t="s">
        <v>966</v>
      </c>
      <c r="B419" s="30" t="s">
        <v>967</v>
      </c>
      <c r="C419" s="30" t="s">
        <v>128</v>
      </c>
      <c r="D419" s="31">
        <v>352.05</v>
      </c>
      <c r="E419" s="31">
        <v>79</v>
      </c>
      <c r="F419" s="34" t="s">
        <v>142</v>
      </c>
    </row>
    <row r="420" spans="1:6" ht="10.9" customHeight="1">
      <c r="A420" s="32" t="s">
        <v>968</v>
      </c>
      <c r="B420" s="30" t="s">
        <v>969</v>
      </c>
      <c r="C420" s="30" t="s">
        <v>187</v>
      </c>
      <c r="D420" s="31">
        <v>471.7</v>
      </c>
      <c r="E420" s="31">
        <v>61</v>
      </c>
      <c r="F420" s="33" t="s">
        <v>146</v>
      </c>
    </row>
    <row r="421" spans="1:6" ht="10.9" customHeight="1">
      <c r="A421" s="32" t="s">
        <v>970</v>
      </c>
      <c r="B421" s="30" t="s">
        <v>971</v>
      </c>
      <c r="C421" s="30" t="s">
        <v>145</v>
      </c>
      <c r="D421" s="31">
        <v>384.83</v>
      </c>
      <c r="E421" s="31">
        <v>39</v>
      </c>
      <c r="F421" s="33" t="s">
        <v>149</v>
      </c>
    </row>
    <row r="422" spans="1:6" ht="10.9" customHeight="1">
      <c r="A422" s="32" t="s">
        <v>972</v>
      </c>
      <c r="B422" s="30" t="s">
        <v>973</v>
      </c>
      <c r="C422" s="30" t="s">
        <v>128</v>
      </c>
      <c r="D422" s="31">
        <v>925.55</v>
      </c>
      <c r="E422" s="31">
        <v>78</v>
      </c>
      <c r="F422" s="33" t="s">
        <v>117</v>
      </c>
    </row>
    <row r="423" spans="1:6" ht="10.9" customHeight="1">
      <c r="A423" s="32" t="s">
        <v>974</v>
      </c>
      <c r="B423" s="30" t="s">
        <v>975</v>
      </c>
      <c r="C423" s="30" t="s">
        <v>145</v>
      </c>
      <c r="D423" s="31">
        <v>524.37</v>
      </c>
      <c r="E423" s="31">
        <v>-3</v>
      </c>
      <c r="F423" s="33" t="s">
        <v>121</v>
      </c>
    </row>
    <row r="424" spans="1:6" ht="10.9" customHeight="1">
      <c r="A424" s="32" t="s">
        <v>976</v>
      </c>
      <c r="B424" s="30" t="s">
        <v>977</v>
      </c>
      <c r="C424" s="30" t="s">
        <v>132</v>
      </c>
      <c r="D424" s="31">
        <v>915.99</v>
      </c>
      <c r="E424" s="31">
        <v>39</v>
      </c>
      <c r="F424" s="33" t="s">
        <v>125</v>
      </c>
    </row>
    <row r="425" spans="1:6" ht="10.9" customHeight="1">
      <c r="A425" s="32" t="s">
        <v>978</v>
      </c>
      <c r="B425" s="30" t="s">
        <v>979</v>
      </c>
      <c r="C425" s="30" t="s">
        <v>187</v>
      </c>
      <c r="D425" s="31">
        <v>88.13</v>
      </c>
      <c r="E425" s="31">
        <v>84</v>
      </c>
      <c r="F425" s="33" t="s">
        <v>129</v>
      </c>
    </row>
    <row r="426" spans="1:6" ht="10.9" customHeight="1">
      <c r="A426" s="32" t="s">
        <v>980</v>
      </c>
      <c r="B426" s="30" t="s">
        <v>981</v>
      </c>
      <c r="C426" s="30" t="s">
        <v>128</v>
      </c>
      <c r="D426" s="31">
        <v>586.4</v>
      </c>
      <c r="E426" s="31">
        <v>37</v>
      </c>
      <c r="F426" s="33" t="s">
        <v>133</v>
      </c>
    </row>
    <row r="427" spans="1:6" ht="10.9" customHeight="1">
      <c r="A427" s="32" t="s">
        <v>982</v>
      </c>
      <c r="B427" s="30" t="s">
        <v>983</v>
      </c>
      <c r="C427" s="30" t="s">
        <v>120</v>
      </c>
      <c r="D427" s="31">
        <v>403.36</v>
      </c>
      <c r="E427" s="31">
        <v>4</v>
      </c>
      <c r="F427" s="33" t="s">
        <v>136</v>
      </c>
    </row>
    <row r="428" spans="1:6" ht="10.9" customHeight="1">
      <c r="A428" s="32" t="s">
        <v>984</v>
      </c>
      <c r="B428" s="30" t="s">
        <v>985</v>
      </c>
      <c r="C428" s="30" t="s">
        <v>132</v>
      </c>
      <c r="D428" s="31">
        <v>931.83</v>
      </c>
      <c r="E428" s="31">
        <v>82</v>
      </c>
      <c r="F428" s="33" t="s">
        <v>139</v>
      </c>
    </row>
    <row r="429" spans="1:6" ht="10.9" customHeight="1">
      <c r="A429" s="32" t="s">
        <v>986</v>
      </c>
      <c r="B429" s="30" t="s">
        <v>987</v>
      </c>
      <c r="C429" s="30" t="s">
        <v>120</v>
      </c>
      <c r="D429" s="31">
        <v>786.65</v>
      </c>
      <c r="E429" s="31">
        <v>51</v>
      </c>
      <c r="F429" s="34" t="s">
        <v>142</v>
      </c>
    </row>
    <row r="430" spans="1:6" ht="10.9" customHeight="1">
      <c r="A430" s="32" t="s">
        <v>988</v>
      </c>
      <c r="B430" s="30" t="s">
        <v>989</v>
      </c>
      <c r="C430" s="30" t="s">
        <v>132</v>
      </c>
      <c r="D430" s="31">
        <v>104.1</v>
      </c>
      <c r="E430" s="31">
        <v>26</v>
      </c>
      <c r="F430" s="33" t="s">
        <v>146</v>
      </c>
    </row>
    <row r="431" spans="1:6" ht="10.9" customHeight="1">
      <c r="A431" s="32" t="s">
        <v>990</v>
      </c>
      <c r="B431" s="30" t="s">
        <v>991</v>
      </c>
      <c r="C431" s="30" t="s">
        <v>132</v>
      </c>
      <c r="D431" s="31">
        <v>792.62</v>
      </c>
      <c r="E431" s="31">
        <v>-1</v>
      </c>
      <c r="F431" s="33" t="s">
        <v>149</v>
      </c>
    </row>
    <row r="432" spans="1:6" ht="10.9" customHeight="1">
      <c r="A432" s="32" t="s">
        <v>992</v>
      </c>
      <c r="B432" s="30" t="s">
        <v>993</v>
      </c>
      <c r="C432" s="30" t="s">
        <v>132</v>
      </c>
      <c r="D432" s="31">
        <v>772.48</v>
      </c>
      <c r="E432" s="31">
        <v>78</v>
      </c>
      <c r="F432" s="33" t="s">
        <v>117</v>
      </c>
    </row>
    <row r="433" spans="1:6" ht="10.9" customHeight="1">
      <c r="A433" s="32" t="s">
        <v>994</v>
      </c>
      <c r="B433" s="30" t="s">
        <v>995</v>
      </c>
      <c r="C433" s="30" t="s">
        <v>187</v>
      </c>
      <c r="D433" s="31">
        <v>251.37</v>
      </c>
      <c r="E433" s="31">
        <v>73</v>
      </c>
      <c r="F433" s="33" t="s">
        <v>121</v>
      </c>
    </row>
    <row r="434" spans="1:6" ht="10.9" customHeight="1">
      <c r="A434" s="32" t="s">
        <v>996</v>
      </c>
      <c r="B434" s="30" t="s">
        <v>997</v>
      </c>
      <c r="C434" s="30" t="s">
        <v>145</v>
      </c>
      <c r="D434" s="31">
        <v>697.04</v>
      </c>
      <c r="E434" s="31">
        <v>77</v>
      </c>
      <c r="F434" s="33" t="s">
        <v>125</v>
      </c>
    </row>
    <row r="435" spans="1:6" ht="10.9" customHeight="1">
      <c r="A435" s="32" t="s">
        <v>998</v>
      </c>
      <c r="B435" s="30" t="s">
        <v>999</v>
      </c>
      <c r="C435" s="30" t="s">
        <v>187</v>
      </c>
      <c r="D435" s="31">
        <v>954.59</v>
      </c>
      <c r="E435" s="31">
        <v>52</v>
      </c>
      <c r="F435" s="33" t="s">
        <v>129</v>
      </c>
    </row>
    <row r="436" spans="1:6" ht="10.9" customHeight="1">
      <c r="A436" s="32" t="s">
        <v>1000</v>
      </c>
      <c r="B436" s="30" t="s">
        <v>1001</v>
      </c>
      <c r="C436" s="30" t="s">
        <v>128</v>
      </c>
      <c r="D436" s="31">
        <v>763.67</v>
      </c>
      <c r="E436" s="31">
        <v>52</v>
      </c>
      <c r="F436" s="33" t="s">
        <v>133</v>
      </c>
    </row>
    <row r="437" spans="1:6" ht="10.9" customHeight="1">
      <c r="A437" s="32" t="s">
        <v>1002</v>
      </c>
      <c r="B437" s="30" t="s">
        <v>1003</v>
      </c>
      <c r="C437" s="30" t="s">
        <v>187</v>
      </c>
      <c r="D437" s="31">
        <v>260.13</v>
      </c>
      <c r="E437" s="31">
        <v>27</v>
      </c>
      <c r="F437" s="33" t="s">
        <v>136</v>
      </c>
    </row>
    <row r="438" spans="1:6" ht="10.9" customHeight="1">
      <c r="A438" s="32" t="s">
        <v>1004</v>
      </c>
      <c r="B438" s="30" t="s">
        <v>1005</v>
      </c>
      <c r="C438" s="30" t="s">
        <v>145</v>
      </c>
      <c r="D438" s="31">
        <v>167.31</v>
      </c>
      <c r="E438" s="31">
        <v>-1</v>
      </c>
      <c r="F438" s="33" t="s">
        <v>139</v>
      </c>
    </row>
    <row r="439" spans="1:6" ht="10.9" customHeight="1">
      <c r="A439" s="32" t="s">
        <v>1006</v>
      </c>
      <c r="B439" s="30" t="s">
        <v>1007</v>
      </c>
      <c r="C439" s="30" t="s">
        <v>128</v>
      </c>
      <c r="D439" s="31">
        <v>476.71</v>
      </c>
      <c r="E439" s="31">
        <v>16</v>
      </c>
      <c r="F439" s="34" t="s">
        <v>142</v>
      </c>
    </row>
    <row r="440" spans="1:6" ht="10.9" customHeight="1">
      <c r="A440" s="32" t="s">
        <v>1008</v>
      </c>
      <c r="B440" s="30" t="s">
        <v>1009</v>
      </c>
      <c r="C440" s="30" t="s">
        <v>187</v>
      </c>
      <c r="D440" s="31">
        <v>821.49</v>
      </c>
      <c r="E440" s="31">
        <v>2</v>
      </c>
      <c r="F440" s="33" t="s">
        <v>146</v>
      </c>
    </row>
    <row r="441" spans="1:6" ht="10.9" customHeight="1">
      <c r="A441" s="32" t="s">
        <v>1010</v>
      </c>
      <c r="B441" s="30" t="s">
        <v>1011</v>
      </c>
      <c r="C441" s="30" t="s">
        <v>132</v>
      </c>
      <c r="D441" s="31">
        <v>355.44</v>
      </c>
      <c r="E441" s="31">
        <v>37</v>
      </c>
      <c r="F441" s="33" t="s">
        <v>149</v>
      </c>
    </row>
    <row r="442" spans="1:6" ht="10.9" customHeight="1">
      <c r="A442" s="32" t="s">
        <v>1012</v>
      </c>
      <c r="B442" s="30" t="s">
        <v>1013</v>
      </c>
      <c r="C442" s="30" t="s">
        <v>145</v>
      </c>
      <c r="D442" s="31">
        <v>484.2</v>
      </c>
      <c r="E442" s="31">
        <v>96</v>
      </c>
      <c r="F442" s="33" t="s">
        <v>117</v>
      </c>
    </row>
    <row r="443" spans="1:6" ht="10.9" customHeight="1">
      <c r="A443" s="32" t="s">
        <v>1014</v>
      </c>
      <c r="B443" s="30" t="s">
        <v>1015</v>
      </c>
      <c r="C443" s="30" t="s">
        <v>132</v>
      </c>
      <c r="D443" s="31">
        <v>909.45</v>
      </c>
      <c r="E443" s="31">
        <v>0</v>
      </c>
      <c r="F443" s="33" t="s">
        <v>121</v>
      </c>
    </row>
    <row r="444" spans="1:6" ht="10.9" customHeight="1">
      <c r="A444" s="32" t="s">
        <v>1016</v>
      </c>
      <c r="B444" s="30" t="s">
        <v>1017</v>
      </c>
      <c r="C444" s="30" t="s">
        <v>187</v>
      </c>
      <c r="D444" s="31">
        <v>219.38</v>
      </c>
      <c r="E444" s="31">
        <v>96</v>
      </c>
      <c r="F444" s="33" t="s">
        <v>125</v>
      </c>
    </row>
    <row r="445" spans="1:6" ht="10.9" customHeight="1">
      <c r="A445" s="32" t="s">
        <v>1018</v>
      </c>
      <c r="B445" s="30" t="s">
        <v>1019</v>
      </c>
      <c r="C445" s="30" t="s">
        <v>132</v>
      </c>
      <c r="D445" s="31">
        <v>498.82</v>
      </c>
      <c r="E445" s="31">
        <v>51</v>
      </c>
      <c r="F445" s="33" t="s">
        <v>129</v>
      </c>
    </row>
    <row r="446" spans="1:6" ht="10.9" customHeight="1">
      <c r="A446" s="32" t="s">
        <v>1020</v>
      </c>
      <c r="B446" s="30" t="s">
        <v>1021</v>
      </c>
      <c r="C446" s="30" t="s">
        <v>132</v>
      </c>
      <c r="D446" s="31">
        <v>266.77999999999997</v>
      </c>
      <c r="E446" s="31">
        <v>72</v>
      </c>
      <c r="F446" s="33" t="s">
        <v>133</v>
      </c>
    </row>
    <row r="447" spans="1:6" ht="10.9" customHeight="1">
      <c r="A447" s="32" t="s">
        <v>1022</v>
      </c>
      <c r="B447" s="30" t="s">
        <v>1023</v>
      </c>
      <c r="C447" s="30" t="s">
        <v>145</v>
      </c>
      <c r="D447" s="31">
        <v>171.68</v>
      </c>
      <c r="E447" s="31">
        <v>67</v>
      </c>
      <c r="F447" s="33" t="s">
        <v>136</v>
      </c>
    </row>
    <row r="448" spans="1:6" ht="10.9" customHeight="1">
      <c r="A448" s="32" t="s">
        <v>1024</v>
      </c>
      <c r="B448" s="30" t="s">
        <v>1025</v>
      </c>
      <c r="C448" s="30" t="s">
        <v>128</v>
      </c>
      <c r="D448" s="31">
        <v>328.08</v>
      </c>
      <c r="E448" s="31">
        <v>67</v>
      </c>
      <c r="F448" s="33" t="s">
        <v>139</v>
      </c>
    </row>
    <row r="449" spans="1:6" ht="10.9" customHeight="1">
      <c r="A449" s="32" t="s">
        <v>1026</v>
      </c>
      <c r="B449" s="30" t="s">
        <v>1027</v>
      </c>
      <c r="C449" s="30" t="s">
        <v>187</v>
      </c>
      <c r="D449" s="31">
        <v>733.66</v>
      </c>
      <c r="E449" s="31">
        <v>30</v>
      </c>
      <c r="F449" s="34" t="s">
        <v>142</v>
      </c>
    </row>
    <row r="450" spans="1:6" ht="10.9" customHeight="1">
      <c r="A450" s="32" t="s">
        <v>1028</v>
      </c>
      <c r="B450" s="30" t="s">
        <v>1029</v>
      </c>
      <c r="C450" s="30" t="s">
        <v>132</v>
      </c>
      <c r="D450" s="31">
        <v>958.9</v>
      </c>
      <c r="E450" s="31">
        <v>65</v>
      </c>
      <c r="F450" s="33" t="s">
        <v>146</v>
      </c>
    </row>
    <row r="451" spans="1:6" ht="10.9" customHeight="1">
      <c r="A451" s="32" t="s">
        <v>1030</v>
      </c>
      <c r="B451" s="30" t="s">
        <v>1031</v>
      </c>
      <c r="C451" s="30" t="s">
        <v>145</v>
      </c>
      <c r="D451" s="31">
        <v>644.04</v>
      </c>
      <c r="E451" s="31">
        <v>51</v>
      </c>
      <c r="F451" s="33" t="s">
        <v>149</v>
      </c>
    </row>
    <row r="452" spans="1:6" ht="10.9" customHeight="1">
      <c r="A452" s="32" t="s">
        <v>1032</v>
      </c>
      <c r="B452" s="30" t="s">
        <v>1033</v>
      </c>
      <c r="C452" s="30" t="s">
        <v>120</v>
      </c>
      <c r="D452" s="31">
        <v>752.65</v>
      </c>
      <c r="E452" s="31">
        <v>79</v>
      </c>
      <c r="F452" s="33" t="s">
        <v>117</v>
      </c>
    </row>
    <row r="453" spans="1:6" ht="10.9" customHeight="1">
      <c r="A453" s="32" t="s">
        <v>1034</v>
      </c>
      <c r="B453" s="30" t="s">
        <v>1035</v>
      </c>
      <c r="C453" s="30" t="s">
        <v>120</v>
      </c>
      <c r="D453" s="31">
        <v>661.07</v>
      </c>
      <c r="E453" s="31">
        <v>32</v>
      </c>
      <c r="F453" s="33" t="s">
        <v>121</v>
      </c>
    </row>
    <row r="454" spans="1:6" ht="10.9" customHeight="1">
      <c r="A454" s="32" t="s">
        <v>1036</v>
      </c>
      <c r="B454" s="30" t="s">
        <v>1037</v>
      </c>
      <c r="C454" s="30" t="s">
        <v>187</v>
      </c>
      <c r="D454" s="31">
        <v>122.17</v>
      </c>
      <c r="E454" s="31">
        <v>-10</v>
      </c>
      <c r="F454" s="33" t="s">
        <v>125</v>
      </c>
    </row>
    <row r="455" spans="1:6" ht="10.9" customHeight="1">
      <c r="A455" s="32" t="s">
        <v>1038</v>
      </c>
      <c r="B455" s="30" t="s">
        <v>1039</v>
      </c>
      <c r="C455" s="30" t="s">
        <v>128</v>
      </c>
      <c r="D455" s="31">
        <v>788.1</v>
      </c>
      <c r="E455" s="31">
        <v>87</v>
      </c>
      <c r="F455" s="33" t="s">
        <v>129</v>
      </c>
    </row>
    <row r="456" spans="1:6" ht="10.9" customHeight="1">
      <c r="A456" s="32" t="s">
        <v>1040</v>
      </c>
      <c r="B456" s="30" t="s">
        <v>1041</v>
      </c>
      <c r="C456" s="30" t="s">
        <v>120</v>
      </c>
      <c r="D456" s="31">
        <v>525.85</v>
      </c>
      <c r="E456" s="31">
        <v>88</v>
      </c>
      <c r="F456" s="33" t="s">
        <v>133</v>
      </c>
    </row>
    <row r="457" spans="1:6" ht="10.9" customHeight="1">
      <c r="A457" s="32" t="s">
        <v>1042</v>
      </c>
      <c r="B457" s="30" t="s">
        <v>1043</v>
      </c>
      <c r="C457" s="30" t="s">
        <v>120</v>
      </c>
      <c r="D457" s="31">
        <v>880.15</v>
      </c>
      <c r="E457" s="31">
        <v>3</v>
      </c>
      <c r="F457" s="33" t="s">
        <v>136</v>
      </c>
    </row>
    <row r="458" spans="1:6" ht="10.9" customHeight="1">
      <c r="A458" s="32" t="s">
        <v>1044</v>
      </c>
      <c r="B458" s="30" t="s">
        <v>1045</v>
      </c>
      <c r="C458" s="30" t="s">
        <v>120</v>
      </c>
      <c r="D458" s="31">
        <v>797.5</v>
      </c>
      <c r="E458" s="31">
        <v>55</v>
      </c>
      <c r="F458" s="33" t="s">
        <v>139</v>
      </c>
    </row>
    <row r="459" spans="1:6" ht="10.9" customHeight="1">
      <c r="A459" s="32" t="s">
        <v>1046</v>
      </c>
      <c r="B459" s="30" t="s">
        <v>1047</v>
      </c>
      <c r="C459" s="30" t="s">
        <v>145</v>
      </c>
      <c r="D459" s="31">
        <v>714.46</v>
      </c>
      <c r="E459" s="31">
        <v>60</v>
      </c>
      <c r="F459" s="34" t="s">
        <v>142</v>
      </c>
    </row>
    <row r="460" spans="1:6" ht="10.9" customHeight="1">
      <c r="A460" s="32" t="s">
        <v>1048</v>
      </c>
      <c r="B460" s="30" t="s">
        <v>1049</v>
      </c>
      <c r="C460" s="30" t="s">
        <v>128</v>
      </c>
      <c r="D460" s="31">
        <v>246.84</v>
      </c>
      <c r="E460" s="31">
        <v>62</v>
      </c>
      <c r="F460" s="33" t="s">
        <v>146</v>
      </c>
    </row>
    <row r="461" spans="1:6" ht="10.9" customHeight="1">
      <c r="A461" s="32" t="s">
        <v>1050</v>
      </c>
      <c r="B461" s="30" t="s">
        <v>1051</v>
      </c>
      <c r="C461" s="30" t="s">
        <v>187</v>
      </c>
      <c r="D461" s="31">
        <v>747.89</v>
      </c>
      <c r="E461" s="31">
        <v>73</v>
      </c>
      <c r="F461" s="33" t="s">
        <v>149</v>
      </c>
    </row>
    <row r="462" spans="1:6" ht="10.9" customHeight="1">
      <c r="A462" s="32" t="s">
        <v>1052</v>
      </c>
      <c r="B462" s="30" t="s">
        <v>1053</v>
      </c>
      <c r="C462" s="30" t="s">
        <v>120</v>
      </c>
      <c r="D462" s="31">
        <v>412.17</v>
      </c>
      <c r="E462" s="31">
        <v>49</v>
      </c>
      <c r="F462" s="33" t="s">
        <v>117</v>
      </c>
    </row>
    <row r="463" spans="1:6" ht="10.9" customHeight="1">
      <c r="A463" s="32" t="s">
        <v>1054</v>
      </c>
      <c r="B463" s="30" t="s">
        <v>1055</v>
      </c>
      <c r="C463" s="30" t="s">
        <v>132</v>
      </c>
      <c r="D463" s="31">
        <v>208.83</v>
      </c>
      <c r="E463" s="31">
        <v>37</v>
      </c>
      <c r="F463" s="33" t="s">
        <v>121</v>
      </c>
    </row>
    <row r="464" spans="1:6" ht="10.9" customHeight="1">
      <c r="A464" s="32" t="s">
        <v>1056</v>
      </c>
      <c r="B464" s="30" t="s">
        <v>1057</v>
      </c>
      <c r="C464" s="30" t="s">
        <v>120</v>
      </c>
      <c r="D464" s="31">
        <v>945.09</v>
      </c>
      <c r="E464" s="31">
        <v>31</v>
      </c>
      <c r="F464" s="33" t="s">
        <v>125</v>
      </c>
    </row>
    <row r="465" spans="1:6" ht="10.9" customHeight="1">
      <c r="A465" s="32" t="s">
        <v>1058</v>
      </c>
      <c r="B465" s="30" t="s">
        <v>1059</v>
      </c>
      <c r="C465" s="30" t="s">
        <v>132</v>
      </c>
      <c r="D465" s="31">
        <v>697.99</v>
      </c>
      <c r="E465" s="31">
        <v>52</v>
      </c>
      <c r="F465" s="33" t="s">
        <v>129</v>
      </c>
    </row>
    <row r="466" spans="1:6" ht="10.9" customHeight="1">
      <c r="A466" s="32" t="s">
        <v>1060</v>
      </c>
      <c r="B466" s="30" t="s">
        <v>1061</v>
      </c>
      <c r="C466" s="30" t="s">
        <v>128</v>
      </c>
      <c r="D466" s="31">
        <v>438.87</v>
      </c>
      <c r="E466" s="31">
        <v>98</v>
      </c>
      <c r="F466" s="33" t="s">
        <v>133</v>
      </c>
    </row>
    <row r="467" spans="1:6" ht="10.9" customHeight="1">
      <c r="A467" s="32" t="s">
        <v>1062</v>
      </c>
      <c r="B467" s="30" t="s">
        <v>1063</v>
      </c>
      <c r="C467" s="30" t="s">
        <v>120</v>
      </c>
      <c r="D467" s="31">
        <v>933.13</v>
      </c>
      <c r="E467" s="31">
        <v>-9</v>
      </c>
      <c r="F467" s="33" t="s">
        <v>136</v>
      </c>
    </row>
    <row r="468" spans="1:6" ht="10.9" customHeight="1">
      <c r="A468" s="32" t="s">
        <v>1064</v>
      </c>
      <c r="B468" s="30" t="s">
        <v>1065</v>
      </c>
      <c r="C468" s="30" t="s">
        <v>187</v>
      </c>
      <c r="D468" s="31">
        <v>212.2</v>
      </c>
      <c r="E468" s="31">
        <v>26</v>
      </c>
      <c r="F468" s="33" t="s">
        <v>139</v>
      </c>
    </row>
    <row r="469" spans="1:6" ht="10.9" customHeight="1">
      <c r="A469" s="32" t="s">
        <v>1066</v>
      </c>
      <c r="B469" s="30" t="s">
        <v>1067</v>
      </c>
      <c r="C469" s="30" t="s">
        <v>145</v>
      </c>
      <c r="D469" s="31">
        <v>775.72</v>
      </c>
      <c r="E469" s="31">
        <v>89</v>
      </c>
      <c r="F469" s="34" t="s">
        <v>142</v>
      </c>
    </row>
    <row r="470" spans="1:6" ht="10.9" customHeight="1">
      <c r="A470" s="32" t="s">
        <v>1068</v>
      </c>
      <c r="B470" s="30" t="s">
        <v>1069</v>
      </c>
      <c r="C470" s="30" t="s">
        <v>145</v>
      </c>
      <c r="D470" s="31">
        <v>548.39</v>
      </c>
      <c r="E470" s="31">
        <v>46</v>
      </c>
      <c r="F470" s="33" t="s">
        <v>146</v>
      </c>
    </row>
    <row r="471" spans="1:6" ht="10.9" customHeight="1">
      <c r="A471" s="32" t="s">
        <v>1070</v>
      </c>
      <c r="B471" s="30" t="s">
        <v>1071</v>
      </c>
      <c r="C471" s="30" t="s">
        <v>187</v>
      </c>
      <c r="D471" s="31">
        <v>715.81</v>
      </c>
      <c r="E471" s="31">
        <v>28</v>
      </c>
      <c r="F471" s="33" t="s">
        <v>149</v>
      </c>
    </row>
    <row r="472" spans="1:6" ht="10.9" customHeight="1">
      <c r="A472" s="32" t="s">
        <v>1072</v>
      </c>
      <c r="B472" s="30" t="s">
        <v>1073</v>
      </c>
      <c r="C472" s="30" t="s">
        <v>120</v>
      </c>
      <c r="D472" s="31">
        <v>910.29</v>
      </c>
      <c r="E472" s="31">
        <v>72</v>
      </c>
      <c r="F472" s="33" t="s">
        <v>117</v>
      </c>
    </row>
    <row r="473" spans="1:6" ht="10.9" customHeight="1">
      <c r="A473" s="32" t="s">
        <v>1074</v>
      </c>
      <c r="B473" s="30" t="s">
        <v>1075</v>
      </c>
      <c r="C473" s="30" t="s">
        <v>128</v>
      </c>
      <c r="D473" s="31">
        <v>916.16</v>
      </c>
      <c r="E473" s="31">
        <v>31</v>
      </c>
      <c r="F473" s="33" t="s">
        <v>121</v>
      </c>
    </row>
    <row r="474" spans="1:6" ht="10.9" customHeight="1">
      <c r="A474" s="32" t="s">
        <v>1076</v>
      </c>
      <c r="B474" s="30" t="s">
        <v>1077</v>
      </c>
      <c r="C474" s="30" t="s">
        <v>132</v>
      </c>
      <c r="D474" s="31">
        <v>390.05</v>
      </c>
      <c r="E474" s="31">
        <v>7</v>
      </c>
      <c r="F474" s="33" t="s">
        <v>125</v>
      </c>
    </row>
    <row r="475" spans="1:6" ht="10.9" customHeight="1">
      <c r="A475" s="32" t="s">
        <v>1078</v>
      </c>
      <c r="B475" s="30" t="s">
        <v>1079</v>
      </c>
      <c r="C475" s="30" t="s">
        <v>128</v>
      </c>
      <c r="D475" s="31">
        <v>972.19</v>
      </c>
      <c r="E475" s="31">
        <v>57</v>
      </c>
      <c r="F475" s="33" t="s">
        <v>129</v>
      </c>
    </row>
    <row r="476" spans="1:6" ht="10.9" customHeight="1">
      <c r="A476" s="32" t="s">
        <v>1080</v>
      </c>
      <c r="B476" s="30" t="s">
        <v>1081</v>
      </c>
      <c r="C476" s="30" t="s">
        <v>187</v>
      </c>
      <c r="D476" s="31">
        <v>469.35</v>
      </c>
      <c r="E476" s="31">
        <v>11</v>
      </c>
      <c r="F476" s="33" t="s">
        <v>133</v>
      </c>
    </row>
    <row r="477" spans="1:6" ht="10.9" customHeight="1">
      <c r="A477" s="32" t="s">
        <v>1082</v>
      </c>
      <c r="B477" s="30" t="s">
        <v>1083</v>
      </c>
      <c r="C477" s="30" t="s">
        <v>128</v>
      </c>
      <c r="D477" s="31">
        <v>954.63</v>
      </c>
      <c r="E477" s="31">
        <v>-7</v>
      </c>
      <c r="F477" s="33" t="s">
        <v>136</v>
      </c>
    </row>
    <row r="478" spans="1:6" ht="10.9" customHeight="1">
      <c r="A478" s="32" t="s">
        <v>1084</v>
      </c>
      <c r="B478" s="30" t="s">
        <v>1085</v>
      </c>
      <c r="C478" s="30" t="s">
        <v>120</v>
      </c>
      <c r="D478" s="31">
        <v>555.6</v>
      </c>
      <c r="E478" s="31">
        <v>-8</v>
      </c>
      <c r="F478" s="33" t="s">
        <v>139</v>
      </c>
    </row>
    <row r="479" spans="1:6" ht="10.9" customHeight="1">
      <c r="A479" s="32" t="s">
        <v>1086</v>
      </c>
      <c r="B479" s="30" t="s">
        <v>1087</v>
      </c>
      <c r="C479" s="30" t="s">
        <v>132</v>
      </c>
      <c r="D479" s="31">
        <v>223.33</v>
      </c>
      <c r="E479" s="31">
        <v>19</v>
      </c>
      <c r="F479" s="34" t="s">
        <v>142</v>
      </c>
    </row>
    <row r="480" spans="1:6" ht="10.9" customHeight="1">
      <c r="A480" s="32" t="s">
        <v>1088</v>
      </c>
      <c r="B480" s="30" t="s">
        <v>1089</v>
      </c>
      <c r="C480" s="30" t="s">
        <v>120</v>
      </c>
      <c r="D480" s="31">
        <v>228.16</v>
      </c>
      <c r="E480" s="31">
        <v>82</v>
      </c>
      <c r="F480" s="33" t="s">
        <v>146</v>
      </c>
    </row>
    <row r="481" spans="1:6" ht="10.9" customHeight="1">
      <c r="A481" s="32" t="s">
        <v>1090</v>
      </c>
      <c r="B481" s="30" t="s">
        <v>1091</v>
      </c>
      <c r="C481" s="30" t="s">
        <v>187</v>
      </c>
      <c r="D481" s="31">
        <v>624.48</v>
      </c>
      <c r="E481" s="31">
        <v>20</v>
      </c>
      <c r="F481" s="33" t="s">
        <v>149</v>
      </c>
    </row>
    <row r="482" spans="1:6" ht="10.9" customHeight="1">
      <c r="A482" s="32" t="s">
        <v>1092</v>
      </c>
      <c r="B482" s="30" t="s">
        <v>1093</v>
      </c>
      <c r="C482" s="30" t="s">
        <v>128</v>
      </c>
      <c r="D482" s="31">
        <v>849.96</v>
      </c>
      <c r="E482" s="31">
        <v>88</v>
      </c>
      <c r="F482" s="33" t="s">
        <v>117</v>
      </c>
    </row>
    <row r="483" spans="1:6" ht="10.9" customHeight="1">
      <c r="A483" s="32" t="s">
        <v>1094</v>
      </c>
      <c r="B483" s="30" t="s">
        <v>1095</v>
      </c>
      <c r="C483" s="30" t="s">
        <v>132</v>
      </c>
      <c r="D483" s="31">
        <v>835.6</v>
      </c>
      <c r="E483" s="31">
        <v>41</v>
      </c>
      <c r="F483" s="33" t="s">
        <v>121</v>
      </c>
    </row>
    <row r="484" spans="1:6" ht="10.9" customHeight="1">
      <c r="A484" s="32" t="s">
        <v>1096</v>
      </c>
      <c r="B484" s="30" t="s">
        <v>1097</v>
      </c>
      <c r="C484" s="30" t="s">
        <v>128</v>
      </c>
      <c r="D484" s="31">
        <v>262.29000000000002</v>
      </c>
      <c r="E484" s="31">
        <v>47</v>
      </c>
      <c r="F484" s="33" t="s">
        <v>125</v>
      </c>
    </row>
    <row r="485" spans="1:6" ht="10.9" customHeight="1">
      <c r="A485" s="32" t="s">
        <v>1098</v>
      </c>
      <c r="B485" s="30" t="s">
        <v>1099</v>
      </c>
      <c r="C485" s="30" t="s">
        <v>187</v>
      </c>
      <c r="D485" s="31">
        <v>515.14</v>
      </c>
      <c r="E485" s="31">
        <v>-8</v>
      </c>
      <c r="F485" s="33" t="s">
        <v>129</v>
      </c>
    </row>
    <row r="486" spans="1:6" ht="10.9" customHeight="1">
      <c r="A486" s="32" t="s">
        <v>1100</v>
      </c>
      <c r="B486" s="30" t="s">
        <v>1101</v>
      </c>
      <c r="C486" s="30" t="s">
        <v>132</v>
      </c>
      <c r="D486" s="31">
        <v>869.96</v>
      </c>
      <c r="E486" s="31">
        <v>15</v>
      </c>
      <c r="F486" s="33" t="s">
        <v>133</v>
      </c>
    </row>
    <row r="487" spans="1:6" ht="10.9" customHeight="1">
      <c r="A487" s="32" t="s">
        <v>1102</v>
      </c>
      <c r="B487" s="30" t="s">
        <v>1103</v>
      </c>
      <c r="C487" s="30" t="s">
        <v>128</v>
      </c>
      <c r="D487" s="31">
        <v>522.66999999999996</v>
      </c>
      <c r="E487" s="31">
        <v>76</v>
      </c>
      <c r="F487" s="33" t="s">
        <v>136</v>
      </c>
    </row>
    <row r="488" spans="1:6" ht="10.9" customHeight="1">
      <c r="A488" s="32" t="s">
        <v>1104</v>
      </c>
      <c r="B488" s="30" t="s">
        <v>1105</v>
      </c>
      <c r="C488" s="30" t="s">
        <v>187</v>
      </c>
      <c r="D488" s="31">
        <v>357.51</v>
      </c>
      <c r="E488" s="31">
        <v>96</v>
      </c>
      <c r="F488" s="33" t="s">
        <v>139</v>
      </c>
    </row>
    <row r="489" spans="1:6" ht="10.9" customHeight="1">
      <c r="A489" s="32" t="s">
        <v>1106</v>
      </c>
      <c r="B489" s="30" t="s">
        <v>1107</v>
      </c>
      <c r="C489" s="30" t="s">
        <v>128</v>
      </c>
      <c r="D489" s="31">
        <v>316.04000000000002</v>
      </c>
      <c r="E489" s="31">
        <v>68</v>
      </c>
      <c r="F489" s="34" t="s">
        <v>142</v>
      </c>
    </row>
    <row r="490" spans="1:6" ht="10.9" customHeight="1">
      <c r="A490" s="32" t="s">
        <v>1108</v>
      </c>
      <c r="B490" s="30" t="s">
        <v>1109</v>
      </c>
      <c r="C490" s="30" t="s">
        <v>120</v>
      </c>
      <c r="D490" s="31">
        <v>637.07000000000005</v>
      </c>
      <c r="E490" s="31">
        <v>-8</v>
      </c>
      <c r="F490" s="33" t="s">
        <v>146</v>
      </c>
    </row>
    <row r="491" spans="1:6" ht="10.9" customHeight="1">
      <c r="A491" s="32" t="s">
        <v>1110</v>
      </c>
      <c r="B491" s="30" t="s">
        <v>1111</v>
      </c>
      <c r="C491" s="30" t="s">
        <v>145</v>
      </c>
      <c r="D491" s="31">
        <v>767.59</v>
      </c>
      <c r="E491" s="31">
        <v>4</v>
      </c>
      <c r="F491" s="33" t="s">
        <v>149</v>
      </c>
    </row>
    <row r="492" spans="1:6" ht="10.9" customHeight="1">
      <c r="A492" s="32" t="s">
        <v>1112</v>
      </c>
      <c r="B492" s="30" t="s">
        <v>1113</v>
      </c>
      <c r="C492" s="30" t="s">
        <v>132</v>
      </c>
      <c r="D492" s="31">
        <v>105.85</v>
      </c>
      <c r="E492" s="31">
        <v>22</v>
      </c>
      <c r="F492" s="33" t="s">
        <v>117</v>
      </c>
    </row>
    <row r="493" spans="1:6" ht="10.9" customHeight="1">
      <c r="A493" s="32" t="s">
        <v>1114</v>
      </c>
      <c r="B493" s="30" t="s">
        <v>1115</v>
      </c>
      <c r="C493" s="30" t="s">
        <v>187</v>
      </c>
      <c r="D493" s="31">
        <v>101.25</v>
      </c>
      <c r="E493" s="31">
        <v>0</v>
      </c>
      <c r="F493" s="33" t="s">
        <v>121</v>
      </c>
    </row>
    <row r="494" spans="1:6" ht="10.9" customHeight="1">
      <c r="A494" s="32" t="s">
        <v>1116</v>
      </c>
      <c r="B494" s="30" t="s">
        <v>1117</v>
      </c>
      <c r="C494" s="30" t="s">
        <v>128</v>
      </c>
      <c r="D494" s="31">
        <v>711.14</v>
      </c>
      <c r="E494" s="31">
        <v>16</v>
      </c>
      <c r="F494" s="33" t="s">
        <v>125</v>
      </c>
    </row>
    <row r="495" spans="1:6" ht="10.9" customHeight="1">
      <c r="A495" s="32" t="s">
        <v>1118</v>
      </c>
      <c r="B495" s="30" t="s">
        <v>1119</v>
      </c>
      <c r="C495" s="30" t="s">
        <v>187</v>
      </c>
      <c r="D495" s="31">
        <v>260.72000000000003</v>
      </c>
      <c r="E495" s="31">
        <v>-4</v>
      </c>
      <c r="F495" s="33" t="s">
        <v>129</v>
      </c>
    </row>
    <row r="496" spans="1:6" ht="10.9" customHeight="1">
      <c r="A496" s="32" t="s">
        <v>1120</v>
      </c>
      <c r="B496" s="30" t="s">
        <v>1121</v>
      </c>
      <c r="C496" s="30" t="s">
        <v>120</v>
      </c>
      <c r="D496" s="31">
        <v>732.11</v>
      </c>
      <c r="E496" s="31">
        <v>49</v>
      </c>
      <c r="F496" s="33" t="s">
        <v>133</v>
      </c>
    </row>
    <row r="497" spans="1:6" ht="10.9" customHeight="1">
      <c r="A497" s="32" t="s">
        <v>1122</v>
      </c>
      <c r="B497" s="30" t="s">
        <v>1123</v>
      </c>
      <c r="C497" s="30" t="s">
        <v>120</v>
      </c>
      <c r="D497" s="31">
        <v>408.03</v>
      </c>
      <c r="E497" s="31">
        <v>78</v>
      </c>
      <c r="F497" s="33" t="s">
        <v>136</v>
      </c>
    </row>
    <row r="498" spans="1:6" ht="10.9" customHeight="1">
      <c r="A498" s="32" t="s">
        <v>1124</v>
      </c>
      <c r="B498" s="30" t="s">
        <v>1125</v>
      </c>
      <c r="C498" s="30" t="s">
        <v>187</v>
      </c>
      <c r="D498" s="31">
        <v>273.8</v>
      </c>
      <c r="E498" s="31">
        <v>51</v>
      </c>
      <c r="F498" s="33" t="s">
        <v>139</v>
      </c>
    </row>
    <row r="499" spans="1:6" ht="10.9" customHeight="1">
      <c r="A499" s="32" t="s">
        <v>1126</v>
      </c>
      <c r="B499" s="30" t="s">
        <v>1127</v>
      </c>
      <c r="C499" s="30" t="s">
        <v>187</v>
      </c>
      <c r="D499" s="31">
        <v>424.2</v>
      </c>
      <c r="E499" s="31">
        <v>18</v>
      </c>
      <c r="F499" s="34" t="s">
        <v>142</v>
      </c>
    </row>
    <row r="500" spans="1:6" ht="10.9" customHeight="1">
      <c r="A500" s="32" t="s">
        <v>1128</v>
      </c>
      <c r="B500" s="30" t="s">
        <v>1129</v>
      </c>
      <c r="C500" s="30" t="s">
        <v>128</v>
      </c>
      <c r="D500" s="31">
        <v>468.88</v>
      </c>
      <c r="E500" s="31">
        <v>83</v>
      </c>
      <c r="F500" s="33" t="s">
        <v>146</v>
      </c>
    </row>
    <row r="501" spans="1:6" ht="10.9" customHeight="1">
      <c r="A501" s="38" t="s">
        <v>1130</v>
      </c>
      <c r="B501" s="39" t="s">
        <v>1131</v>
      </c>
      <c r="C501" s="39" t="s">
        <v>187</v>
      </c>
      <c r="D501" s="40">
        <v>975.37</v>
      </c>
      <c r="E501" s="40">
        <v>38</v>
      </c>
      <c r="F501" s="41" t="s">
        <v>149</v>
      </c>
    </row>
    <row r="502" spans="1:6" ht="10.9" customHeight="1">
      <c r="D502" s="7"/>
      <c r="E502" s="7"/>
    </row>
    <row r="503" spans="1:6" ht="10.9" customHeight="1">
      <c r="D503" s="7"/>
      <c r="E503" s="7"/>
    </row>
    <row r="504" spans="1:6" ht="10.9" customHeight="1">
      <c r="D504" s="7"/>
      <c r="E504" s="7"/>
    </row>
    <row r="505" spans="1:6" ht="10.9" customHeight="1">
      <c r="D505" s="7"/>
      <c r="E505" s="7"/>
    </row>
    <row r="506" spans="1:6" ht="10.9" customHeight="1">
      <c r="D506" s="7"/>
      <c r="E506" s="7"/>
    </row>
    <row r="507" spans="1:6" ht="10.9" customHeight="1">
      <c r="D507" s="7"/>
      <c r="E507" s="7"/>
    </row>
    <row r="508" spans="1:6" ht="10.9" customHeight="1">
      <c r="D508" s="7"/>
      <c r="E508" s="7"/>
    </row>
    <row r="509" spans="1:6" ht="10.9" customHeight="1">
      <c r="D509" s="7"/>
      <c r="E509" s="7"/>
      <c r="F509" s="2"/>
    </row>
    <row r="510" spans="1:6" ht="10.9" customHeight="1">
      <c r="D510" s="7"/>
      <c r="E510" s="7"/>
    </row>
    <row r="511" spans="1:6" ht="10.9" customHeight="1">
      <c r="D511" s="7"/>
      <c r="E511" s="7"/>
    </row>
    <row r="512" spans="1:6" ht="10.9" customHeight="1">
      <c r="D512" s="7"/>
      <c r="E512" s="7"/>
    </row>
    <row r="513" spans="4:6" ht="10.9" customHeight="1">
      <c r="D513" s="7"/>
      <c r="E513" s="7"/>
    </row>
    <row r="514" spans="4:6" ht="10.9" customHeight="1">
      <c r="D514" s="7"/>
      <c r="E514" s="7"/>
    </row>
    <row r="515" spans="4:6" ht="10.9" customHeight="1">
      <c r="D515" s="7"/>
      <c r="E515" s="7"/>
    </row>
    <row r="516" spans="4:6" ht="10.9" customHeight="1">
      <c r="D516" s="7"/>
      <c r="E516" s="7"/>
    </row>
    <row r="517" spans="4:6" ht="10.9" customHeight="1">
      <c r="D517" s="7"/>
      <c r="E517" s="7"/>
    </row>
    <row r="518" spans="4:6" ht="10.9" customHeight="1">
      <c r="D518" s="7"/>
      <c r="E518" s="7"/>
    </row>
    <row r="519" spans="4:6" ht="10.9" customHeight="1">
      <c r="D519" s="7"/>
      <c r="E519" s="7"/>
    </row>
    <row r="520" spans="4:6" ht="10.9" customHeight="1">
      <c r="D520" s="7"/>
      <c r="E520" s="7"/>
    </row>
    <row r="521" spans="4:6" ht="10.9" customHeight="1">
      <c r="D521" s="7"/>
      <c r="E521" s="7"/>
    </row>
    <row r="522" spans="4:6" ht="10.9" customHeight="1">
      <c r="D522" s="7"/>
      <c r="E522" s="7"/>
      <c r="F522" s="2"/>
    </row>
    <row r="523" spans="4:6" ht="10.9" customHeight="1">
      <c r="D523" s="7"/>
      <c r="E523" s="7"/>
    </row>
    <row r="524" spans="4:6" ht="10.9" customHeight="1">
      <c r="D524" s="7"/>
      <c r="E524" s="7"/>
    </row>
    <row r="525" spans="4:6" ht="10.9" customHeight="1">
      <c r="D525" s="7"/>
      <c r="E525" s="7"/>
    </row>
    <row r="526" spans="4:6" ht="10.9" customHeight="1">
      <c r="D526" s="7"/>
      <c r="E526" s="7"/>
    </row>
    <row r="527" spans="4:6" ht="10.9" customHeight="1">
      <c r="D527" s="7"/>
      <c r="E527" s="7"/>
    </row>
    <row r="528" spans="4:6" ht="10.9" customHeight="1">
      <c r="D528" s="7"/>
      <c r="E528" s="7"/>
    </row>
    <row r="529" spans="4:6" ht="10.9" customHeight="1">
      <c r="D529" s="7"/>
      <c r="E529" s="7"/>
    </row>
    <row r="530" spans="4:6" ht="10.9" customHeight="1">
      <c r="D530" s="7"/>
      <c r="E530" s="7"/>
    </row>
    <row r="531" spans="4:6" ht="10.9" customHeight="1">
      <c r="D531" s="7"/>
      <c r="E531" s="7"/>
    </row>
    <row r="532" spans="4:6" ht="10.9" customHeight="1">
      <c r="D532" s="7"/>
      <c r="E532" s="7"/>
      <c r="F532" s="2"/>
    </row>
    <row r="533" spans="4:6" ht="10.9" customHeight="1">
      <c r="D533" s="7"/>
      <c r="E533" s="7"/>
    </row>
    <row r="534" spans="4:6" ht="10.9" customHeight="1">
      <c r="D534" s="7"/>
      <c r="E534" s="7"/>
    </row>
    <row r="535" spans="4:6" ht="10.9" customHeight="1">
      <c r="D535" s="7"/>
      <c r="E535" s="7"/>
    </row>
    <row r="536" spans="4:6" ht="10.9" customHeight="1">
      <c r="D536" s="7"/>
      <c r="E536" s="7"/>
    </row>
    <row r="537" spans="4:6" ht="10.9" customHeight="1">
      <c r="D537" s="7"/>
      <c r="E537" s="7"/>
    </row>
    <row r="538" spans="4:6" ht="10.9" customHeight="1">
      <c r="D538" s="7"/>
      <c r="E538" s="7"/>
    </row>
    <row r="539" spans="4:6" ht="10.9" customHeight="1">
      <c r="D539" s="7"/>
      <c r="E539" s="7"/>
    </row>
    <row r="540" spans="4:6" ht="10.9" customHeight="1">
      <c r="D540" s="7"/>
      <c r="E540" s="7"/>
    </row>
    <row r="541" spans="4:6" ht="10.9" customHeight="1">
      <c r="D541" s="7"/>
      <c r="E541" s="7"/>
    </row>
    <row r="542" spans="4:6" ht="10.9" customHeight="1">
      <c r="D542" s="7"/>
      <c r="E542" s="7"/>
    </row>
    <row r="543" spans="4:6" ht="10.9" customHeight="1">
      <c r="D543" s="7"/>
      <c r="E543" s="7"/>
    </row>
    <row r="544" spans="4:6" ht="10.9" customHeight="1">
      <c r="D544" s="7"/>
      <c r="E544" s="7"/>
    </row>
    <row r="545" spans="4:6" ht="10.9" customHeight="1">
      <c r="D545" s="7"/>
      <c r="E545" s="7"/>
      <c r="F545" s="2"/>
    </row>
    <row r="546" spans="4:6" ht="10.9" customHeight="1">
      <c r="D546" s="7"/>
      <c r="E546" s="7"/>
      <c r="F546" s="2"/>
    </row>
    <row r="547" spans="4:6" ht="10.9" customHeight="1">
      <c r="D547" s="7"/>
      <c r="E547" s="7"/>
      <c r="F547" s="2"/>
    </row>
    <row r="548" spans="4:6" ht="10.9" customHeight="1">
      <c r="D548" s="7"/>
      <c r="E548" s="7"/>
    </row>
    <row r="549" spans="4:6" ht="10.9" customHeight="1">
      <c r="D549" s="7"/>
      <c r="E549" s="7"/>
    </row>
    <row r="550" spans="4:6" ht="10.9" customHeight="1">
      <c r="D550" s="7"/>
      <c r="E550" s="7"/>
      <c r="F550" s="12"/>
    </row>
    <row r="551" spans="4:6" ht="10.9" customHeight="1">
      <c r="D551" s="7"/>
      <c r="E551" s="7"/>
    </row>
    <row r="552" spans="4:6" ht="10.9" customHeight="1">
      <c r="D552" s="7"/>
      <c r="E552" s="7"/>
    </row>
    <row r="553" spans="4:6" ht="10.9" customHeight="1">
      <c r="D553" s="7"/>
      <c r="E553" s="7"/>
    </row>
    <row r="554" spans="4:6" ht="10.9" customHeight="1">
      <c r="D554" s="7"/>
      <c r="E554" s="7"/>
    </row>
    <row r="555" spans="4:6" ht="10.9" customHeight="1">
      <c r="D555" s="7"/>
      <c r="E555" s="7"/>
    </row>
    <row r="556" spans="4:6" ht="10.9" customHeight="1">
      <c r="D556" s="7"/>
      <c r="E556" s="7"/>
    </row>
    <row r="557" spans="4:6" ht="10.9" customHeight="1">
      <c r="D557" s="7"/>
      <c r="E557" s="7"/>
    </row>
    <row r="558" spans="4:6" ht="10.9" customHeight="1">
      <c r="D558" s="7"/>
      <c r="E558" s="7"/>
    </row>
    <row r="559" spans="4:6" ht="10.9" customHeight="1">
      <c r="D559" s="7"/>
      <c r="E559" s="7"/>
    </row>
    <row r="560" spans="4:6" ht="10.9" customHeight="1">
      <c r="D560" s="7"/>
      <c r="E560" s="7"/>
      <c r="F560" s="12"/>
    </row>
    <row r="561" spans="4:6" ht="10.9" customHeight="1">
      <c r="D561" s="7"/>
      <c r="E561" s="7"/>
    </row>
    <row r="562" spans="4:6" ht="10.9" customHeight="1">
      <c r="D562" s="7"/>
      <c r="E562" s="7"/>
    </row>
    <row r="563" spans="4:6" ht="10.9" customHeight="1">
      <c r="D563" s="7"/>
      <c r="E563" s="7"/>
    </row>
    <row r="564" spans="4:6" ht="10.9" customHeight="1">
      <c r="D564" s="7"/>
      <c r="E564" s="7"/>
    </row>
    <row r="565" spans="4:6" ht="10.9" customHeight="1">
      <c r="D565" s="7"/>
      <c r="E565" s="7"/>
    </row>
    <row r="569" spans="4:6" ht="10.9" customHeight="1">
      <c r="D569" s="7"/>
      <c r="E569" s="7"/>
    </row>
    <row r="570" spans="4:6" ht="10.9" customHeight="1">
      <c r="D570" s="7"/>
      <c r="E570" s="7"/>
    </row>
    <row r="571" spans="4:6" ht="10.9" customHeight="1">
      <c r="D571" s="7"/>
      <c r="E571" s="7"/>
    </row>
    <row r="572" spans="4:6" ht="10.9" customHeight="1">
      <c r="D572" s="7"/>
      <c r="E572" s="7"/>
    </row>
    <row r="573" spans="4:6" ht="10.9" customHeight="1">
      <c r="D573" s="7"/>
      <c r="E573" s="7"/>
      <c r="F573" s="12"/>
    </row>
    <row r="574" spans="4:6" ht="10.9" customHeight="1">
      <c r="D574" s="7"/>
      <c r="E574" s="7"/>
    </row>
    <row r="575" spans="4:6" ht="10.9" customHeight="1">
      <c r="D575" s="7"/>
      <c r="E575" s="7"/>
    </row>
    <row r="576" spans="4:6" ht="10.9" customHeight="1">
      <c r="D576" s="7"/>
      <c r="E576" s="7"/>
    </row>
    <row r="577" spans="4:6" ht="10.9" customHeight="1">
      <c r="D577" s="7"/>
      <c r="E577" s="7"/>
    </row>
    <row r="578" spans="4:6" ht="10.9" customHeight="1">
      <c r="D578" s="7"/>
      <c r="E578" s="7"/>
    </row>
    <row r="579" spans="4:6" ht="10.9" customHeight="1">
      <c r="D579" s="7"/>
      <c r="E579" s="7"/>
    </row>
    <row r="580" spans="4:6" ht="10.9" customHeight="1">
      <c r="D580" s="7"/>
      <c r="E580" s="7"/>
    </row>
    <row r="581" spans="4:6" ht="10.9" customHeight="1">
      <c r="D581" s="7"/>
      <c r="E581" s="7"/>
    </row>
    <row r="582" spans="4:6" ht="10.9" customHeight="1">
      <c r="D582" s="7"/>
      <c r="E582" s="7"/>
    </row>
    <row r="583" spans="4:6" ht="10.9" customHeight="1">
      <c r="D583" s="7"/>
      <c r="E583" s="7"/>
      <c r="F583" s="12"/>
    </row>
    <row r="584" spans="4:6" ht="10.9" customHeight="1">
      <c r="D584" s="7"/>
      <c r="E584" s="7"/>
    </row>
    <row r="585" spans="4:6" ht="10.9" customHeight="1">
      <c r="D585" s="7"/>
      <c r="E585" s="7"/>
    </row>
    <row r="586" spans="4:6" ht="10.9" customHeight="1">
      <c r="D586" s="7"/>
      <c r="E586" s="7"/>
    </row>
    <row r="587" spans="4:6" ht="10.9" customHeight="1">
      <c r="D587" s="7"/>
      <c r="E587" s="7"/>
    </row>
    <row r="588" spans="4:6" ht="10.9" customHeight="1">
      <c r="D588" s="7"/>
      <c r="E588" s="7"/>
    </row>
    <row r="589" spans="4:6" ht="10.9" customHeight="1">
      <c r="D589" s="7"/>
      <c r="E589" s="7"/>
    </row>
    <row r="590" spans="4:6" ht="10.9" customHeight="1">
      <c r="D590" s="7"/>
      <c r="E590" s="7"/>
    </row>
    <row r="591" spans="4:6" ht="10.9" customHeight="1">
      <c r="D591" s="7"/>
      <c r="E591" s="7"/>
    </row>
    <row r="592" spans="4:6" ht="10.9" customHeight="1">
      <c r="D592" s="7"/>
      <c r="E592" s="7"/>
    </row>
    <row r="597" spans="4:6" ht="10.9" customHeight="1">
      <c r="D597" s="7"/>
      <c r="E597" s="7"/>
      <c r="F597" s="12"/>
    </row>
    <row r="598" spans="4:6" ht="10.9" customHeight="1">
      <c r="D598" s="7"/>
      <c r="E598" s="7"/>
    </row>
    <row r="599" spans="4:6" ht="10.9" customHeight="1">
      <c r="D599" s="7"/>
      <c r="E599" s="7"/>
    </row>
    <row r="600" spans="4:6" ht="10.9" customHeight="1">
      <c r="D600" s="7"/>
      <c r="E600" s="7"/>
    </row>
    <row r="601" spans="4:6" ht="10.9" customHeight="1">
      <c r="D601" s="7"/>
      <c r="E601" s="7"/>
    </row>
    <row r="602" spans="4:6" ht="10.9" customHeight="1">
      <c r="D602" s="7"/>
      <c r="E602" s="7"/>
    </row>
    <row r="603" spans="4:6" ht="10.9" customHeight="1">
      <c r="D603" s="7"/>
      <c r="E603" s="7"/>
    </row>
    <row r="604" spans="4:6" ht="10.9" customHeight="1">
      <c r="D604" s="7"/>
      <c r="E604" s="7"/>
    </row>
    <row r="605" spans="4:6" ht="10.9" customHeight="1">
      <c r="D605" s="7"/>
      <c r="E605" s="7"/>
    </row>
    <row r="606" spans="4:6" ht="10.9" customHeight="1">
      <c r="D606" s="7"/>
      <c r="E606" s="7"/>
    </row>
    <row r="607" spans="4:6" ht="10.9" customHeight="1">
      <c r="D607" s="7"/>
      <c r="E607" s="7"/>
      <c r="F607" s="12"/>
    </row>
    <row r="608" spans="4:6" ht="10.9" customHeight="1">
      <c r="D608" s="7"/>
      <c r="E608" s="7"/>
    </row>
    <row r="609" spans="4:6" ht="10.9" customHeight="1">
      <c r="D609" s="7"/>
      <c r="E609" s="7"/>
    </row>
    <row r="610" spans="4:6" ht="10.9" customHeight="1">
      <c r="D610" s="7"/>
      <c r="E610" s="7"/>
    </row>
    <row r="611" spans="4:6" ht="10.9" customHeight="1">
      <c r="D611" s="7"/>
      <c r="E611" s="7"/>
    </row>
    <row r="612" spans="4:6" ht="10.9" customHeight="1">
      <c r="D612" s="7"/>
      <c r="E612" s="7"/>
    </row>
    <row r="613" spans="4:6" ht="10.9" customHeight="1">
      <c r="D613" s="7"/>
      <c r="E613" s="7"/>
    </row>
    <row r="614" spans="4:6" ht="10.9" customHeight="1">
      <c r="D614" s="7"/>
      <c r="E614" s="7"/>
    </row>
    <row r="615" spans="4:6" ht="10.9" customHeight="1">
      <c r="D615" s="7"/>
      <c r="E615" s="7"/>
    </row>
    <row r="616" spans="4:6" ht="10.9" customHeight="1">
      <c r="D616" s="7"/>
      <c r="E616" s="7"/>
    </row>
    <row r="617" spans="4:6" ht="10.9" customHeight="1">
      <c r="D617" s="7"/>
      <c r="E617" s="7"/>
      <c r="F617" s="12"/>
    </row>
    <row r="618" spans="4:6" ht="10.9" customHeight="1">
      <c r="D618" s="7"/>
      <c r="E618" s="7"/>
    </row>
    <row r="622" spans="4:6" ht="10.9" customHeight="1">
      <c r="D622" s="7"/>
      <c r="E622" s="7"/>
    </row>
    <row r="623" spans="4:6" ht="10.9" customHeight="1">
      <c r="D623" s="7"/>
      <c r="E623" s="7"/>
    </row>
    <row r="624" spans="4:6" ht="10.9" customHeight="1">
      <c r="D624" s="7"/>
      <c r="E624" s="7"/>
    </row>
    <row r="625" spans="4:6" ht="10.9" customHeight="1">
      <c r="D625" s="7"/>
      <c r="E625" s="7"/>
    </row>
    <row r="626" spans="4:6" ht="10.9" customHeight="1">
      <c r="D626" s="7"/>
      <c r="E626" s="7"/>
    </row>
    <row r="627" spans="4:6" ht="10.9" customHeight="1">
      <c r="D627" s="7"/>
      <c r="E627" s="7"/>
    </row>
    <row r="628" spans="4:6" ht="10.9" customHeight="1">
      <c r="D628" s="7"/>
      <c r="E628" s="7"/>
    </row>
    <row r="629" spans="4:6" ht="10.9" customHeight="1">
      <c r="D629" s="7"/>
      <c r="E629" s="7"/>
    </row>
    <row r="630" spans="4:6" ht="10.9" customHeight="1">
      <c r="D630" s="7"/>
      <c r="E630" s="7"/>
      <c r="F630" s="12"/>
    </row>
    <row r="634" spans="4:6" ht="10.9" customHeight="1">
      <c r="D634" s="7"/>
      <c r="E634" s="7"/>
    </row>
    <row r="635" spans="4:6" ht="10.9" customHeight="1">
      <c r="D635" s="7"/>
      <c r="E635" s="7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2A28-9959-40FA-B19D-180727111358}">
  <dimension ref="A1:G22"/>
  <sheetViews>
    <sheetView workbookViewId="0">
      <selection activeCell="B2" sqref="B2"/>
    </sheetView>
  </sheetViews>
  <sheetFormatPr defaultRowHeight="14.25"/>
  <cols>
    <col min="1" max="2" width="20.1328125" customWidth="1"/>
    <col min="3" max="3" width="18.59765625" customWidth="1"/>
    <col min="6" max="6" width="17.1328125" customWidth="1"/>
  </cols>
  <sheetData>
    <row r="1" spans="1:7">
      <c r="A1" s="15" t="s">
        <v>1155</v>
      </c>
      <c r="B1" s="15"/>
      <c r="C1" s="15"/>
    </row>
    <row r="2" spans="1:7">
      <c r="A2" s="14" t="s">
        <v>1134</v>
      </c>
      <c r="B2" s="14" t="str">
        <f>SUBSTITUTE(A2,CHAR(160),"")</f>
        <v>WH1881NL01</v>
      </c>
      <c r="C2" s="14">
        <f>LEN(B2)</f>
        <v>10</v>
      </c>
      <c r="E2">
        <f>LEN(A2)</f>
        <v>19</v>
      </c>
      <c r="F2" t="str">
        <f>TRIM(A2)</f>
        <v>WH1881NL01         </v>
      </c>
      <c r="G2">
        <f>LEN(F2)</f>
        <v>19</v>
      </c>
    </row>
    <row r="3" spans="1:7">
      <c r="A3" s="14" t="s">
        <v>1135</v>
      </c>
      <c r="B3" s="14" t="str">
        <f t="shared" ref="B3:B22" si="0">SUBSTITUTE(A3,CHAR(160),"")</f>
        <v>WH10017QM01</v>
      </c>
      <c r="C3" s="14">
        <f t="shared" ref="C3:C22" si="1">LEN(B3)</f>
        <v>11</v>
      </c>
      <c r="E3">
        <f t="shared" ref="E3:E22" si="2">LEN(A3)</f>
        <v>19</v>
      </c>
      <c r="F3" t="str">
        <f t="shared" ref="F3:F22" si="3">TRIM(A3)</f>
        <v>WH10017QM01        </v>
      </c>
      <c r="G3">
        <f t="shared" ref="G3:G22" si="4">LEN(F3)</f>
        <v>19</v>
      </c>
    </row>
    <row r="4" spans="1:7">
      <c r="A4" s="14" t="s">
        <v>1136</v>
      </c>
      <c r="B4" s="14" t="str">
        <f t="shared" si="0"/>
        <v>WH10017SL01</v>
      </c>
      <c r="C4" s="14">
        <f t="shared" si="1"/>
        <v>11</v>
      </c>
      <c r="E4">
        <f t="shared" si="2"/>
        <v>19</v>
      </c>
      <c r="F4" t="str">
        <f t="shared" si="3"/>
        <v>WH10017SL01        </v>
      </c>
      <c r="G4">
        <f t="shared" si="4"/>
        <v>19</v>
      </c>
    </row>
    <row r="5" spans="1:7">
      <c r="A5" s="14" t="s">
        <v>1137</v>
      </c>
      <c r="B5" s="14" t="str">
        <f t="shared" si="0"/>
        <v>WH1043NM01</v>
      </c>
      <c r="C5" s="14">
        <f t="shared" si="1"/>
        <v>10</v>
      </c>
      <c r="E5">
        <f t="shared" si="2"/>
        <v>19</v>
      </c>
      <c r="F5" t="str">
        <f t="shared" si="3"/>
        <v>WH1043NM01         </v>
      </c>
      <c r="G5">
        <f t="shared" si="4"/>
        <v>19</v>
      </c>
    </row>
    <row r="6" spans="1:7">
      <c r="A6" s="14" t="s">
        <v>1138</v>
      </c>
      <c r="B6" s="14" t="str">
        <f t="shared" si="0"/>
        <v>WH1043YL05</v>
      </c>
      <c r="C6" s="14">
        <f t="shared" si="1"/>
        <v>10</v>
      </c>
      <c r="E6">
        <f t="shared" si="2"/>
        <v>19</v>
      </c>
      <c r="F6" t="str">
        <f t="shared" si="3"/>
        <v>WH1043YL05         </v>
      </c>
      <c r="G6">
        <f t="shared" si="4"/>
        <v>19</v>
      </c>
    </row>
    <row r="7" spans="1:7">
      <c r="A7" s="14" t="s">
        <v>1139</v>
      </c>
      <c r="B7" s="14" t="str">
        <f t="shared" si="0"/>
        <v>WH1043YM01</v>
      </c>
      <c r="C7" s="14">
        <f t="shared" si="1"/>
        <v>10</v>
      </c>
      <c r="E7">
        <f t="shared" si="2"/>
        <v>19</v>
      </c>
      <c r="F7" t="str">
        <f t="shared" si="3"/>
        <v>WH1043YM01         </v>
      </c>
      <c r="G7">
        <f t="shared" si="4"/>
        <v>19</v>
      </c>
    </row>
    <row r="8" spans="1:7">
      <c r="A8" s="14" t="s">
        <v>1140</v>
      </c>
      <c r="B8" s="14" t="str">
        <f t="shared" si="0"/>
        <v>WH1044YM07</v>
      </c>
      <c r="C8" s="14">
        <f t="shared" si="1"/>
        <v>10</v>
      </c>
      <c r="E8">
        <f t="shared" si="2"/>
        <v>19</v>
      </c>
      <c r="F8" t="str">
        <f t="shared" si="3"/>
        <v>WH1044YM07         </v>
      </c>
      <c r="G8">
        <f t="shared" si="4"/>
        <v>19</v>
      </c>
    </row>
    <row r="9" spans="1:7">
      <c r="A9" s="14" t="s">
        <v>1141</v>
      </c>
      <c r="B9" s="14" t="str">
        <f t="shared" si="0"/>
        <v>WH15952655WL01</v>
      </c>
      <c r="C9" s="14">
        <f t="shared" si="1"/>
        <v>14</v>
      </c>
      <c r="E9">
        <f t="shared" si="2"/>
        <v>19</v>
      </c>
      <c r="F9" t="str">
        <f t="shared" si="3"/>
        <v>WH15952655WL01     </v>
      </c>
      <c r="G9">
        <f t="shared" si="4"/>
        <v>19</v>
      </c>
    </row>
    <row r="10" spans="1:7">
      <c r="A10" s="14" t="s">
        <v>1142</v>
      </c>
      <c r="B10" s="14" t="str">
        <f t="shared" si="0"/>
        <v>WH1595NL01</v>
      </c>
      <c r="C10" s="14">
        <f t="shared" si="1"/>
        <v>10</v>
      </c>
      <c r="E10">
        <f t="shared" si="2"/>
        <v>19</v>
      </c>
      <c r="F10" t="str">
        <f t="shared" si="3"/>
        <v>WH1595NL01         </v>
      </c>
      <c r="G10">
        <f t="shared" si="4"/>
        <v>19</v>
      </c>
    </row>
    <row r="11" spans="1:7">
      <c r="A11" s="14" t="s">
        <v>1143</v>
      </c>
      <c r="B11" s="14" t="str">
        <f t="shared" si="0"/>
        <v>WH1595NM01</v>
      </c>
      <c r="C11" s="14">
        <f t="shared" si="1"/>
        <v>10</v>
      </c>
      <c r="E11">
        <f t="shared" si="2"/>
        <v>19</v>
      </c>
      <c r="F11" t="str">
        <f t="shared" si="3"/>
        <v>WH1595NM01         </v>
      </c>
      <c r="G11">
        <f t="shared" si="4"/>
        <v>19</v>
      </c>
    </row>
    <row r="12" spans="1:7">
      <c r="A12" s="14" t="s">
        <v>1144</v>
      </c>
      <c r="B12" s="14" t="str">
        <f t="shared" si="0"/>
        <v>WH1595SL03</v>
      </c>
      <c r="C12" s="14">
        <f t="shared" si="1"/>
        <v>10</v>
      </c>
      <c r="E12">
        <f t="shared" si="2"/>
        <v>19</v>
      </c>
      <c r="F12" t="str">
        <f t="shared" si="3"/>
        <v>WH1595SL03         </v>
      </c>
      <c r="G12">
        <f t="shared" si="4"/>
        <v>19</v>
      </c>
    </row>
    <row r="13" spans="1:7">
      <c r="A13" s="14" t="s">
        <v>1145</v>
      </c>
      <c r="B13" s="14" t="str">
        <f t="shared" si="0"/>
        <v>WH1595SL06</v>
      </c>
      <c r="C13" s="14">
        <f t="shared" si="1"/>
        <v>10</v>
      </c>
      <c r="E13">
        <f t="shared" si="2"/>
        <v>19</v>
      </c>
      <c r="F13" t="str">
        <f t="shared" si="3"/>
        <v>WH1595SL06         </v>
      </c>
      <c r="G13">
        <f t="shared" si="4"/>
        <v>19</v>
      </c>
    </row>
    <row r="14" spans="1:7">
      <c r="A14" s="14" t="s">
        <v>1146</v>
      </c>
      <c r="B14" s="14" t="str">
        <f t="shared" si="0"/>
        <v>WH1595SL505</v>
      </c>
      <c r="C14" s="14">
        <f t="shared" si="1"/>
        <v>11</v>
      </c>
      <c r="E14">
        <f t="shared" si="2"/>
        <v>19</v>
      </c>
      <c r="F14" t="str">
        <f t="shared" si="3"/>
        <v>WH1595SL505        </v>
      </c>
      <c r="G14">
        <f t="shared" si="4"/>
        <v>19</v>
      </c>
    </row>
    <row r="15" spans="1:7">
      <c r="A15" s="14" t="s">
        <v>1147</v>
      </c>
      <c r="B15" s="14" t="str">
        <f t="shared" si="0"/>
        <v>WH1595WL01</v>
      </c>
      <c r="C15" s="14">
        <f t="shared" si="1"/>
        <v>10</v>
      </c>
      <c r="E15">
        <f t="shared" si="2"/>
        <v>19</v>
      </c>
      <c r="F15" t="str">
        <f t="shared" si="3"/>
        <v>WH1595WL01         </v>
      </c>
      <c r="G15">
        <f t="shared" si="4"/>
        <v>19</v>
      </c>
    </row>
    <row r="16" spans="1:7">
      <c r="A16" s="14" t="s">
        <v>1148</v>
      </c>
      <c r="B16" s="14" t="str">
        <f t="shared" si="0"/>
        <v>WH1595WL09</v>
      </c>
      <c r="C16" s="14">
        <f t="shared" si="1"/>
        <v>10</v>
      </c>
      <c r="E16">
        <f t="shared" si="2"/>
        <v>19</v>
      </c>
      <c r="F16" t="str">
        <f t="shared" si="3"/>
        <v>WH1595WL09         </v>
      </c>
      <c r="G16">
        <f t="shared" si="4"/>
        <v>19</v>
      </c>
    </row>
    <row r="17" spans="1:7">
      <c r="A17" s="14" t="s">
        <v>1149</v>
      </c>
      <c r="B17" s="14" t="str">
        <f t="shared" si="0"/>
        <v>WH1595WM01</v>
      </c>
      <c r="C17" s="14">
        <f t="shared" si="1"/>
        <v>10</v>
      </c>
      <c r="E17">
        <f t="shared" si="2"/>
        <v>19</v>
      </c>
      <c r="F17" t="str">
        <f t="shared" si="3"/>
        <v>WH1595WM01         </v>
      </c>
      <c r="G17">
        <f t="shared" si="4"/>
        <v>19</v>
      </c>
    </row>
    <row r="18" spans="1:7">
      <c r="A18" s="14" t="s">
        <v>1150</v>
      </c>
      <c r="B18" s="14" t="str">
        <f t="shared" si="0"/>
        <v>WH1596NL01</v>
      </c>
      <c r="C18" s="14">
        <f t="shared" si="1"/>
        <v>10</v>
      </c>
      <c r="E18">
        <f t="shared" si="2"/>
        <v>19</v>
      </c>
      <c r="F18" t="str">
        <f t="shared" si="3"/>
        <v>WH1596NL01         </v>
      </c>
      <c r="G18">
        <f t="shared" si="4"/>
        <v>19</v>
      </c>
    </row>
    <row r="19" spans="1:7">
      <c r="A19" s="14" t="s">
        <v>1151</v>
      </c>
      <c r="B19" s="14" t="str">
        <f t="shared" si="0"/>
        <v>WH1843NM01</v>
      </c>
      <c r="C19" s="14">
        <f t="shared" si="1"/>
        <v>10</v>
      </c>
      <c r="E19">
        <f t="shared" si="2"/>
        <v>19</v>
      </c>
      <c r="F19" t="str">
        <f t="shared" si="3"/>
        <v>WH1843NM01         </v>
      </c>
      <c r="G19">
        <f t="shared" si="4"/>
        <v>19</v>
      </c>
    </row>
    <row r="20" spans="1:7">
      <c r="A20" s="14" t="s">
        <v>1152</v>
      </c>
      <c r="B20" s="14" t="str">
        <f t="shared" si="0"/>
        <v>WH1843QM02</v>
      </c>
      <c r="C20" s="14">
        <f t="shared" si="1"/>
        <v>10</v>
      </c>
      <c r="E20">
        <f t="shared" si="2"/>
        <v>19</v>
      </c>
      <c r="F20" t="str">
        <f t="shared" si="3"/>
        <v>WH1843QM02         </v>
      </c>
      <c r="G20">
        <f t="shared" si="4"/>
        <v>19</v>
      </c>
    </row>
    <row r="21" spans="1:7">
      <c r="A21" s="14" t="s">
        <v>1153</v>
      </c>
      <c r="B21" s="14" t="str">
        <f t="shared" si="0"/>
        <v>WH1843WL01</v>
      </c>
      <c r="C21" s="14">
        <f t="shared" si="1"/>
        <v>10</v>
      </c>
      <c r="E21">
        <f t="shared" si="2"/>
        <v>19</v>
      </c>
      <c r="F21" t="str">
        <f t="shared" si="3"/>
        <v>WH1843WL01         </v>
      </c>
      <c r="G21">
        <f t="shared" si="4"/>
        <v>19</v>
      </c>
    </row>
    <row r="22" spans="1:7">
      <c r="A22" s="14" t="s">
        <v>1154</v>
      </c>
      <c r="B22" s="14" t="str">
        <f t="shared" si="0"/>
        <v>WH2654WM01</v>
      </c>
      <c r="C22" s="14">
        <f t="shared" si="1"/>
        <v>10</v>
      </c>
      <c r="E22">
        <f t="shared" si="2"/>
        <v>19</v>
      </c>
      <c r="F22" t="str">
        <f t="shared" si="3"/>
        <v>WH2654WM01         </v>
      </c>
      <c r="G22">
        <f t="shared" si="4"/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7263-7E7D-4FA4-A144-6818A600C007}">
  <dimension ref="A1:K501"/>
  <sheetViews>
    <sheetView workbookViewId="0">
      <selection activeCell="J16" sqref="J16"/>
    </sheetView>
  </sheetViews>
  <sheetFormatPr defaultRowHeight="14.25"/>
  <cols>
    <col min="1" max="1" width="11.86328125" customWidth="1"/>
    <col min="2" max="2" width="12.33203125" bestFit="1" customWidth="1"/>
    <col min="3" max="3" width="9.19921875" customWidth="1"/>
    <col min="4" max="4" width="6.73046875" bestFit="1" customWidth="1"/>
    <col min="5" max="5" width="9.59765625" customWidth="1"/>
    <col min="6" max="6" width="70.1328125" bestFit="1" customWidth="1"/>
    <col min="8" max="8" width="11.73046875" bestFit="1" customWidth="1"/>
    <col min="9" max="9" width="12.86328125" bestFit="1" customWidth="1"/>
    <col min="10" max="10" width="15.06640625" bestFit="1" customWidth="1"/>
    <col min="11" max="11" width="12.46484375" bestFit="1" customWidth="1"/>
  </cols>
  <sheetData>
    <row r="1" spans="1:11">
      <c r="A1" s="9" t="s">
        <v>110</v>
      </c>
      <c r="B1" s="9" t="s">
        <v>111</v>
      </c>
      <c r="C1" s="9" t="s">
        <v>1156</v>
      </c>
      <c r="D1" s="9" t="s">
        <v>85</v>
      </c>
      <c r="E1" s="9" t="s">
        <v>112</v>
      </c>
      <c r="F1" s="9" t="s">
        <v>113</v>
      </c>
    </row>
    <row r="2" spans="1:11">
      <c r="A2" t="s">
        <v>114</v>
      </c>
      <c r="B2" t="s">
        <v>115</v>
      </c>
      <c r="C2" t="s">
        <v>120</v>
      </c>
      <c r="D2" s="10">
        <v>363.54</v>
      </c>
      <c r="E2" s="10">
        <v>0</v>
      </c>
      <c r="F2" t="s">
        <v>117</v>
      </c>
      <c r="I2" t="s">
        <v>1160</v>
      </c>
      <c r="J2" t="s">
        <v>1161</v>
      </c>
      <c r="K2" t="s">
        <v>1162</v>
      </c>
    </row>
    <row r="3" spans="1:11">
      <c r="A3" t="s">
        <v>118</v>
      </c>
      <c r="B3" t="s">
        <v>119</v>
      </c>
      <c r="C3" t="s">
        <v>120</v>
      </c>
      <c r="D3" s="10">
        <v>906.15</v>
      </c>
      <c r="E3" s="10">
        <v>40</v>
      </c>
      <c r="F3" t="s">
        <v>121</v>
      </c>
      <c r="H3" t="s">
        <v>1157</v>
      </c>
      <c r="I3" t="str">
        <f>PROPER(H3)</f>
        <v>Ajit Gupta</v>
      </c>
      <c r="J3" t="str">
        <f>UPPER(H3)</f>
        <v>AJIT GUPTA</v>
      </c>
      <c r="K3" t="str">
        <f>LOWER(H3)</f>
        <v>ajit gupta</v>
      </c>
    </row>
    <row r="4" spans="1:11">
      <c r="A4" t="s">
        <v>122</v>
      </c>
      <c r="B4" t="s">
        <v>123</v>
      </c>
      <c r="C4" t="s">
        <v>187</v>
      </c>
      <c r="D4" s="10">
        <v>234.14</v>
      </c>
      <c r="E4" s="10">
        <v>26</v>
      </c>
      <c r="F4" t="s">
        <v>125</v>
      </c>
      <c r="H4" t="s">
        <v>1158</v>
      </c>
      <c r="I4" t="str">
        <f t="shared" ref="I4:I5" si="0">PROPER(H4)</f>
        <v>Ayush Triphati</v>
      </c>
      <c r="J4" t="str">
        <f t="shared" ref="J4:J5" si="1">UPPER(H4)</f>
        <v>AYUSH TRIPHATI</v>
      </c>
      <c r="K4" t="str">
        <f t="shared" ref="K4:K5" si="2">LOWER(H4)</f>
        <v>ayush triphati</v>
      </c>
    </row>
    <row r="5" spans="1:11">
      <c r="A5" t="s">
        <v>126</v>
      </c>
      <c r="B5" t="s">
        <v>127</v>
      </c>
      <c r="C5" t="s">
        <v>128</v>
      </c>
      <c r="D5" s="10">
        <v>903.5</v>
      </c>
      <c r="E5" s="10">
        <v>69</v>
      </c>
      <c r="F5" t="s">
        <v>129</v>
      </c>
      <c r="H5" t="s">
        <v>1159</v>
      </c>
      <c r="I5" t="str">
        <f t="shared" si="0"/>
        <v xml:space="preserve">Maruti Chavan </v>
      </c>
      <c r="J5" t="str">
        <f t="shared" si="1"/>
        <v xml:space="preserve">MARUTI CHAVAN </v>
      </c>
      <c r="K5" t="str">
        <f t="shared" si="2"/>
        <v xml:space="preserve">maruti chavan </v>
      </c>
    </row>
    <row r="6" spans="1:11">
      <c r="A6" t="s">
        <v>130</v>
      </c>
      <c r="B6" t="s">
        <v>131</v>
      </c>
      <c r="C6" t="s">
        <v>132</v>
      </c>
      <c r="D6" s="10">
        <v>352.9</v>
      </c>
      <c r="E6" s="10">
        <v>87</v>
      </c>
      <c r="F6" t="s">
        <v>133</v>
      </c>
    </row>
    <row r="7" spans="1:11">
      <c r="A7" t="s">
        <v>134</v>
      </c>
      <c r="B7" t="s">
        <v>135</v>
      </c>
      <c r="C7" t="s">
        <v>120</v>
      </c>
      <c r="D7" s="10">
        <v>549.17999999999995</v>
      </c>
      <c r="E7" s="10">
        <v>31</v>
      </c>
      <c r="F7" t="s">
        <v>136</v>
      </c>
    </row>
    <row r="8" spans="1:11">
      <c r="A8" t="s">
        <v>137</v>
      </c>
      <c r="B8" t="s">
        <v>138</v>
      </c>
      <c r="C8" t="s">
        <v>187</v>
      </c>
      <c r="D8" s="10">
        <v>222.56</v>
      </c>
      <c r="E8" s="10">
        <v>59</v>
      </c>
      <c r="F8" t="s">
        <v>139</v>
      </c>
    </row>
    <row r="9" spans="1:11">
      <c r="A9" t="s">
        <v>140</v>
      </c>
      <c r="B9" t="s">
        <v>141</v>
      </c>
      <c r="C9" t="s">
        <v>120</v>
      </c>
      <c r="D9" s="10">
        <v>969.7</v>
      </c>
      <c r="E9" s="10">
        <v>78</v>
      </c>
      <c r="F9" s="2" t="s">
        <v>142</v>
      </c>
    </row>
    <row r="10" spans="1:11">
      <c r="A10" t="s">
        <v>143</v>
      </c>
      <c r="B10" t="s">
        <v>144</v>
      </c>
      <c r="C10" t="s">
        <v>145</v>
      </c>
      <c r="D10" s="10">
        <v>321.88</v>
      </c>
      <c r="E10" s="10">
        <v>92</v>
      </c>
      <c r="F10" t="s">
        <v>146</v>
      </c>
    </row>
    <row r="11" spans="1:11">
      <c r="A11" t="s">
        <v>147</v>
      </c>
      <c r="B11" t="s">
        <v>148</v>
      </c>
      <c r="C11" t="s">
        <v>187</v>
      </c>
      <c r="D11" s="10">
        <v>230.28</v>
      </c>
      <c r="E11" s="10">
        <v>0</v>
      </c>
      <c r="F11" t="s">
        <v>149</v>
      </c>
    </row>
    <row r="12" spans="1:11">
      <c r="A12" t="s">
        <v>150</v>
      </c>
      <c r="B12" t="s">
        <v>151</v>
      </c>
      <c r="C12" t="s">
        <v>187</v>
      </c>
      <c r="D12" s="10">
        <v>763.66</v>
      </c>
      <c r="E12" s="10">
        <v>22</v>
      </c>
      <c r="F12" t="s">
        <v>117</v>
      </c>
    </row>
    <row r="13" spans="1:11">
      <c r="A13" t="s">
        <v>152</v>
      </c>
      <c r="B13" t="s">
        <v>153</v>
      </c>
      <c r="C13" t="s">
        <v>120</v>
      </c>
      <c r="D13" s="10">
        <v>368.76</v>
      </c>
      <c r="E13" s="10">
        <v>45</v>
      </c>
      <c r="F13" t="s">
        <v>121</v>
      </c>
    </row>
    <row r="14" spans="1:11">
      <c r="A14" t="s">
        <v>154</v>
      </c>
      <c r="B14" t="s">
        <v>155</v>
      </c>
      <c r="C14" t="s">
        <v>145</v>
      </c>
      <c r="D14" s="10">
        <v>669.92</v>
      </c>
      <c r="E14" s="10">
        <v>87</v>
      </c>
      <c r="F14" t="s">
        <v>125</v>
      </c>
    </row>
    <row r="15" spans="1:11">
      <c r="A15" t="s">
        <v>157</v>
      </c>
      <c r="B15" t="s">
        <v>158</v>
      </c>
      <c r="C15" t="s">
        <v>187</v>
      </c>
      <c r="D15" s="10">
        <v>914.74</v>
      </c>
      <c r="E15" s="10">
        <v>0</v>
      </c>
      <c r="F15" t="s">
        <v>129</v>
      </c>
      <c r="I15" t="s">
        <v>112</v>
      </c>
      <c r="J15" t="s">
        <v>1184</v>
      </c>
    </row>
    <row r="16" spans="1:11">
      <c r="A16" t="s">
        <v>159</v>
      </c>
      <c r="B16" t="s">
        <v>160</v>
      </c>
      <c r="C16" t="s">
        <v>145</v>
      </c>
      <c r="D16" s="10">
        <v>137.79</v>
      </c>
      <c r="E16" s="10">
        <v>78</v>
      </c>
      <c r="F16" t="s">
        <v>133</v>
      </c>
      <c r="I16">
        <v>-3</v>
      </c>
      <c r="J16">
        <f>IF(I16&lt;0,0,I16)</f>
        <v>0</v>
      </c>
    </row>
    <row r="17" spans="1:10">
      <c r="A17" t="s">
        <v>161</v>
      </c>
      <c r="B17" t="s">
        <v>162</v>
      </c>
      <c r="C17" t="s">
        <v>132</v>
      </c>
      <c r="D17" s="10">
        <v>840.84</v>
      </c>
      <c r="E17" s="10">
        <v>39</v>
      </c>
      <c r="F17" t="s">
        <v>136</v>
      </c>
      <c r="I17">
        <v>45</v>
      </c>
      <c r="J17">
        <f t="shared" ref="J17:J19" si="3">IF(I17&lt;0,0,I17)</f>
        <v>45</v>
      </c>
    </row>
    <row r="18" spans="1:10">
      <c r="A18" t="s">
        <v>163</v>
      </c>
      <c r="B18" t="s">
        <v>164</v>
      </c>
      <c r="C18" t="s">
        <v>145</v>
      </c>
      <c r="D18" s="10">
        <v>784.71</v>
      </c>
      <c r="E18" s="10">
        <v>96</v>
      </c>
      <c r="F18" t="s">
        <v>139</v>
      </c>
      <c r="I18">
        <v>-90</v>
      </c>
      <c r="J18">
        <f t="shared" si="3"/>
        <v>0</v>
      </c>
    </row>
    <row r="19" spans="1:10">
      <c r="A19" t="s">
        <v>165</v>
      </c>
      <c r="B19" t="s">
        <v>166</v>
      </c>
      <c r="C19" t="s">
        <v>120</v>
      </c>
      <c r="D19" s="10">
        <v>588.75</v>
      </c>
      <c r="E19" s="10">
        <v>51</v>
      </c>
      <c r="F19" s="2" t="s">
        <v>142</v>
      </c>
      <c r="I19">
        <v>78</v>
      </c>
      <c r="J19">
        <f t="shared" si="3"/>
        <v>78</v>
      </c>
    </row>
    <row r="20" spans="1:10">
      <c r="A20" t="s">
        <v>167</v>
      </c>
      <c r="B20" t="s">
        <v>168</v>
      </c>
      <c r="C20" t="s">
        <v>120</v>
      </c>
      <c r="D20" s="10">
        <v>227.05</v>
      </c>
      <c r="E20" s="10">
        <v>8</v>
      </c>
      <c r="F20" t="s">
        <v>146</v>
      </c>
    </row>
    <row r="21" spans="1:10">
      <c r="A21" t="s">
        <v>169</v>
      </c>
      <c r="B21" t="s">
        <v>170</v>
      </c>
      <c r="C21" t="s">
        <v>145</v>
      </c>
      <c r="D21" s="10">
        <v>944.43</v>
      </c>
      <c r="E21" s="10">
        <v>97</v>
      </c>
      <c r="F21" t="s">
        <v>149</v>
      </c>
    </row>
    <row r="22" spans="1:10">
      <c r="A22" t="s">
        <v>171</v>
      </c>
      <c r="B22" t="s">
        <v>172</v>
      </c>
      <c r="C22" t="s">
        <v>132</v>
      </c>
      <c r="D22" s="10">
        <v>763.27</v>
      </c>
      <c r="E22" s="10">
        <v>85</v>
      </c>
      <c r="F22" t="s">
        <v>117</v>
      </c>
    </row>
    <row r="23" spans="1:10">
      <c r="A23" t="s">
        <v>173</v>
      </c>
      <c r="B23" t="s">
        <v>174</v>
      </c>
      <c r="C23" t="s">
        <v>128</v>
      </c>
      <c r="D23" s="10">
        <v>262.69</v>
      </c>
      <c r="E23" s="10">
        <v>38</v>
      </c>
      <c r="F23" t="s">
        <v>121</v>
      </c>
    </row>
    <row r="24" spans="1:10">
      <c r="A24" t="s">
        <v>175</v>
      </c>
      <c r="B24" t="s">
        <v>176</v>
      </c>
      <c r="C24" t="s">
        <v>120</v>
      </c>
      <c r="D24" s="10">
        <v>705.49</v>
      </c>
      <c r="E24" s="10">
        <v>40</v>
      </c>
      <c r="F24" t="s">
        <v>125</v>
      </c>
    </row>
    <row r="25" spans="1:10">
      <c r="A25" t="s">
        <v>177</v>
      </c>
      <c r="B25" t="s">
        <v>178</v>
      </c>
      <c r="C25" t="s">
        <v>145</v>
      </c>
      <c r="D25" s="10">
        <v>531.58000000000004</v>
      </c>
      <c r="E25" s="10">
        <v>42</v>
      </c>
      <c r="F25" t="s">
        <v>129</v>
      </c>
    </row>
    <row r="26" spans="1:10">
      <c r="A26" t="s">
        <v>179</v>
      </c>
      <c r="B26" t="s">
        <v>180</v>
      </c>
      <c r="C26" t="s">
        <v>128</v>
      </c>
      <c r="D26" s="10">
        <v>187.08</v>
      </c>
      <c r="E26" s="10">
        <v>34</v>
      </c>
      <c r="F26" t="s">
        <v>133</v>
      </c>
    </row>
    <row r="27" spans="1:10">
      <c r="A27" t="s">
        <v>181</v>
      </c>
      <c r="B27" t="s">
        <v>182</v>
      </c>
      <c r="C27" t="s">
        <v>145</v>
      </c>
      <c r="D27" s="10">
        <v>843.67</v>
      </c>
      <c r="E27" s="10">
        <v>46</v>
      </c>
      <c r="F27" t="s">
        <v>136</v>
      </c>
    </row>
    <row r="28" spans="1:10">
      <c r="A28" t="s">
        <v>183</v>
      </c>
      <c r="B28" t="s">
        <v>184</v>
      </c>
      <c r="C28" t="s">
        <v>145</v>
      </c>
      <c r="D28" s="10">
        <v>434</v>
      </c>
      <c r="E28" s="10">
        <v>74</v>
      </c>
      <c r="F28" t="s">
        <v>139</v>
      </c>
    </row>
    <row r="29" spans="1:10">
      <c r="A29" t="s">
        <v>185</v>
      </c>
      <c r="B29" t="s">
        <v>186</v>
      </c>
      <c r="C29" t="s">
        <v>187</v>
      </c>
      <c r="D29" s="10">
        <v>566.44000000000005</v>
      </c>
      <c r="E29" s="10">
        <v>11</v>
      </c>
      <c r="F29" s="2" t="s">
        <v>142</v>
      </c>
    </row>
    <row r="30" spans="1:10">
      <c r="A30" t="s">
        <v>188</v>
      </c>
      <c r="B30" t="s">
        <v>189</v>
      </c>
      <c r="C30" t="s">
        <v>187</v>
      </c>
      <c r="D30" s="10">
        <v>448.08</v>
      </c>
      <c r="E30" s="10">
        <v>77</v>
      </c>
      <c r="F30" t="s">
        <v>146</v>
      </c>
    </row>
    <row r="31" spans="1:10">
      <c r="A31" t="s">
        <v>190</v>
      </c>
      <c r="B31" t="s">
        <v>191</v>
      </c>
      <c r="C31" t="s">
        <v>187</v>
      </c>
      <c r="D31" s="10">
        <v>142.6</v>
      </c>
      <c r="E31" s="10">
        <v>64</v>
      </c>
      <c r="F31" t="s">
        <v>149</v>
      </c>
    </row>
    <row r="32" spans="1:10">
      <c r="A32" t="s">
        <v>192</v>
      </c>
      <c r="B32" t="s">
        <v>193</v>
      </c>
      <c r="C32" t="s">
        <v>120</v>
      </c>
      <c r="D32" s="10">
        <v>430.97</v>
      </c>
      <c r="E32" s="10">
        <v>0</v>
      </c>
      <c r="F32" t="s">
        <v>117</v>
      </c>
    </row>
    <row r="33" spans="1:6">
      <c r="A33" t="s">
        <v>194</v>
      </c>
      <c r="B33" t="s">
        <v>195</v>
      </c>
      <c r="C33" t="s">
        <v>120</v>
      </c>
      <c r="D33" s="10">
        <v>508.75</v>
      </c>
      <c r="E33" s="10">
        <v>40</v>
      </c>
      <c r="F33" t="s">
        <v>121</v>
      </c>
    </row>
    <row r="34" spans="1:6">
      <c r="A34" t="s">
        <v>196</v>
      </c>
      <c r="B34" t="s">
        <v>197</v>
      </c>
      <c r="C34" t="s">
        <v>128</v>
      </c>
      <c r="D34" s="10">
        <v>421.87</v>
      </c>
      <c r="E34" s="10">
        <v>64</v>
      </c>
      <c r="F34" t="s">
        <v>125</v>
      </c>
    </row>
    <row r="35" spans="1:6">
      <c r="A35" t="s">
        <v>198</v>
      </c>
      <c r="B35" t="s">
        <v>199</v>
      </c>
      <c r="C35" t="s">
        <v>132</v>
      </c>
      <c r="D35" s="10">
        <v>736</v>
      </c>
      <c r="E35" s="10">
        <v>74</v>
      </c>
      <c r="F35" t="s">
        <v>129</v>
      </c>
    </row>
    <row r="36" spans="1:6">
      <c r="A36" t="s">
        <v>200</v>
      </c>
      <c r="B36" t="s">
        <v>201</v>
      </c>
      <c r="C36" t="s">
        <v>132</v>
      </c>
      <c r="D36" s="10">
        <v>269.37</v>
      </c>
      <c r="E36" s="10">
        <v>8</v>
      </c>
      <c r="F36" t="s">
        <v>133</v>
      </c>
    </row>
    <row r="37" spans="1:6">
      <c r="A37" t="s">
        <v>202</v>
      </c>
      <c r="B37" t="s">
        <v>203</v>
      </c>
      <c r="C37" t="s">
        <v>145</v>
      </c>
      <c r="D37" s="10">
        <v>79.55</v>
      </c>
      <c r="E37" s="10">
        <v>18</v>
      </c>
      <c r="F37" t="s">
        <v>136</v>
      </c>
    </row>
    <row r="38" spans="1:6">
      <c r="A38" t="s">
        <v>204</v>
      </c>
      <c r="B38" t="s">
        <v>205</v>
      </c>
      <c r="C38" t="s">
        <v>120</v>
      </c>
      <c r="D38" s="10">
        <v>319.07</v>
      </c>
      <c r="E38" s="10">
        <v>19</v>
      </c>
      <c r="F38" t="s">
        <v>139</v>
      </c>
    </row>
    <row r="39" spans="1:6">
      <c r="A39" t="s">
        <v>206</v>
      </c>
      <c r="B39" t="s">
        <v>207</v>
      </c>
      <c r="C39" t="s">
        <v>145</v>
      </c>
      <c r="D39" s="10">
        <v>720.06</v>
      </c>
      <c r="E39" s="10">
        <v>95</v>
      </c>
      <c r="F39" s="2" t="s">
        <v>142</v>
      </c>
    </row>
    <row r="40" spans="1:6">
      <c r="A40" t="s">
        <v>208</v>
      </c>
      <c r="B40" t="s">
        <v>209</v>
      </c>
      <c r="C40" t="s">
        <v>132</v>
      </c>
      <c r="D40" s="10">
        <v>760.24</v>
      </c>
      <c r="E40" s="10">
        <v>48</v>
      </c>
      <c r="F40" t="s">
        <v>146</v>
      </c>
    </row>
    <row r="41" spans="1:6">
      <c r="A41" t="s">
        <v>210</v>
      </c>
      <c r="B41" t="s">
        <v>211</v>
      </c>
      <c r="C41" t="s">
        <v>187</v>
      </c>
      <c r="D41" s="10">
        <v>768.09</v>
      </c>
      <c r="E41" s="10">
        <v>0</v>
      </c>
      <c r="F41" t="s">
        <v>149</v>
      </c>
    </row>
    <row r="42" spans="1:6">
      <c r="A42" t="s">
        <v>212</v>
      </c>
      <c r="B42" t="s">
        <v>213</v>
      </c>
      <c r="C42" t="s">
        <v>120</v>
      </c>
      <c r="D42" s="10">
        <v>108.44</v>
      </c>
      <c r="E42" s="10">
        <v>0</v>
      </c>
      <c r="F42" t="s">
        <v>117</v>
      </c>
    </row>
    <row r="43" spans="1:6">
      <c r="A43" t="s">
        <v>214</v>
      </c>
      <c r="B43" t="s">
        <v>215</v>
      </c>
      <c r="C43" t="s">
        <v>145</v>
      </c>
      <c r="D43" s="10">
        <v>779.74</v>
      </c>
      <c r="E43" s="10">
        <v>53</v>
      </c>
      <c r="F43" t="s">
        <v>121</v>
      </c>
    </row>
    <row r="44" spans="1:6">
      <c r="A44" t="s">
        <v>216</v>
      </c>
      <c r="B44" t="s">
        <v>217</v>
      </c>
      <c r="C44" t="s">
        <v>132</v>
      </c>
      <c r="D44" s="10">
        <v>636.39</v>
      </c>
      <c r="E44" s="10">
        <v>46</v>
      </c>
      <c r="F44" t="s">
        <v>125</v>
      </c>
    </row>
    <row r="45" spans="1:6">
      <c r="A45" t="s">
        <v>218</v>
      </c>
      <c r="B45" t="s">
        <v>219</v>
      </c>
      <c r="C45" t="s">
        <v>132</v>
      </c>
      <c r="D45" s="10">
        <v>191.12</v>
      </c>
      <c r="E45" s="10">
        <v>40</v>
      </c>
      <c r="F45" t="s">
        <v>129</v>
      </c>
    </row>
    <row r="46" spans="1:6">
      <c r="A46" t="s">
        <v>220</v>
      </c>
      <c r="B46" t="s">
        <v>221</v>
      </c>
      <c r="C46" t="s">
        <v>128</v>
      </c>
      <c r="D46" s="10">
        <v>990.39</v>
      </c>
      <c r="E46" s="10">
        <v>49</v>
      </c>
      <c r="F46" t="s">
        <v>133</v>
      </c>
    </row>
    <row r="47" spans="1:6">
      <c r="A47" t="s">
        <v>222</v>
      </c>
      <c r="B47" t="s">
        <v>223</v>
      </c>
      <c r="C47" t="s">
        <v>132</v>
      </c>
      <c r="D47" s="10">
        <v>797.12</v>
      </c>
      <c r="E47" s="10">
        <v>63</v>
      </c>
      <c r="F47" t="s">
        <v>136</v>
      </c>
    </row>
    <row r="48" spans="1:6">
      <c r="A48" t="s">
        <v>224</v>
      </c>
      <c r="B48" t="s">
        <v>225</v>
      </c>
      <c r="C48" t="s">
        <v>187</v>
      </c>
      <c r="D48" s="10">
        <v>635.09</v>
      </c>
      <c r="E48" s="10">
        <v>73</v>
      </c>
      <c r="F48" t="s">
        <v>139</v>
      </c>
    </row>
    <row r="49" spans="1:6">
      <c r="A49" t="s">
        <v>226</v>
      </c>
      <c r="B49" t="s">
        <v>227</v>
      </c>
      <c r="C49" t="s">
        <v>128</v>
      </c>
      <c r="D49" s="10">
        <v>394.76</v>
      </c>
      <c r="E49" s="10">
        <v>15</v>
      </c>
      <c r="F49" s="2" t="s">
        <v>142</v>
      </c>
    </row>
    <row r="50" spans="1:6">
      <c r="A50" t="s">
        <v>228</v>
      </c>
      <c r="B50" t="s">
        <v>229</v>
      </c>
      <c r="C50" t="s">
        <v>128</v>
      </c>
      <c r="D50" s="10">
        <v>291.57</v>
      </c>
      <c r="E50" s="10">
        <v>45</v>
      </c>
      <c r="F50" t="s">
        <v>146</v>
      </c>
    </row>
    <row r="51" spans="1:6">
      <c r="A51" t="s">
        <v>230</v>
      </c>
      <c r="B51" t="s">
        <v>231</v>
      </c>
      <c r="C51" t="s">
        <v>187</v>
      </c>
      <c r="D51" s="10">
        <v>451.98</v>
      </c>
      <c r="E51" s="10">
        <v>16</v>
      </c>
      <c r="F51" t="s">
        <v>149</v>
      </c>
    </row>
    <row r="52" spans="1:6">
      <c r="A52" t="s">
        <v>232</v>
      </c>
      <c r="B52" t="s">
        <v>233</v>
      </c>
      <c r="C52" t="s">
        <v>120</v>
      </c>
      <c r="D52" s="10">
        <v>699.79</v>
      </c>
      <c r="E52" s="10">
        <v>74</v>
      </c>
      <c r="F52" t="s">
        <v>117</v>
      </c>
    </row>
    <row r="53" spans="1:6">
      <c r="A53" t="s">
        <v>234</v>
      </c>
      <c r="B53" t="s">
        <v>235</v>
      </c>
      <c r="C53" t="s">
        <v>120</v>
      </c>
      <c r="D53" s="10">
        <v>844.49</v>
      </c>
      <c r="E53" s="10">
        <v>42</v>
      </c>
      <c r="F53" t="s">
        <v>121</v>
      </c>
    </row>
    <row r="54" spans="1:6">
      <c r="A54" t="s">
        <v>236</v>
      </c>
      <c r="B54" t="s">
        <v>237</v>
      </c>
      <c r="C54" t="s">
        <v>187</v>
      </c>
      <c r="D54" s="10">
        <v>733.54</v>
      </c>
      <c r="E54" s="10">
        <v>84</v>
      </c>
      <c r="F54" t="s">
        <v>125</v>
      </c>
    </row>
    <row r="55" spans="1:6">
      <c r="A55" t="s">
        <v>238</v>
      </c>
      <c r="B55" t="s">
        <v>239</v>
      </c>
      <c r="C55" t="s">
        <v>187</v>
      </c>
      <c r="D55" s="10">
        <v>652.5</v>
      </c>
      <c r="E55" s="10">
        <v>97</v>
      </c>
      <c r="F55" t="s">
        <v>129</v>
      </c>
    </row>
    <row r="56" spans="1:6">
      <c r="A56" t="s">
        <v>240</v>
      </c>
      <c r="B56" t="s">
        <v>241</v>
      </c>
      <c r="C56" t="s">
        <v>128</v>
      </c>
      <c r="D56" s="10">
        <v>195.42</v>
      </c>
      <c r="E56" s="10">
        <v>50</v>
      </c>
      <c r="F56" t="s">
        <v>133</v>
      </c>
    </row>
    <row r="57" spans="1:6">
      <c r="A57" t="s">
        <v>242</v>
      </c>
      <c r="B57" t="s">
        <v>243</v>
      </c>
      <c r="C57" t="s">
        <v>128</v>
      </c>
      <c r="D57" s="10">
        <v>695.68</v>
      </c>
      <c r="E57" s="10">
        <v>28</v>
      </c>
      <c r="F57" t="s">
        <v>136</v>
      </c>
    </row>
    <row r="58" spans="1:6">
      <c r="A58" t="s">
        <v>244</v>
      </c>
      <c r="B58" t="s">
        <v>245</v>
      </c>
      <c r="C58" t="s">
        <v>145</v>
      </c>
      <c r="D58" s="10">
        <v>585.20000000000005</v>
      </c>
      <c r="E58" s="10">
        <v>67</v>
      </c>
      <c r="F58" t="s">
        <v>139</v>
      </c>
    </row>
    <row r="59" spans="1:6">
      <c r="A59" t="s">
        <v>246</v>
      </c>
      <c r="B59" t="s">
        <v>247</v>
      </c>
      <c r="C59" t="s">
        <v>128</v>
      </c>
      <c r="D59" s="10">
        <v>607.80999999999995</v>
      </c>
      <c r="E59" s="10">
        <v>76</v>
      </c>
      <c r="F59" s="2" t="s">
        <v>142</v>
      </c>
    </row>
    <row r="60" spans="1:6">
      <c r="A60" t="s">
        <v>248</v>
      </c>
      <c r="B60" t="s">
        <v>249</v>
      </c>
      <c r="C60" t="s">
        <v>132</v>
      </c>
      <c r="D60" s="10">
        <v>367.37</v>
      </c>
      <c r="E60" s="10">
        <v>56</v>
      </c>
      <c r="F60" t="s">
        <v>146</v>
      </c>
    </row>
    <row r="61" spans="1:6">
      <c r="A61" t="s">
        <v>250</v>
      </c>
      <c r="B61" t="s">
        <v>251</v>
      </c>
      <c r="C61" t="s">
        <v>187</v>
      </c>
      <c r="D61" s="10">
        <v>474</v>
      </c>
      <c r="E61" s="10">
        <v>48</v>
      </c>
      <c r="F61" t="s">
        <v>149</v>
      </c>
    </row>
    <row r="62" spans="1:6">
      <c r="A62" t="s">
        <v>252</v>
      </c>
      <c r="B62" t="s">
        <v>253</v>
      </c>
      <c r="C62" t="s">
        <v>145</v>
      </c>
      <c r="D62" s="10">
        <v>679.73</v>
      </c>
      <c r="E62" s="10">
        <v>91</v>
      </c>
      <c r="F62" t="s">
        <v>117</v>
      </c>
    </row>
    <row r="63" spans="1:6">
      <c r="A63" t="s">
        <v>254</v>
      </c>
      <c r="B63" t="s">
        <v>255</v>
      </c>
      <c r="C63" t="s">
        <v>128</v>
      </c>
      <c r="D63" s="10">
        <v>492.24</v>
      </c>
      <c r="E63" s="10">
        <v>0</v>
      </c>
      <c r="F63" t="s">
        <v>121</v>
      </c>
    </row>
    <row r="64" spans="1:6">
      <c r="A64" t="s">
        <v>256</v>
      </c>
      <c r="B64" t="s">
        <v>257</v>
      </c>
      <c r="C64" t="s">
        <v>145</v>
      </c>
      <c r="D64" s="10">
        <v>823.49</v>
      </c>
      <c r="E64" s="10">
        <v>6</v>
      </c>
      <c r="F64" t="s">
        <v>125</v>
      </c>
    </row>
    <row r="65" spans="1:6">
      <c r="A65" t="s">
        <v>258</v>
      </c>
      <c r="B65" t="s">
        <v>259</v>
      </c>
      <c r="C65" t="s">
        <v>132</v>
      </c>
      <c r="D65" s="10">
        <v>117.4</v>
      </c>
      <c r="E65" s="10">
        <v>0</v>
      </c>
      <c r="F65" t="s">
        <v>129</v>
      </c>
    </row>
    <row r="66" spans="1:6">
      <c r="A66" t="s">
        <v>260</v>
      </c>
      <c r="B66" t="s">
        <v>261</v>
      </c>
      <c r="C66" t="s">
        <v>132</v>
      </c>
      <c r="D66" s="10">
        <v>628.92999999999995</v>
      </c>
      <c r="E66" s="10">
        <v>8</v>
      </c>
      <c r="F66" t="s">
        <v>133</v>
      </c>
    </row>
    <row r="67" spans="1:6">
      <c r="A67" t="s">
        <v>262</v>
      </c>
      <c r="B67" t="s">
        <v>263</v>
      </c>
      <c r="C67" t="s">
        <v>145</v>
      </c>
      <c r="D67" s="10">
        <v>678.41</v>
      </c>
      <c r="E67" s="10">
        <v>54</v>
      </c>
      <c r="F67" t="s">
        <v>136</v>
      </c>
    </row>
    <row r="68" spans="1:6">
      <c r="A68" t="s">
        <v>264</v>
      </c>
      <c r="B68" t="s">
        <v>265</v>
      </c>
      <c r="C68" t="s">
        <v>187</v>
      </c>
      <c r="D68" s="10">
        <v>135.61000000000001</v>
      </c>
      <c r="E68" s="10">
        <v>57</v>
      </c>
      <c r="F68" t="s">
        <v>139</v>
      </c>
    </row>
    <row r="69" spans="1:6">
      <c r="A69" t="s">
        <v>266</v>
      </c>
      <c r="B69" t="s">
        <v>267</v>
      </c>
      <c r="C69" t="s">
        <v>187</v>
      </c>
      <c r="D69" s="10">
        <v>465.71</v>
      </c>
      <c r="E69" s="10">
        <v>64</v>
      </c>
      <c r="F69" s="2" t="s">
        <v>142</v>
      </c>
    </row>
    <row r="70" spans="1:6">
      <c r="A70" t="s">
        <v>268</v>
      </c>
      <c r="B70" t="s">
        <v>269</v>
      </c>
      <c r="C70" t="s">
        <v>128</v>
      </c>
      <c r="D70" s="10">
        <v>225.49</v>
      </c>
      <c r="E70" s="10">
        <v>67</v>
      </c>
      <c r="F70" t="s">
        <v>146</v>
      </c>
    </row>
    <row r="71" spans="1:6">
      <c r="A71" t="s">
        <v>270</v>
      </c>
      <c r="B71" t="s">
        <v>271</v>
      </c>
      <c r="C71" t="s">
        <v>120</v>
      </c>
      <c r="D71" s="10">
        <v>431.57</v>
      </c>
      <c r="E71" s="10">
        <v>9</v>
      </c>
      <c r="F71" t="s">
        <v>149</v>
      </c>
    </row>
    <row r="72" spans="1:6">
      <c r="A72" t="s">
        <v>272</v>
      </c>
      <c r="B72" t="s">
        <v>273</v>
      </c>
      <c r="C72" t="s">
        <v>187</v>
      </c>
      <c r="D72" s="10">
        <v>230.14</v>
      </c>
      <c r="E72" s="10">
        <v>56</v>
      </c>
      <c r="F72" t="s">
        <v>117</v>
      </c>
    </row>
    <row r="73" spans="1:6">
      <c r="A73" t="s">
        <v>274</v>
      </c>
      <c r="B73" t="s">
        <v>275</v>
      </c>
      <c r="C73" t="s">
        <v>187</v>
      </c>
      <c r="D73" s="10">
        <v>955.7</v>
      </c>
      <c r="E73" s="10">
        <v>63</v>
      </c>
      <c r="F73" t="s">
        <v>121</v>
      </c>
    </row>
    <row r="74" spans="1:6">
      <c r="A74" t="s">
        <v>276</v>
      </c>
      <c r="B74" t="s">
        <v>277</v>
      </c>
      <c r="C74" t="s">
        <v>128</v>
      </c>
      <c r="D74" s="10">
        <v>270.33</v>
      </c>
      <c r="E74" s="10">
        <v>66</v>
      </c>
      <c r="F74" t="s">
        <v>125</v>
      </c>
    </row>
    <row r="75" spans="1:6">
      <c r="A75" t="s">
        <v>278</v>
      </c>
      <c r="B75" t="s">
        <v>279</v>
      </c>
      <c r="C75" t="s">
        <v>132</v>
      </c>
      <c r="D75" s="10">
        <v>411.36</v>
      </c>
      <c r="E75" s="10">
        <v>74</v>
      </c>
      <c r="F75" t="s">
        <v>129</v>
      </c>
    </row>
    <row r="76" spans="1:6">
      <c r="A76" t="s">
        <v>280</v>
      </c>
      <c r="B76" t="s">
        <v>281</v>
      </c>
      <c r="C76" t="s">
        <v>128</v>
      </c>
      <c r="D76" s="10">
        <v>132.56</v>
      </c>
      <c r="E76" s="10">
        <v>4</v>
      </c>
      <c r="F76" t="s">
        <v>133</v>
      </c>
    </row>
    <row r="77" spans="1:6">
      <c r="A77" t="s">
        <v>282</v>
      </c>
      <c r="B77" t="s">
        <v>283</v>
      </c>
      <c r="C77" t="s">
        <v>132</v>
      </c>
      <c r="D77" s="10">
        <v>527.69000000000005</v>
      </c>
      <c r="E77" s="10">
        <v>97</v>
      </c>
      <c r="F77" t="s">
        <v>136</v>
      </c>
    </row>
    <row r="78" spans="1:6">
      <c r="A78" t="s">
        <v>284</v>
      </c>
      <c r="B78" t="s">
        <v>285</v>
      </c>
      <c r="C78" t="s">
        <v>145</v>
      </c>
      <c r="D78" s="10">
        <v>580.25</v>
      </c>
      <c r="E78" s="10">
        <v>21</v>
      </c>
      <c r="F78" t="s">
        <v>139</v>
      </c>
    </row>
    <row r="79" spans="1:6">
      <c r="A79" t="s">
        <v>286</v>
      </c>
      <c r="B79" t="s">
        <v>287</v>
      </c>
      <c r="C79" t="s">
        <v>120</v>
      </c>
      <c r="D79" s="10">
        <v>626.32000000000005</v>
      </c>
      <c r="E79" s="10">
        <v>65</v>
      </c>
      <c r="F79" s="2" t="s">
        <v>142</v>
      </c>
    </row>
    <row r="80" spans="1:6">
      <c r="A80" t="s">
        <v>288</v>
      </c>
      <c r="B80" t="s">
        <v>289</v>
      </c>
      <c r="C80" t="s">
        <v>145</v>
      </c>
      <c r="D80" s="10">
        <v>828.12</v>
      </c>
      <c r="E80" s="10">
        <v>84</v>
      </c>
      <c r="F80" t="s">
        <v>146</v>
      </c>
    </row>
    <row r="81" spans="1:6">
      <c r="A81" t="s">
        <v>290</v>
      </c>
      <c r="B81" t="s">
        <v>291</v>
      </c>
      <c r="C81" t="s">
        <v>120</v>
      </c>
      <c r="D81" s="10">
        <v>219.41</v>
      </c>
      <c r="E81" s="10">
        <v>18</v>
      </c>
      <c r="F81" t="s">
        <v>149</v>
      </c>
    </row>
    <row r="82" spans="1:6">
      <c r="A82" t="s">
        <v>292</v>
      </c>
      <c r="B82" t="s">
        <v>293</v>
      </c>
      <c r="C82" t="s">
        <v>187</v>
      </c>
      <c r="D82" s="10">
        <v>490.56</v>
      </c>
      <c r="E82" s="10">
        <v>4</v>
      </c>
      <c r="F82" t="s">
        <v>117</v>
      </c>
    </row>
    <row r="83" spans="1:6">
      <c r="A83" t="s">
        <v>294</v>
      </c>
      <c r="B83" t="s">
        <v>295</v>
      </c>
      <c r="C83" t="s">
        <v>187</v>
      </c>
      <c r="D83" s="10">
        <v>72.930000000000007</v>
      </c>
      <c r="E83" s="10">
        <v>1</v>
      </c>
      <c r="F83" t="s">
        <v>121</v>
      </c>
    </row>
    <row r="84" spans="1:6">
      <c r="A84" t="s">
        <v>296</v>
      </c>
      <c r="B84" t="s">
        <v>297</v>
      </c>
      <c r="C84" t="s">
        <v>120</v>
      </c>
      <c r="D84" s="10">
        <v>792.19</v>
      </c>
      <c r="E84" s="10">
        <v>41</v>
      </c>
      <c r="F84" t="s">
        <v>125</v>
      </c>
    </row>
    <row r="85" spans="1:6">
      <c r="A85" t="s">
        <v>298</v>
      </c>
      <c r="B85" t="s">
        <v>299</v>
      </c>
      <c r="C85" t="s">
        <v>132</v>
      </c>
      <c r="D85" s="10">
        <v>329.11</v>
      </c>
      <c r="E85" s="10">
        <v>68</v>
      </c>
      <c r="F85" t="s">
        <v>129</v>
      </c>
    </row>
    <row r="86" spans="1:6">
      <c r="A86" t="s">
        <v>300</v>
      </c>
      <c r="B86" t="s">
        <v>301</v>
      </c>
      <c r="C86" t="s">
        <v>132</v>
      </c>
      <c r="D86" s="10">
        <v>536.46</v>
      </c>
      <c r="E86" s="10">
        <v>25</v>
      </c>
      <c r="F86" t="s">
        <v>133</v>
      </c>
    </row>
    <row r="87" spans="1:6">
      <c r="A87" t="s">
        <v>302</v>
      </c>
      <c r="B87" t="s">
        <v>303</v>
      </c>
      <c r="C87" t="s">
        <v>128</v>
      </c>
      <c r="D87" s="10">
        <v>112.84</v>
      </c>
      <c r="E87" s="10">
        <v>67</v>
      </c>
      <c r="F87" t="s">
        <v>136</v>
      </c>
    </row>
    <row r="88" spans="1:6">
      <c r="A88" t="s">
        <v>304</v>
      </c>
      <c r="B88" t="s">
        <v>305</v>
      </c>
      <c r="C88" t="s">
        <v>120</v>
      </c>
      <c r="D88" s="10">
        <v>340.83</v>
      </c>
      <c r="E88" s="10">
        <v>9</v>
      </c>
      <c r="F88" t="s">
        <v>139</v>
      </c>
    </row>
    <row r="89" spans="1:6">
      <c r="A89" t="s">
        <v>306</v>
      </c>
      <c r="B89" t="s">
        <v>307</v>
      </c>
      <c r="C89" t="s">
        <v>132</v>
      </c>
      <c r="D89" s="10">
        <v>995.34</v>
      </c>
      <c r="E89" s="10">
        <v>77</v>
      </c>
      <c r="F89" s="2" t="s">
        <v>142</v>
      </c>
    </row>
    <row r="90" spans="1:6">
      <c r="A90" t="s">
        <v>308</v>
      </c>
      <c r="B90" t="s">
        <v>309</v>
      </c>
      <c r="C90" t="s">
        <v>132</v>
      </c>
      <c r="D90" s="10">
        <v>769.9</v>
      </c>
      <c r="E90" s="10">
        <v>99</v>
      </c>
      <c r="F90" t="s">
        <v>146</v>
      </c>
    </row>
    <row r="91" spans="1:6">
      <c r="A91" t="s">
        <v>310</v>
      </c>
      <c r="B91" t="s">
        <v>311</v>
      </c>
      <c r="C91" t="s">
        <v>120</v>
      </c>
      <c r="D91" s="10">
        <v>475.06</v>
      </c>
      <c r="E91" s="10">
        <v>95</v>
      </c>
      <c r="F91" t="s">
        <v>149</v>
      </c>
    </row>
    <row r="92" spans="1:6">
      <c r="A92" t="s">
        <v>312</v>
      </c>
      <c r="B92" t="s">
        <v>313</v>
      </c>
      <c r="C92" t="s">
        <v>132</v>
      </c>
      <c r="D92" s="10">
        <v>984.78</v>
      </c>
      <c r="E92" s="10">
        <v>59</v>
      </c>
      <c r="F92" t="s">
        <v>117</v>
      </c>
    </row>
    <row r="93" spans="1:6">
      <c r="A93" t="s">
        <v>314</v>
      </c>
      <c r="B93" t="s">
        <v>315</v>
      </c>
      <c r="C93" t="s">
        <v>132</v>
      </c>
      <c r="D93" s="10">
        <v>827.37</v>
      </c>
      <c r="E93" s="10">
        <v>39</v>
      </c>
      <c r="F93" t="s">
        <v>121</v>
      </c>
    </row>
    <row r="94" spans="1:6">
      <c r="A94" t="s">
        <v>316</v>
      </c>
      <c r="B94" t="s">
        <v>317</v>
      </c>
      <c r="C94" t="s">
        <v>128</v>
      </c>
      <c r="D94" s="10">
        <v>583.88</v>
      </c>
      <c r="E94" s="10">
        <v>20</v>
      </c>
      <c r="F94" t="s">
        <v>125</v>
      </c>
    </row>
    <row r="95" spans="1:6">
      <c r="A95" t="s">
        <v>318</v>
      </c>
      <c r="B95" t="s">
        <v>319</v>
      </c>
      <c r="C95" t="s">
        <v>187</v>
      </c>
      <c r="D95" s="10">
        <v>147.41999999999999</v>
      </c>
      <c r="E95" s="10">
        <v>68</v>
      </c>
      <c r="F95" t="s">
        <v>129</v>
      </c>
    </row>
    <row r="96" spans="1:6">
      <c r="A96" t="s">
        <v>320</v>
      </c>
      <c r="B96" t="s">
        <v>321</v>
      </c>
      <c r="C96" t="s">
        <v>187</v>
      </c>
      <c r="D96" s="10">
        <v>728.6</v>
      </c>
      <c r="E96" s="10">
        <v>30</v>
      </c>
      <c r="F96" t="s">
        <v>133</v>
      </c>
    </row>
    <row r="97" spans="1:6">
      <c r="A97" t="s">
        <v>322</v>
      </c>
      <c r="B97" t="s">
        <v>323</v>
      </c>
      <c r="C97" t="s">
        <v>145</v>
      </c>
      <c r="D97" s="10">
        <v>590.16</v>
      </c>
      <c r="E97" s="10">
        <v>63</v>
      </c>
      <c r="F97" t="s">
        <v>136</v>
      </c>
    </row>
    <row r="98" spans="1:6">
      <c r="A98" t="s">
        <v>324</v>
      </c>
      <c r="B98" t="s">
        <v>325</v>
      </c>
      <c r="C98" t="s">
        <v>120</v>
      </c>
      <c r="D98" s="10">
        <v>889.08</v>
      </c>
      <c r="E98" s="10">
        <v>9</v>
      </c>
      <c r="F98" t="s">
        <v>139</v>
      </c>
    </row>
    <row r="99" spans="1:6">
      <c r="A99" t="s">
        <v>326</v>
      </c>
      <c r="B99" t="s">
        <v>327</v>
      </c>
      <c r="C99" t="s">
        <v>187</v>
      </c>
      <c r="D99" s="10">
        <v>57.22</v>
      </c>
      <c r="E99" s="10">
        <v>34</v>
      </c>
      <c r="F99" s="2" t="s">
        <v>142</v>
      </c>
    </row>
    <row r="100" spans="1:6">
      <c r="A100" t="s">
        <v>328</v>
      </c>
      <c r="B100" t="s">
        <v>329</v>
      </c>
      <c r="C100" t="s">
        <v>120</v>
      </c>
      <c r="D100" s="10">
        <v>401.24</v>
      </c>
      <c r="E100" s="10">
        <v>43</v>
      </c>
      <c r="F100" t="s">
        <v>146</v>
      </c>
    </row>
    <row r="101" spans="1:6">
      <c r="A101" t="s">
        <v>330</v>
      </c>
      <c r="B101" t="s">
        <v>331</v>
      </c>
      <c r="C101" t="s">
        <v>132</v>
      </c>
      <c r="D101" s="10">
        <v>796.33</v>
      </c>
      <c r="E101" s="10">
        <v>99</v>
      </c>
      <c r="F101" t="s">
        <v>149</v>
      </c>
    </row>
    <row r="102" spans="1:6">
      <c r="A102" t="s">
        <v>332</v>
      </c>
      <c r="B102" t="s">
        <v>333</v>
      </c>
      <c r="C102" t="s">
        <v>128</v>
      </c>
      <c r="D102" s="10">
        <v>802.31</v>
      </c>
      <c r="E102" s="10">
        <v>97</v>
      </c>
      <c r="F102" t="s">
        <v>117</v>
      </c>
    </row>
    <row r="103" spans="1:6">
      <c r="A103" t="s">
        <v>334</v>
      </c>
      <c r="B103" t="s">
        <v>335</v>
      </c>
      <c r="C103" t="s">
        <v>120</v>
      </c>
      <c r="D103" s="10">
        <v>612.07000000000005</v>
      </c>
      <c r="E103" s="10">
        <v>25</v>
      </c>
      <c r="F103" t="s">
        <v>121</v>
      </c>
    </row>
    <row r="104" spans="1:6">
      <c r="A104" t="s">
        <v>336</v>
      </c>
      <c r="B104" t="s">
        <v>337</v>
      </c>
      <c r="C104" t="s">
        <v>187</v>
      </c>
      <c r="D104" s="10">
        <v>366.32</v>
      </c>
      <c r="E104" s="10">
        <v>12</v>
      </c>
      <c r="F104" t="s">
        <v>125</v>
      </c>
    </row>
    <row r="105" spans="1:6">
      <c r="A105" t="s">
        <v>338</v>
      </c>
      <c r="B105" t="s">
        <v>339</v>
      </c>
      <c r="C105" t="s">
        <v>128</v>
      </c>
      <c r="D105" s="10">
        <v>241.28</v>
      </c>
      <c r="E105" s="10">
        <v>21</v>
      </c>
      <c r="F105" t="s">
        <v>129</v>
      </c>
    </row>
    <row r="106" spans="1:6">
      <c r="A106" t="s">
        <v>340</v>
      </c>
      <c r="B106" t="s">
        <v>341</v>
      </c>
      <c r="C106" t="s">
        <v>128</v>
      </c>
      <c r="D106" s="10">
        <v>55.88</v>
      </c>
      <c r="E106" s="10">
        <v>11</v>
      </c>
      <c r="F106" t="s">
        <v>133</v>
      </c>
    </row>
    <row r="107" spans="1:6">
      <c r="A107" t="s">
        <v>342</v>
      </c>
      <c r="B107" t="s">
        <v>343</v>
      </c>
      <c r="C107" t="s">
        <v>145</v>
      </c>
      <c r="D107" s="10">
        <v>876.55</v>
      </c>
      <c r="E107" s="10">
        <v>0</v>
      </c>
      <c r="F107" t="s">
        <v>136</v>
      </c>
    </row>
    <row r="108" spans="1:6">
      <c r="A108" t="s">
        <v>344</v>
      </c>
      <c r="B108" t="s">
        <v>345</v>
      </c>
      <c r="C108" t="s">
        <v>187</v>
      </c>
      <c r="D108" s="10">
        <v>411.54</v>
      </c>
      <c r="E108" s="10">
        <v>98</v>
      </c>
      <c r="F108" t="s">
        <v>139</v>
      </c>
    </row>
    <row r="109" spans="1:6">
      <c r="A109" t="s">
        <v>346</v>
      </c>
      <c r="B109" t="s">
        <v>347</v>
      </c>
      <c r="C109" t="s">
        <v>128</v>
      </c>
      <c r="D109" s="10">
        <v>756.41</v>
      </c>
      <c r="E109" s="10">
        <v>63</v>
      </c>
      <c r="F109" s="2" t="s">
        <v>142</v>
      </c>
    </row>
    <row r="110" spans="1:6">
      <c r="A110" t="s">
        <v>348</v>
      </c>
      <c r="B110" t="s">
        <v>349</v>
      </c>
      <c r="C110" t="s">
        <v>145</v>
      </c>
      <c r="D110" s="10">
        <v>302.37</v>
      </c>
      <c r="E110" s="10">
        <v>75</v>
      </c>
      <c r="F110" t="s">
        <v>146</v>
      </c>
    </row>
    <row r="111" spans="1:6">
      <c r="A111" t="s">
        <v>350</v>
      </c>
      <c r="B111" t="s">
        <v>351</v>
      </c>
      <c r="C111" t="s">
        <v>145</v>
      </c>
      <c r="D111" s="10">
        <v>510.18</v>
      </c>
      <c r="E111" s="10">
        <v>86</v>
      </c>
      <c r="F111" t="s">
        <v>149</v>
      </c>
    </row>
    <row r="112" spans="1:6">
      <c r="A112" t="s">
        <v>352</v>
      </c>
      <c r="B112" t="s">
        <v>353</v>
      </c>
      <c r="C112" t="s">
        <v>132</v>
      </c>
      <c r="D112" s="10">
        <v>220.09</v>
      </c>
      <c r="E112" s="10">
        <v>82</v>
      </c>
      <c r="F112" t="s">
        <v>117</v>
      </c>
    </row>
    <row r="113" spans="1:6">
      <c r="A113" t="s">
        <v>354</v>
      </c>
      <c r="B113" t="s">
        <v>355</v>
      </c>
      <c r="C113" t="s">
        <v>145</v>
      </c>
      <c r="D113" s="10">
        <v>601.62</v>
      </c>
      <c r="E113" s="10">
        <v>42</v>
      </c>
      <c r="F113" t="s">
        <v>121</v>
      </c>
    </row>
    <row r="114" spans="1:6">
      <c r="A114" t="s">
        <v>356</v>
      </c>
      <c r="B114" t="s">
        <v>357</v>
      </c>
      <c r="C114" t="s">
        <v>120</v>
      </c>
      <c r="D114" s="10">
        <v>919.78</v>
      </c>
      <c r="E114" s="10">
        <v>90</v>
      </c>
      <c r="F114" t="s">
        <v>125</v>
      </c>
    </row>
    <row r="115" spans="1:6">
      <c r="A115" t="s">
        <v>358</v>
      </c>
      <c r="B115" t="s">
        <v>359</v>
      </c>
      <c r="C115" t="s">
        <v>187</v>
      </c>
      <c r="D115" s="10">
        <v>290.58999999999997</v>
      </c>
      <c r="E115" s="10">
        <v>55</v>
      </c>
      <c r="F115" t="s">
        <v>129</v>
      </c>
    </row>
    <row r="116" spans="1:6">
      <c r="A116" t="s">
        <v>360</v>
      </c>
      <c r="B116" t="s">
        <v>361</v>
      </c>
      <c r="C116" t="s">
        <v>120</v>
      </c>
      <c r="D116" s="10">
        <v>237.22</v>
      </c>
      <c r="E116" s="10">
        <v>42</v>
      </c>
      <c r="F116" t="s">
        <v>133</v>
      </c>
    </row>
    <row r="117" spans="1:6">
      <c r="A117" t="s">
        <v>362</v>
      </c>
      <c r="B117" t="s">
        <v>363</v>
      </c>
      <c r="C117" t="s">
        <v>128</v>
      </c>
      <c r="D117" s="10">
        <v>100.65</v>
      </c>
      <c r="E117" s="10">
        <v>84</v>
      </c>
      <c r="F117" t="s">
        <v>136</v>
      </c>
    </row>
    <row r="118" spans="1:6">
      <c r="A118" t="s">
        <v>364</v>
      </c>
      <c r="B118" t="s">
        <v>365</v>
      </c>
      <c r="C118" t="s">
        <v>120</v>
      </c>
      <c r="D118" s="10">
        <v>274.7</v>
      </c>
      <c r="E118" s="10">
        <v>96</v>
      </c>
      <c r="F118" t="s">
        <v>139</v>
      </c>
    </row>
    <row r="119" spans="1:6">
      <c r="A119" t="s">
        <v>366</v>
      </c>
      <c r="B119" t="s">
        <v>367</v>
      </c>
      <c r="C119" t="s">
        <v>145</v>
      </c>
      <c r="D119" s="10">
        <v>524.96</v>
      </c>
      <c r="E119" s="10">
        <v>62</v>
      </c>
      <c r="F119" s="2" t="s">
        <v>142</v>
      </c>
    </row>
    <row r="120" spans="1:6">
      <c r="A120" t="s">
        <v>368</v>
      </c>
      <c r="B120" t="s">
        <v>369</v>
      </c>
      <c r="C120" t="s">
        <v>120</v>
      </c>
      <c r="D120" s="10">
        <v>794.42</v>
      </c>
      <c r="E120" s="10">
        <v>25</v>
      </c>
      <c r="F120" t="s">
        <v>146</v>
      </c>
    </row>
    <row r="121" spans="1:6">
      <c r="A121" t="s">
        <v>370</v>
      </c>
      <c r="B121" t="s">
        <v>371</v>
      </c>
      <c r="C121" t="s">
        <v>145</v>
      </c>
      <c r="D121" s="10">
        <v>466.35</v>
      </c>
      <c r="E121" s="10">
        <v>36</v>
      </c>
      <c r="F121" t="s">
        <v>149</v>
      </c>
    </row>
    <row r="122" spans="1:6">
      <c r="A122" t="s">
        <v>372</v>
      </c>
      <c r="B122" t="s">
        <v>373</v>
      </c>
      <c r="C122" t="s">
        <v>120</v>
      </c>
      <c r="D122" s="10">
        <v>304.88</v>
      </c>
      <c r="E122" s="10">
        <v>68</v>
      </c>
      <c r="F122" t="s">
        <v>117</v>
      </c>
    </row>
    <row r="123" spans="1:6">
      <c r="A123" t="s">
        <v>374</v>
      </c>
      <c r="B123" t="s">
        <v>375</v>
      </c>
      <c r="C123" t="s">
        <v>120</v>
      </c>
      <c r="D123" s="10">
        <v>134.71</v>
      </c>
      <c r="E123" s="10">
        <v>45</v>
      </c>
      <c r="F123" t="s">
        <v>121</v>
      </c>
    </row>
    <row r="124" spans="1:6">
      <c r="A124" t="s">
        <v>376</v>
      </c>
      <c r="B124" t="s">
        <v>377</v>
      </c>
      <c r="C124" t="s">
        <v>132</v>
      </c>
      <c r="D124" s="10">
        <v>458.52</v>
      </c>
      <c r="E124" s="10">
        <v>76</v>
      </c>
      <c r="F124" t="s">
        <v>125</v>
      </c>
    </row>
    <row r="125" spans="1:6">
      <c r="A125" t="s">
        <v>378</v>
      </c>
      <c r="B125" t="s">
        <v>379</v>
      </c>
      <c r="C125" t="s">
        <v>187</v>
      </c>
      <c r="D125" s="10">
        <v>892.51</v>
      </c>
      <c r="E125" s="10">
        <v>80</v>
      </c>
      <c r="F125" t="s">
        <v>129</v>
      </c>
    </row>
    <row r="126" spans="1:6">
      <c r="A126" t="s">
        <v>380</v>
      </c>
      <c r="B126" t="s">
        <v>381</v>
      </c>
      <c r="C126" t="s">
        <v>128</v>
      </c>
      <c r="D126" s="10">
        <v>884.02</v>
      </c>
      <c r="E126" s="10">
        <v>41</v>
      </c>
      <c r="F126" t="s">
        <v>133</v>
      </c>
    </row>
    <row r="127" spans="1:6">
      <c r="A127" t="s">
        <v>382</v>
      </c>
      <c r="B127" t="s">
        <v>383</v>
      </c>
      <c r="C127" t="s">
        <v>120</v>
      </c>
      <c r="D127" s="10">
        <v>987.58</v>
      </c>
      <c r="E127" s="10">
        <v>84</v>
      </c>
      <c r="F127" t="s">
        <v>136</v>
      </c>
    </row>
    <row r="128" spans="1:6">
      <c r="A128" t="s">
        <v>384</v>
      </c>
      <c r="B128" t="s">
        <v>385</v>
      </c>
      <c r="C128" t="s">
        <v>128</v>
      </c>
      <c r="D128" s="10">
        <v>377.17</v>
      </c>
      <c r="E128" s="10">
        <v>94</v>
      </c>
      <c r="F128" t="s">
        <v>139</v>
      </c>
    </row>
    <row r="129" spans="1:6">
      <c r="A129" t="s">
        <v>386</v>
      </c>
      <c r="B129" t="s">
        <v>387</v>
      </c>
      <c r="C129" t="s">
        <v>128</v>
      </c>
      <c r="D129" s="10">
        <v>163.44</v>
      </c>
      <c r="E129" s="10">
        <v>12</v>
      </c>
      <c r="F129" s="2" t="s">
        <v>142</v>
      </c>
    </row>
    <row r="130" spans="1:6">
      <c r="A130" t="s">
        <v>388</v>
      </c>
      <c r="B130" t="s">
        <v>389</v>
      </c>
      <c r="C130" t="s">
        <v>187</v>
      </c>
      <c r="D130" s="10">
        <v>328.15</v>
      </c>
      <c r="E130" s="10">
        <v>70</v>
      </c>
      <c r="F130" t="s">
        <v>146</v>
      </c>
    </row>
    <row r="131" spans="1:6">
      <c r="A131" t="s">
        <v>390</v>
      </c>
      <c r="B131" t="s">
        <v>391</v>
      </c>
      <c r="C131" t="s">
        <v>120</v>
      </c>
      <c r="D131" s="10">
        <v>73.709999999999994</v>
      </c>
      <c r="E131" s="10">
        <v>78</v>
      </c>
      <c r="F131" t="s">
        <v>149</v>
      </c>
    </row>
    <row r="132" spans="1:6">
      <c r="A132" t="s">
        <v>392</v>
      </c>
      <c r="B132" t="s">
        <v>393</v>
      </c>
      <c r="C132" t="s">
        <v>120</v>
      </c>
      <c r="D132" s="10">
        <v>140.4</v>
      </c>
      <c r="E132" s="10">
        <v>32</v>
      </c>
      <c r="F132" t="s">
        <v>117</v>
      </c>
    </row>
    <row r="133" spans="1:6">
      <c r="A133" t="s">
        <v>394</v>
      </c>
      <c r="B133" t="s">
        <v>395</v>
      </c>
      <c r="C133" t="s">
        <v>187</v>
      </c>
      <c r="D133" s="10">
        <v>212.57</v>
      </c>
      <c r="E133" s="10">
        <v>13</v>
      </c>
      <c r="F133" t="s">
        <v>121</v>
      </c>
    </row>
    <row r="134" spans="1:6">
      <c r="A134" t="s">
        <v>396</v>
      </c>
      <c r="B134" t="s">
        <v>397</v>
      </c>
      <c r="C134" t="s">
        <v>187</v>
      </c>
      <c r="D134" s="10">
        <v>949.27</v>
      </c>
      <c r="E134" s="10">
        <v>94</v>
      </c>
      <c r="F134" t="s">
        <v>125</v>
      </c>
    </row>
    <row r="135" spans="1:6">
      <c r="A135" t="s">
        <v>398</v>
      </c>
      <c r="B135" t="s">
        <v>399</v>
      </c>
      <c r="C135" t="s">
        <v>120</v>
      </c>
      <c r="D135" s="10">
        <v>497.68</v>
      </c>
      <c r="E135" s="10">
        <v>0</v>
      </c>
      <c r="F135" t="s">
        <v>129</v>
      </c>
    </row>
    <row r="136" spans="1:6">
      <c r="A136" t="s">
        <v>400</v>
      </c>
      <c r="B136" t="s">
        <v>401</v>
      </c>
      <c r="C136" t="s">
        <v>145</v>
      </c>
      <c r="D136" s="10">
        <v>603.72</v>
      </c>
      <c r="E136" s="10">
        <v>45</v>
      </c>
      <c r="F136" t="s">
        <v>133</v>
      </c>
    </row>
    <row r="137" spans="1:6">
      <c r="A137" t="s">
        <v>402</v>
      </c>
      <c r="B137" t="s">
        <v>403</v>
      </c>
      <c r="C137" t="s">
        <v>187</v>
      </c>
      <c r="D137" s="10">
        <v>229.05</v>
      </c>
      <c r="E137" s="10">
        <v>0</v>
      </c>
      <c r="F137" t="s">
        <v>136</v>
      </c>
    </row>
    <row r="138" spans="1:6">
      <c r="A138" t="s">
        <v>404</v>
      </c>
      <c r="B138" t="s">
        <v>405</v>
      </c>
      <c r="C138" t="s">
        <v>187</v>
      </c>
      <c r="D138" s="10">
        <v>704</v>
      </c>
      <c r="E138" s="10">
        <v>68</v>
      </c>
      <c r="F138" t="s">
        <v>139</v>
      </c>
    </row>
    <row r="139" spans="1:6">
      <c r="A139" t="s">
        <v>406</v>
      </c>
      <c r="B139" t="s">
        <v>407</v>
      </c>
      <c r="C139" t="s">
        <v>187</v>
      </c>
      <c r="D139" s="10">
        <v>187.68</v>
      </c>
      <c r="E139" s="10">
        <v>64</v>
      </c>
      <c r="F139" s="2" t="s">
        <v>142</v>
      </c>
    </row>
    <row r="140" spans="1:6">
      <c r="A140" t="s">
        <v>408</v>
      </c>
      <c r="B140" t="s">
        <v>409</v>
      </c>
      <c r="C140" t="s">
        <v>132</v>
      </c>
      <c r="D140" s="10">
        <v>794.47</v>
      </c>
      <c r="E140" s="10">
        <v>85</v>
      </c>
      <c r="F140" t="s">
        <v>146</v>
      </c>
    </row>
    <row r="141" spans="1:6">
      <c r="A141" t="s">
        <v>410</v>
      </c>
      <c r="B141" t="s">
        <v>411</v>
      </c>
      <c r="C141" t="s">
        <v>145</v>
      </c>
      <c r="D141" s="10">
        <v>113.89</v>
      </c>
      <c r="E141" s="10">
        <v>0</v>
      </c>
      <c r="F141" t="s">
        <v>149</v>
      </c>
    </row>
    <row r="142" spans="1:6">
      <c r="A142" t="s">
        <v>412</v>
      </c>
      <c r="B142" t="s">
        <v>413</v>
      </c>
      <c r="C142" t="s">
        <v>120</v>
      </c>
      <c r="D142" s="10">
        <v>579.39</v>
      </c>
      <c r="E142" s="10">
        <v>62</v>
      </c>
      <c r="F142" t="s">
        <v>117</v>
      </c>
    </row>
    <row r="143" spans="1:6">
      <c r="A143" t="s">
        <v>414</v>
      </c>
      <c r="B143" t="s">
        <v>415</v>
      </c>
      <c r="C143" t="s">
        <v>145</v>
      </c>
      <c r="D143" s="10">
        <v>681.47</v>
      </c>
      <c r="E143" s="10">
        <v>24</v>
      </c>
      <c r="F143" t="s">
        <v>121</v>
      </c>
    </row>
    <row r="144" spans="1:6">
      <c r="A144" t="s">
        <v>416</v>
      </c>
      <c r="B144" t="s">
        <v>417</v>
      </c>
      <c r="C144" t="s">
        <v>145</v>
      </c>
      <c r="D144" s="10">
        <v>86.67</v>
      </c>
      <c r="E144" s="10">
        <v>14</v>
      </c>
      <c r="F144" t="s">
        <v>125</v>
      </c>
    </row>
    <row r="145" spans="1:6">
      <c r="A145" t="s">
        <v>418</v>
      </c>
      <c r="B145" t="s">
        <v>419</v>
      </c>
      <c r="C145" t="s">
        <v>132</v>
      </c>
      <c r="D145" s="10">
        <v>380.33</v>
      </c>
      <c r="E145" s="10">
        <v>38</v>
      </c>
      <c r="F145" t="s">
        <v>129</v>
      </c>
    </row>
    <row r="146" spans="1:6">
      <c r="A146" t="s">
        <v>420</v>
      </c>
      <c r="B146" t="s">
        <v>421</v>
      </c>
      <c r="C146" t="s">
        <v>128</v>
      </c>
      <c r="D146" s="10">
        <v>684.58</v>
      </c>
      <c r="E146" s="10">
        <v>52</v>
      </c>
      <c r="F146" t="s">
        <v>133</v>
      </c>
    </row>
    <row r="147" spans="1:6">
      <c r="A147" t="s">
        <v>422</v>
      </c>
      <c r="B147" t="s">
        <v>423</v>
      </c>
      <c r="C147" t="s">
        <v>132</v>
      </c>
      <c r="D147" s="10">
        <v>618.16999999999996</v>
      </c>
      <c r="E147" s="10">
        <v>28</v>
      </c>
      <c r="F147" t="s">
        <v>136</v>
      </c>
    </row>
    <row r="148" spans="1:6">
      <c r="A148" t="s">
        <v>424</v>
      </c>
      <c r="B148" t="s">
        <v>425</v>
      </c>
      <c r="C148" t="s">
        <v>132</v>
      </c>
      <c r="D148" s="10">
        <v>156.01</v>
      </c>
      <c r="E148" s="10">
        <v>88</v>
      </c>
      <c r="F148" t="s">
        <v>139</v>
      </c>
    </row>
    <row r="149" spans="1:6">
      <c r="A149" t="s">
        <v>426</v>
      </c>
      <c r="B149" t="s">
        <v>427</v>
      </c>
      <c r="C149" t="s">
        <v>128</v>
      </c>
      <c r="D149" s="10">
        <v>515.30999999999995</v>
      </c>
      <c r="E149" s="10">
        <v>55</v>
      </c>
      <c r="F149" s="2" t="s">
        <v>142</v>
      </c>
    </row>
    <row r="150" spans="1:6">
      <c r="A150" t="s">
        <v>428</v>
      </c>
      <c r="B150" t="s">
        <v>429</v>
      </c>
      <c r="C150" t="s">
        <v>145</v>
      </c>
      <c r="D150" s="10">
        <v>696.43</v>
      </c>
      <c r="E150" s="10">
        <v>53</v>
      </c>
      <c r="F150" t="s">
        <v>146</v>
      </c>
    </row>
    <row r="151" spans="1:6">
      <c r="A151" t="s">
        <v>430</v>
      </c>
      <c r="B151" t="s">
        <v>431</v>
      </c>
      <c r="C151" t="s">
        <v>132</v>
      </c>
      <c r="D151" s="10">
        <v>179.42</v>
      </c>
      <c r="E151" s="10">
        <v>43</v>
      </c>
      <c r="F151" t="s">
        <v>149</v>
      </c>
    </row>
    <row r="152" spans="1:6">
      <c r="A152" t="s">
        <v>432</v>
      </c>
      <c r="B152" t="s">
        <v>433</v>
      </c>
      <c r="C152" t="s">
        <v>187</v>
      </c>
      <c r="D152" s="10">
        <v>129.47999999999999</v>
      </c>
      <c r="E152" s="10">
        <v>94</v>
      </c>
      <c r="F152" t="s">
        <v>117</v>
      </c>
    </row>
    <row r="153" spans="1:6">
      <c r="A153" t="s">
        <v>434</v>
      </c>
      <c r="B153" t="s">
        <v>435</v>
      </c>
      <c r="C153" t="s">
        <v>120</v>
      </c>
      <c r="D153" s="10">
        <v>447.07</v>
      </c>
      <c r="E153" s="10">
        <v>45</v>
      </c>
      <c r="F153" t="s">
        <v>121</v>
      </c>
    </row>
    <row r="154" spans="1:6">
      <c r="A154" t="s">
        <v>436</v>
      </c>
      <c r="B154" t="s">
        <v>437</v>
      </c>
      <c r="C154" t="s">
        <v>187</v>
      </c>
      <c r="D154" s="10">
        <v>223.62</v>
      </c>
      <c r="E154" s="10">
        <v>71</v>
      </c>
      <c r="F154" t="s">
        <v>125</v>
      </c>
    </row>
    <row r="155" spans="1:6">
      <c r="A155" t="s">
        <v>438</v>
      </c>
      <c r="B155" t="s">
        <v>439</v>
      </c>
      <c r="C155" t="s">
        <v>132</v>
      </c>
      <c r="D155" s="10">
        <v>183.53</v>
      </c>
      <c r="E155" s="10">
        <v>91</v>
      </c>
      <c r="F155" t="s">
        <v>129</v>
      </c>
    </row>
    <row r="156" spans="1:6">
      <c r="A156" t="s">
        <v>440</v>
      </c>
      <c r="B156" t="s">
        <v>441</v>
      </c>
      <c r="C156" t="s">
        <v>187</v>
      </c>
      <c r="D156" s="10">
        <v>183.46</v>
      </c>
      <c r="E156" s="10">
        <v>21</v>
      </c>
      <c r="F156" t="s">
        <v>133</v>
      </c>
    </row>
    <row r="157" spans="1:6">
      <c r="A157" t="s">
        <v>442</v>
      </c>
      <c r="B157" t="s">
        <v>443</v>
      </c>
      <c r="C157" t="s">
        <v>120</v>
      </c>
      <c r="D157" s="10">
        <v>516.53</v>
      </c>
      <c r="E157" s="10">
        <v>8</v>
      </c>
      <c r="F157" t="s">
        <v>136</v>
      </c>
    </row>
    <row r="158" spans="1:6">
      <c r="A158" t="s">
        <v>444</v>
      </c>
      <c r="B158" t="s">
        <v>445</v>
      </c>
      <c r="C158" t="s">
        <v>128</v>
      </c>
      <c r="D158" s="10">
        <v>87.03</v>
      </c>
      <c r="E158" s="10">
        <v>59</v>
      </c>
      <c r="F158" t="s">
        <v>139</v>
      </c>
    </row>
    <row r="159" spans="1:6">
      <c r="A159" t="s">
        <v>446</v>
      </c>
      <c r="B159" t="s">
        <v>447</v>
      </c>
      <c r="C159" t="s">
        <v>120</v>
      </c>
      <c r="D159" s="10">
        <v>685.79</v>
      </c>
      <c r="E159" s="10">
        <v>41</v>
      </c>
      <c r="F159" s="2" t="s">
        <v>142</v>
      </c>
    </row>
    <row r="160" spans="1:6">
      <c r="A160" t="s">
        <v>448</v>
      </c>
      <c r="B160" t="s">
        <v>449</v>
      </c>
      <c r="C160" t="s">
        <v>132</v>
      </c>
      <c r="D160" s="10">
        <v>729.48</v>
      </c>
      <c r="E160" s="10">
        <v>53</v>
      </c>
      <c r="F160" t="s">
        <v>146</v>
      </c>
    </row>
    <row r="161" spans="1:6">
      <c r="A161" t="s">
        <v>450</v>
      </c>
      <c r="B161" t="s">
        <v>451</v>
      </c>
      <c r="C161" t="s">
        <v>128</v>
      </c>
      <c r="D161" s="10">
        <v>597.36</v>
      </c>
      <c r="E161" s="10">
        <v>97</v>
      </c>
      <c r="F161" t="s">
        <v>149</v>
      </c>
    </row>
    <row r="162" spans="1:6">
      <c r="A162" t="s">
        <v>452</v>
      </c>
      <c r="B162" t="s">
        <v>453</v>
      </c>
      <c r="C162" t="s">
        <v>187</v>
      </c>
      <c r="D162" s="10">
        <v>529.05999999999995</v>
      </c>
      <c r="E162" s="10">
        <v>93</v>
      </c>
      <c r="F162" t="s">
        <v>117</v>
      </c>
    </row>
    <row r="163" spans="1:6">
      <c r="A163" t="s">
        <v>454</v>
      </c>
      <c r="B163" t="s">
        <v>455</v>
      </c>
      <c r="C163" t="s">
        <v>120</v>
      </c>
      <c r="D163" s="10">
        <v>558.6</v>
      </c>
      <c r="E163" s="10">
        <v>83</v>
      </c>
      <c r="F163" t="s">
        <v>121</v>
      </c>
    </row>
    <row r="164" spans="1:6">
      <c r="A164" t="s">
        <v>456</v>
      </c>
      <c r="B164" t="s">
        <v>457</v>
      </c>
      <c r="C164" t="s">
        <v>187</v>
      </c>
      <c r="D164" s="10">
        <v>154.30000000000001</v>
      </c>
      <c r="E164" s="10">
        <v>51</v>
      </c>
      <c r="F164" t="s">
        <v>125</v>
      </c>
    </row>
    <row r="165" spans="1:6">
      <c r="A165" t="s">
        <v>458</v>
      </c>
      <c r="B165" t="s">
        <v>459</v>
      </c>
      <c r="C165" t="s">
        <v>120</v>
      </c>
      <c r="D165" s="10">
        <v>458.38</v>
      </c>
      <c r="E165" s="10">
        <v>64</v>
      </c>
      <c r="F165" t="s">
        <v>129</v>
      </c>
    </row>
    <row r="166" spans="1:6">
      <c r="A166" t="s">
        <v>460</v>
      </c>
      <c r="B166" t="s">
        <v>461</v>
      </c>
      <c r="C166" t="s">
        <v>132</v>
      </c>
      <c r="D166" s="10">
        <v>297.58</v>
      </c>
      <c r="E166" s="10">
        <v>60</v>
      </c>
      <c r="F166" t="s">
        <v>133</v>
      </c>
    </row>
    <row r="167" spans="1:6">
      <c r="A167" t="s">
        <v>462</v>
      </c>
      <c r="B167" t="s">
        <v>463</v>
      </c>
      <c r="C167" t="s">
        <v>187</v>
      </c>
      <c r="D167" s="10">
        <v>579.45000000000005</v>
      </c>
      <c r="E167" s="10">
        <v>66</v>
      </c>
      <c r="F167" t="s">
        <v>136</v>
      </c>
    </row>
    <row r="168" spans="1:6">
      <c r="A168" t="s">
        <v>464</v>
      </c>
      <c r="B168" t="s">
        <v>465</v>
      </c>
      <c r="C168" t="s">
        <v>128</v>
      </c>
      <c r="D168" s="10">
        <v>182.71</v>
      </c>
      <c r="E168" s="10">
        <v>62</v>
      </c>
      <c r="F168" t="s">
        <v>139</v>
      </c>
    </row>
    <row r="169" spans="1:6">
      <c r="A169" t="s">
        <v>466</v>
      </c>
      <c r="B169" t="s">
        <v>467</v>
      </c>
      <c r="C169" t="s">
        <v>120</v>
      </c>
      <c r="D169" s="10">
        <v>119.27</v>
      </c>
      <c r="E169" s="10">
        <v>22</v>
      </c>
      <c r="F169" s="2" t="s">
        <v>142</v>
      </c>
    </row>
    <row r="170" spans="1:6">
      <c r="A170" t="s">
        <v>468</v>
      </c>
      <c r="B170" t="s">
        <v>469</v>
      </c>
      <c r="C170" t="s">
        <v>145</v>
      </c>
      <c r="D170" s="10">
        <v>60.27</v>
      </c>
      <c r="E170" s="10">
        <v>33</v>
      </c>
      <c r="F170" t="s">
        <v>146</v>
      </c>
    </row>
    <row r="171" spans="1:6">
      <c r="A171" t="s">
        <v>470</v>
      </c>
      <c r="B171" t="s">
        <v>471</v>
      </c>
      <c r="C171" t="s">
        <v>187</v>
      </c>
      <c r="D171" s="10">
        <v>200.96</v>
      </c>
      <c r="E171" s="10">
        <v>97</v>
      </c>
      <c r="F171" t="s">
        <v>149</v>
      </c>
    </row>
    <row r="172" spans="1:6">
      <c r="A172" t="s">
        <v>472</v>
      </c>
      <c r="B172" t="s">
        <v>473</v>
      </c>
      <c r="C172" t="s">
        <v>145</v>
      </c>
      <c r="D172" s="10">
        <v>75.959999999999994</v>
      </c>
      <c r="E172" s="10">
        <v>51</v>
      </c>
      <c r="F172" t="s">
        <v>117</v>
      </c>
    </row>
    <row r="173" spans="1:6">
      <c r="A173" t="s">
        <v>474</v>
      </c>
      <c r="B173" t="s">
        <v>475</v>
      </c>
      <c r="C173" t="s">
        <v>120</v>
      </c>
      <c r="D173" s="10">
        <v>834.87</v>
      </c>
      <c r="E173" s="10">
        <v>62</v>
      </c>
      <c r="F173" t="s">
        <v>121</v>
      </c>
    </row>
    <row r="174" spans="1:6">
      <c r="A174" t="s">
        <v>476</v>
      </c>
      <c r="B174" t="s">
        <v>477</v>
      </c>
      <c r="C174" t="s">
        <v>128</v>
      </c>
      <c r="D174" s="10">
        <v>798.81</v>
      </c>
      <c r="E174" s="10">
        <v>69</v>
      </c>
      <c r="F174" t="s">
        <v>125</v>
      </c>
    </row>
    <row r="175" spans="1:6">
      <c r="A175" t="s">
        <v>478</v>
      </c>
      <c r="B175" t="s">
        <v>479</v>
      </c>
      <c r="C175" t="s">
        <v>120</v>
      </c>
      <c r="D175" s="10">
        <v>107.67</v>
      </c>
      <c r="E175" s="10">
        <v>21</v>
      </c>
      <c r="F175" t="s">
        <v>129</v>
      </c>
    </row>
    <row r="176" spans="1:6">
      <c r="A176" t="s">
        <v>480</v>
      </c>
      <c r="B176" t="s">
        <v>481</v>
      </c>
      <c r="C176" t="s">
        <v>120</v>
      </c>
      <c r="D176" s="10">
        <v>670.38</v>
      </c>
      <c r="E176" s="10">
        <v>74</v>
      </c>
      <c r="F176" t="s">
        <v>133</v>
      </c>
    </row>
    <row r="177" spans="1:6">
      <c r="A177" t="s">
        <v>482</v>
      </c>
      <c r="B177" t="s">
        <v>483</v>
      </c>
      <c r="C177" t="s">
        <v>128</v>
      </c>
      <c r="D177" s="10">
        <v>278.58</v>
      </c>
      <c r="E177" s="10">
        <v>0</v>
      </c>
      <c r="F177" t="s">
        <v>136</v>
      </c>
    </row>
    <row r="178" spans="1:6">
      <c r="A178" t="s">
        <v>484</v>
      </c>
      <c r="B178" t="s">
        <v>485</v>
      </c>
      <c r="C178" t="s">
        <v>128</v>
      </c>
      <c r="D178" s="10">
        <v>825.88</v>
      </c>
      <c r="E178" s="10">
        <v>28</v>
      </c>
      <c r="F178" t="s">
        <v>139</v>
      </c>
    </row>
    <row r="179" spans="1:6">
      <c r="A179" t="s">
        <v>486</v>
      </c>
      <c r="B179" t="s">
        <v>487</v>
      </c>
      <c r="C179" t="s">
        <v>132</v>
      </c>
      <c r="D179" s="10">
        <v>747.94</v>
      </c>
      <c r="E179" s="10">
        <v>80</v>
      </c>
      <c r="F179" s="2" t="s">
        <v>142</v>
      </c>
    </row>
    <row r="180" spans="1:6">
      <c r="A180" t="s">
        <v>488</v>
      </c>
      <c r="B180" t="s">
        <v>489</v>
      </c>
      <c r="C180" t="s">
        <v>145</v>
      </c>
      <c r="D180" s="10">
        <v>800.03</v>
      </c>
      <c r="E180" s="10">
        <v>91</v>
      </c>
      <c r="F180" t="s">
        <v>146</v>
      </c>
    </row>
    <row r="181" spans="1:6">
      <c r="A181" t="s">
        <v>490</v>
      </c>
      <c r="B181" t="s">
        <v>491</v>
      </c>
      <c r="C181" t="s">
        <v>120</v>
      </c>
      <c r="D181" s="10">
        <v>429.74</v>
      </c>
      <c r="E181" s="10">
        <v>65</v>
      </c>
      <c r="F181" t="s">
        <v>149</v>
      </c>
    </row>
    <row r="182" spans="1:6">
      <c r="A182" t="s">
        <v>492</v>
      </c>
      <c r="B182" t="s">
        <v>493</v>
      </c>
      <c r="C182" t="s">
        <v>145</v>
      </c>
      <c r="D182" s="10">
        <v>363.5</v>
      </c>
      <c r="E182" s="10">
        <v>35</v>
      </c>
      <c r="F182" t="s">
        <v>117</v>
      </c>
    </row>
    <row r="183" spans="1:6">
      <c r="A183" t="s">
        <v>494</v>
      </c>
      <c r="B183" t="s">
        <v>495</v>
      </c>
      <c r="C183" t="s">
        <v>120</v>
      </c>
      <c r="D183" s="10">
        <v>838.3</v>
      </c>
      <c r="E183" s="10">
        <v>62</v>
      </c>
      <c r="F183" t="s">
        <v>121</v>
      </c>
    </row>
    <row r="184" spans="1:6">
      <c r="A184" t="s">
        <v>496</v>
      </c>
      <c r="B184" t="s">
        <v>497</v>
      </c>
      <c r="C184" t="s">
        <v>132</v>
      </c>
      <c r="D184" s="10">
        <v>967.51</v>
      </c>
      <c r="E184" s="10">
        <v>0</v>
      </c>
      <c r="F184" t="s">
        <v>125</v>
      </c>
    </row>
    <row r="185" spans="1:6">
      <c r="A185" t="s">
        <v>498</v>
      </c>
      <c r="B185" t="s">
        <v>499</v>
      </c>
      <c r="C185" t="s">
        <v>128</v>
      </c>
      <c r="D185" s="10">
        <v>965.71</v>
      </c>
      <c r="E185" s="10">
        <v>15</v>
      </c>
      <c r="F185" t="s">
        <v>129</v>
      </c>
    </row>
    <row r="186" spans="1:6">
      <c r="A186" t="s">
        <v>500</v>
      </c>
      <c r="B186" t="s">
        <v>501</v>
      </c>
      <c r="C186" t="s">
        <v>128</v>
      </c>
      <c r="D186" s="10">
        <v>392.8</v>
      </c>
      <c r="E186" s="10">
        <v>80</v>
      </c>
      <c r="F186" t="s">
        <v>133</v>
      </c>
    </row>
    <row r="187" spans="1:6">
      <c r="A187" t="s">
        <v>502</v>
      </c>
      <c r="B187" t="s">
        <v>503</v>
      </c>
      <c r="C187" t="s">
        <v>187</v>
      </c>
      <c r="D187" s="10">
        <v>121.02</v>
      </c>
      <c r="E187" s="10">
        <v>63</v>
      </c>
      <c r="F187" t="s">
        <v>136</v>
      </c>
    </row>
    <row r="188" spans="1:6">
      <c r="A188" t="s">
        <v>504</v>
      </c>
      <c r="B188" t="s">
        <v>505</v>
      </c>
      <c r="C188" t="s">
        <v>120</v>
      </c>
      <c r="D188" s="10">
        <v>369.8</v>
      </c>
      <c r="E188" s="10">
        <v>75</v>
      </c>
      <c r="F188" t="s">
        <v>139</v>
      </c>
    </row>
    <row r="189" spans="1:6">
      <c r="A189" t="s">
        <v>506</v>
      </c>
      <c r="B189" t="s">
        <v>507</v>
      </c>
      <c r="C189" t="s">
        <v>187</v>
      </c>
      <c r="D189" s="10">
        <v>68.900000000000006</v>
      </c>
      <c r="E189" s="10">
        <v>48</v>
      </c>
      <c r="F189" s="2" t="s">
        <v>142</v>
      </c>
    </row>
    <row r="190" spans="1:6">
      <c r="A190" t="s">
        <v>508</v>
      </c>
      <c r="B190" t="s">
        <v>509</v>
      </c>
      <c r="C190" t="s">
        <v>132</v>
      </c>
      <c r="D190" s="10">
        <v>130.28</v>
      </c>
      <c r="E190" s="10">
        <v>0</v>
      </c>
      <c r="F190" t="s">
        <v>146</v>
      </c>
    </row>
    <row r="191" spans="1:6">
      <c r="A191" t="s">
        <v>510</v>
      </c>
      <c r="B191" t="s">
        <v>511</v>
      </c>
      <c r="C191" t="s">
        <v>128</v>
      </c>
      <c r="D191" s="10">
        <v>825.3</v>
      </c>
      <c r="E191" s="10">
        <v>11</v>
      </c>
      <c r="F191" t="s">
        <v>149</v>
      </c>
    </row>
    <row r="192" spans="1:6">
      <c r="A192" t="s">
        <v>512</v>
      </c>
      <c r="B192" t="s">
        <v>513</v>
      </c>
      <c r="C192" t="s">
        <v>132</v>
      </c>
      <c r="D192" s="10">
        <v>510.2</v>
      </c>
      <c r="E192" s="10">
        <v>31</v>
      </c>
      <c r="F192" t="s">
        <v>117</v>
      </c>
    </row>
    <row r="193" spans="1:6">
      <c r="A193" t="s">
        <v>514</v>
      </c>
      <c r="B193" t="s">
        <v>515</v>
      </c>
      <c r="C193" t="s">
        <v>145</v>
      </c>
      <c r="D193" s="10">
        <v>423.57</v>
      </c>
      <c r="E193" s="10">
        <v>96</v>
      </c>
      <c r="F193" t="s">
        <v>121</v>
      </c>
    </row>
    <row r="194" spans="1:6">
      <c r="A194" t="s">
        <v>516</v>
      </c>
      <c r="B194" t="s">
        <v>517</v>
      </c>
      <c r="C194" t="s">
        <v>120</v>
      </c>
      <c r="D194" s="10">
        <v>582.75</v>
      </c>
      <c r="E194" s="10">
        <v>19</v>
      </c>
      <c r="F194" t="s">
        <v>125</v>
      </c>
    </row>
    <row r="195" spans="1:6">
      <c r="A195" t="s">
        <v>518</v>
      </c>
      <c r="B195" t="s">
        <v>519</v>
      </c>
      <c r="C195" t="s">
        <v>120</v>
      </c>
      <c r="D195" s="10">
        <v>756.21</v>
      </c>
      <c r="E195" s="10">
        <v>57</v>
      </c>
      <c r="F195" t="s">
        <v>129</v>
      </c>
    </row>
    <row r="196" spans="1:6">
      <c r="A196" t="s">
        <v>520</v>
      </c>
      <c r="B196" t="s">
        <v>521</v>
      </c>
      <c r="C196" t="s">
        <v>120</v>
      </c>
      <c r="D196" s="10">
        <v>104.9</v>
      </c>
      <c r="E196" s="10">
        <v>48</v>
      </c>
      <c r="F196" t="s">
        <v>133</v>
      </c>
    </row>
    <row r="197" spans="1:6">
      <c r="A197" t="s">
        <v>522</v>
      </c>
      <c r="B197" t="s">
        <v>523</v>
      </c>
      <c r="C197" t="s">
        <v>187</v>
      </c>
      <c r="D197" s="10">
        <v>288.79000000000002</v>
      </c>
      <c r="E197" s="10">
        <v>50</v>
      </c>
      <c r="F197" t="s">
        <v>136</v>
      </c>
    </row>
    <row r="198" spans="1:6">
      <c r="A198" t="s">
        <v>524</v>
      </c>
      <c r="B198" t="s">
        <v>525</v>
      </c>
      <c r="C198" t="s">
        <v>128</v>
      </c>
      <c r="D198" s="10">
        <v>341.27</v>
      </c>
      <c r="E198" s="10">
        <v>9</v>
      </c>
      <c r="F198" t="s">
        <v>139</v>
      </c>
    </row>
    <row r="199" spans="1:6">
      <c r="A199" t="s">
        <v>526</v>
      </c>
      <c r="B199" t="s">
        <v>527</v>
      </c>
      <c r="C199" t="s">
        <v>145</v>
      </c>
      <c r="D199" s="10">
        <v>119.78</v>
      </c>
      <c r="E199" s="10">
        <v>90</v>
      </c>
      <c r="F199" s="2" t="s">
        <v>142</v>
      </c>
    </row>
    <row r="200" spans="1:6">
      <c r="A200" t="s">
        <v>528</v>
      </c>
      <c r="B200" t="s">
        <v>529</v>
      </c>
      <c r="C200" t="s">
        <v>120</v>
      </c>
      <c r="D200" s="10">
        <v>935.99</v>
      </c>
      <c r="E200" s="10">
        <v>5</v>
      </c>
      <c r="F200" t="s">
        <v>146</v>
      </c>
    </row>
    <row r="201" spans="1:6">
      <c r="A201" t="s">
        <v>530</v>
      </c>
      <c r="B201" t="s">
        <v>531</v>
      </c>
      <c r="C201" t="s">
        <v>145</v>
      </c>
      <c r="D201" s="10">
        <v>137.57</v>
      </c>
      <c r="E201" s="10">
        <v>29</v>
      </c>
      <c r="F201" t="s">
        <v>149</v>
      </c>
    </row>
    <row r="202" spans="1:6">
      <c r="A202" t="s">
        <v>532</v>
      </c>
      <c r="B202" t="s">
        <v>533</v>
      </c>
      <c r="C202" t="s">
        <v>120</v>
      </c>
      <c r="D202" s="10">
        <v>436.32</v>
      </c>
      <c r="E202" s="10">
        <v>52</v>
      </c>
      <c r="F202" t="s">
        <v>117</v>
      </c>
    </row>
    <row r="203" spans="1:6">
      <c r="A203" t="s">
        <v>534</v>
      </c>
      <c r="B203" t="s">
        <v>535</v>
      </c>
      <c r="C203" t="s">
        <v>187</v>
      </c>
      <c r="D203" s="10">
        <v>590.45000000000005</v>
      </c>
      <c r="E203" s="10">
        <v>40</v>
      </c>
      <c r="F203" t="s">
        <v>121</v>
      </c>
    </row>
    <row r="204" spans="1:6">
      <c r="A204" t="s">
        <v>536</v>
      </c>
      <c r="B204" t="s">
        <v>537</v>
      </c>
      <c r="C204" t="s">
        <v>128</v>
      </c>
      <c r="D204" s="10">
        <v>632.98</v>
      </c>
      <c r="E204" s="10">
        <v>39</v>
      </c>
      <c r="F204" t="s">
        <v>125</v>
      </c>
    </row>
    <row r="205" spans="1:6">
      <c r="A205" t="s">
        <v>538</v>
      </c>
      <c r="B205" t="s">
        <v>539</v>
      </c>
      <c r="C205" t="s">
        <v>120</v>
      </c>
      <c r="D205" s="10">
        <v>667.69</v>
      </c>
      <c r="E205" s="10">
        <v>87</v>
      </c>
      <c r="F205" t="s">
        <v>129</v>
      </c>
    </row>
    <row r="206" spans="1:6">
      <c r="A206" t="s">
        <v>540</v>
      </c>
      <c r="B206" t="s">
        <v>541</v>
      </c>
      <c r="C206" t="s">
        <v>128</v>
      </c>
      <c r="D206" s="10">
        <v>352.73</v>
      </c>
      <c r="E206" s="10">
        <v>17</v>
      </c>
      <c r="F206" t="s">
        <v>133</v>
      </c>
    </row>
    <row r="207" spans="1:6">
      <c r="A207" t="s">
        <v>542</v>
      </c>
      <c r="B207" t="s">
        <v>543</v>
      </c>
      <c r="C207" t="s">
        <v>145</v>
      </c>
      <c r="D207" s="10">
        <v>369.53</v>
      </c>
      <c r="E207" s="10">
        <v>27</v>
      </c>
      <c r="F207" t="s">
        <v>136</v>
      </c>
    </row>
    <row r="208" spans="1:6">
      <c r="A208" t="s">
        <v>544</v>
      </c>
      <c r="B208" t="s">
        <v>545</v>
      </c>
      <c r="C208" t="s">
        <v>128</v>
      </c>
      <c r="D208" s="10">
        <v>72.599999999999994</v>
      </c>
      <c r="E208" s="10">
        <v>68</v>
      </c>
      <c r="F208" t="s">
        <v>139</v>
      </c>
    </row>
    <row r="209" spans="1:6">
      <c r="A209" t="s">
        <v>546</v>
      </c>
      <c r="B209" t="s">
        <v>547</v>
      </c>
      <c r="C209" t="s">
        <v>120</v>
      </c>
      <c r="D209" s="10">
        <v>280.36</v>
      </c>
      <c r="E209" s="10">
        <v>51</v>
      </c>
      <c r="F209" s="2" t="s">
        <v>142</v>
      </c>
    </row>
    <row r="210" spans="1:6">
      <c r="A210" t="s">
        <v>548</v>
      </c>
      <c r="B210" t="s">
        <v>549</v>
      </c>
      <c r="C210" t="s">
        <v>128</v>
      </c>
      <c r="D210" s="10">
        <v>771.91</v>
      </c>
      <c r="E210" s="10">
        <v>12</v>
      </c>
      <c r="F210" t="s">
        <v>146</v>
      </c>
    </row>
    <row r="211" spans="1:6">
      <c r="A211" t="s">
        <v>550</v>
      </c>
      <c r="B211" t="s">
        <v>551</v>
      </c>
      <c r="C211" t="s">
        <v>187</v>
      </c>
      <c r="D211" s="10">
        <v>827.87</v>
      </c>
      <c r="E211" s="10">
        <v>0</v>
      </c>
      <c r="F211" t="s">
        <v>149</v>
      </c>
    </row>
    <row r="212" spans="1:6">
      <c r="A212" t="s">
        <v>552</v>
      </c>
      <c r="B212" t="s">
        <v>553</v>
      </c>
      <c r="C212" t="s">
        <v>187</v>
      </c>
      <c r="D212" s="10">
        <v>538.16999999999996</v>
      </c>
      <c r="E212" s="10">
        <v>84</v>
      </c>
      <c r="F212" t="s">
        <v>117</v>
      </c>
    </row>
    <row r="213" spans="1:6">
      <c r="A213" t="s">
        <v>554</v>
      </c>
      <c r="B213" t="s">
        <v>555</v>
      </c>
      <c r="C213" t="s">
        <v>132</v>
      </c>
      <c r="D213" s="10">
        <v>997</v>
      </c>
      <c r="E213" s="10">
        <v>18</v>
      </c>
      <c r="F213" t="s">
        <v>121</v>
      </c>
    </row>
    <row r="214" spans="1:6">
      <c r="A214" t="s">
        <v>556</v>
      </c>
      <c r="B214" t="s">
        <v>557</v>
      </c>
      <c r="C214" t="s">
        <v>128</v>
      </c>
      <c r="D214" s="10">
        <v>999.58</v>
      </c>
      <c r="E214" s="10">
        <v>18</v>
      </c>
      <c r="F214" t="s">
        <v>125</v>
      </c>
    </row>
    <row r="215" spans="1:6">
      <c r="A215" t="s">
        <v>558</v>
      </c>
      <c r="B215" t="s">
        <v>559</v>
      </c>
      <c r="C215" t="s">
        <v>145</v>
      </c>
      <c r="D215" s="10">
        <v>61.74</v>
      </c>
      <c r="E215" s="10">
        <v>71</v>
      </c>
      <c r="F215" t="s">
        <v>129</v>
      </c>
    </row>
    <row r="216" spans="1:6">
      <c r="A216" t="s">
        <v>560</v>
      </c>
      <c r="B216" t="s">
        <v>561</v>
      </c>
      <c r="C216" t="s">
        <v>120</v>
      </c>
      <c r="D216" s="10">
        <v>199.87</v>
      </c>
      <c r="E216" s="10">
        <v>37</v>
      </c>
      <c r="F216" t="s">
        <v>133</v>
      </c>
    </row>
    <row r="217" spans="1:6">
      <c r="A217" t="s">
        <v>562</v>
      </c>
      <c r="B217" t="s">
        <v>563</v>
      </c>
      <c r="C217" t="s">
        <v>120</v>
      </c>
      <c r="D217" s="10">
        <v>106.32</v>
      </c>
      <c r="E217" s="10">
        <v>64</v>
      </c>
      <c r="F217" t="s">
        <v>136</v>
      </c>
    </row>
    <row r="218" spans="1:6">
      <c r="A218" t="s">
        <v>564</v>
      </c>
      <c r="B218" t="s">
        <v>565</v>
      </c>
      <c r="C218" t="s">
        <v>128</v>
      </c>
      <c r="D218" s="10">
        <v>328.43</v>
      </c>
      <c r="E218" s="10">
        <v>71</v>
      </c>
      <c r="F218" t="s">
        <v>139</v>
      </c>
    </row>
    <row r="219" spans="1:6">
      <c r="A219" t="s">
        <v>566</v>
      </c>
      <c r="B219" t="s">
        <v>567</v>
      </c>
      <c r="C219" t="s">
        <v>120</v>
      </c>
      <c r="D219" s="10">
        <v>737.53</v>
      </c>
      <c r="E219" s="10">
        <v>0</v>
      </c>
      <c r="F219" s="2" t="s">
        <v>142</v>
      </c>
    </row>
    <row r="220" spans="1:6">
      <c r="A220" t="s">
        <v>568</v>
      </c>
      <c r="B220" t="s">
        <v>569</v>
      </c>
      <c r="C220" t="s">
        <v>120</v>
      </c>
      <c r="D220" s="10">
        <v>94.08</v>
      </c>
      <c r="E220" s="10">
        <v>70</v>
      </c>
      <c r="F220" t="s">
        <v>146</v>
      </c>
    </row>
    <row r="221" spans="1:6">
      <c r="A221" t="s">
        <v>570</v>
      </c>
      <c r="B221" t="s">
        <v>571</v>
      </c>
      <c r="C221" t="s">
        <v>145</v>
      </c>
      <c r="D221" s="10">
        <v>779.68</v>
      </c>
      <c r="E221" s="10">
        <v>85</v>
      </c>
      <c r="F221" t="s">
        <v>149</v>
      </c>
    </row>
    <row r="222" spans="1:6">
      <c r="A222" t="s">
        <v>572</v>
      </c>
      <c r="B222" t="s">
        <v>573</v>
      </c>
      <c r="C222" t="s">
        <v>120</v>
      </c>
      <c r="D222" s="10">
        <v>236.65</v>
      </c>
      <c r="E222" s="10">
        <v>27</v>
      </c>
      <c r="F222" t="s">
        <v>117</v>
      </c>
    </row>
    <row r="223" spans="1:6">
      <c r="A223" t="s">
        <v>574</v>
      </c>
      <c r="B223" t="s">
        <v>575</v>
      </c>
      <c r="C223" t="s">
        <v>120</v>
      </c>
      <c r="D223" s="10">
        <v>200.81</v>
      </c>
      <c r="E223" s="10">
        <v>31</v>
      </c>
      <c r="F223" t="s">
        <v>121</v>
      </c>
    </row>
    <row r="224" spans="1:6">
      <c r="A224" t="s">
        <v>576</v>
      </c>
      <c r="B224" t="s">
        <v>577</v>
      </c>
      <c r="C224" t="s">
        <v>128</v>
      </c>
      <c r="D224" s="10">
        <v>457.29</v>
      </c>
      <c r="E224" s="10">
        <v>84</v>
      </c>
      <c r="F224" t="s">
        <v>125</v>
      </c>
    </row>
    <row r="225" spans="1:6">
      <c r="A225" t="s">
        <v>578</v>
      </c>
      <c r="B225" t="s">
        <v>579</v>
      </c>
      <c r="C225" t="s">
        <v>120</v>
      </c>
      <c r="D225" s="10">
        <v>584.57000000000005</v>
      </c>
      <c r="E225" s="10">
        <v>57</v>
      </c>
      <c r="F225" t="s">
        <v>129</v>
      </c>
    </row>
    <row r="226" spans="1:6">
      <c r="A226" t="s">
        <v>580</v>
      </c>
      <c r="B226" t="s">
        <v>581</v>
      </c>
      <c r="C226" t="s">
        <v>120</v>
      </c>
      <c r="D226" s="10">
        <v>355.77</v>
      </c>
      <c r="E226" s="10">
        <v>91</v>
      </c>
      <c r="F226" t="s">
        <v>133</v>
      </c>
    </row>
    <row r="227" spans="1:6">
      <c r="A227" t="s">
        <v>582</v>
      </c>
      <c r="B227" t="s">
        <v>583</v>
      </c>
      <c r="C227" t="s">
        <v>145</v>
      </c>
      <c r="D227" s="10">
        <v>352.16</v>
      </c>
      <c r="E227" s="10">
        <v>10</v>
      </c>
      <c r="F227" t="s">
        <v>136</v>
      </c>
    </row>
    <row r="228" spans="1:6">
      <c r="A228" t="s">
        <v>584</v>
      </c>
      <c r="B228" t="s">
        <v>585</v>
      </c>
      <c r="C228" t="s">
        <v>187</v>
      </c>
      <c r="D228" s="10">
        <v>223.48</v>
      </c>
      <c r="E228" s="10">
        <v>31</v>
      </c>
      <c r="F228" t="s">
        <v>139</v>
      </c>
    </row>
    <row r="229" spans="1:6">
      <c r="A229" t="s">
        <v>586</v>
      </c>
      <c r="B229" t="s">
        <v>587</v>
      </c>
      <c r="C229" t="s">
        <v>145</v>
      </c>
      <c r="D229" s="10">
        <v>780.48</v>
      </c>
      <c r="E229" s="10">
        <v>57</v>
      </c>
      <c r="F229" s="2" t="s">
        <v>142</v>
      </c>
    </row>
    <row r="230" spans="1:6">
      <c r="A230" t="s">
        <v>588</v>
      </c>
      <c r="B230" t="s">
        <v>589</v>
      </c>
      <c r="C230" t="s">
        <v>187</v>
      </c>
      <c r="D230" s="10">
        <v>353.1</v>
      </c>
      <c r="E230" s="10">
        <v>84</v>
      </c>
      <c r="F230" t="s">
        <v>146</v>
      </c>
    </row>
    <row r="231" spans="1:6">
      <c r="A231" t="s">
        <v>590</v>
      </c>
      <c r="B231" t="s">
        <v>591</v>
      </c>
      <c r="C231" t="s">
        <v>145</v>
      </c>
      <c r="D231" s="10">
        <v>919.1</v>
      </c>
      <c r="E231" s="10">
        <v>62</v>
      </c>
      <c r="F231" t="s">
        <v>149</v>
      </c>
    </row>
    <row r="232" spans="1:6">
      <c r="A232" t="s">
        <v>592</v>
      </c>
      <c r="B232" t="s">
        <v>593</v>
      </c>
      <c r="C232" t="s">
        <v>128</v>
      </c>
      <c r="D232" s="10">
        <v>411.71</v>
      </c>
      <c r="E232" s="10">
        <v>97</v>
      </c>
      <c r="F232" t="s">
        <v>117</v>
      </c>
    </row>
    <row r="233" spans="1:6">
      <c r="A233" t="s">
        <v>594</v>
      </c>
      <c r="B233" t="s">
        <v>595</v>
      </c>
      <c r="C233" t="s">
        <v>187</v>
      </c>
      <c r="D233" s="10">
        <v>933.06</v>
      </c>
      <c r="E233" s="10">
        <v>81</v>
      </c>
      <c r="F233" t="s">
        <v>121</v>
      </c>
    </row>
    <row r="234" spans="1:6">
      <c r="A234" t="s">
        <v>596</v>
      </c>
      <c r="B234" t="s">
        <v>597</v>
      </c>
      <c r="C234" t="s">
        <v>145</v>
      </c>
      <c r="D234" s="10">
        <v>126.73</v>
      </c>
      <c r="E234" s="10">
        <v>18</v>
      </c>
      <c r="F234" t="s">
        <v>125</v>
      </c>
    </row>
    <row r="235" spans="1:6">
      <c r="A235" t="s">
        <v>598</v>
      </c>
      <c r="B235" t="s">
        <v>599</v>
      </c>
      <c r="C235" t="s">
        <v>128</v>
      </c>
      <c r="D235" s="10">
        <v>321.52999999999997</v>
      </c>
      <c r="E235" s="10">
        <v>38</v>
      </c>
      <c r="F235" t="s">
        <v>129</v>
      </c>
    </row>
    <row r="236" spans="1:6">
      <c r="A236" t="s">
        <v>600</v>
      </c>
      <c r="B236" t="s">
        <v>601</v>
      </c>
      <c r="C236" t="s">
        <v>187</v>
      </c>
      <c r="D236" s="10">
        <v>609.57000000000005</v>
      </c>
      <c r="E236" s="10">
        <v>52</v>
      </c>
      <c r="F236" t="s">
        <v>133</v>
      </c>
    </row>
    <row r="237" spans="1:6">
      <c r="A237" t="s">
        <v>602</v>
      </c>
      <c r="B237" t="s">
        <v>603</v>
      </c>
      <c r="C237" t="s">
        <v>128</v>
      </c>
      <c r="D237" s="10">
        <v>656.77</v>
      </c>
      <c r="E237" s="10">
        <v>5</v>
      </c>
      <c r="F237" t="s">
        <v>136</v>
      </c>
    </row>
    <row r="238" spans="1:6">
      <c r="A238" t="s">
        <v>604</v>
      </c>
      <c r="B238" t="s">
        <v>605</v>
      </c>
      <c r="C238" t="s">
        <v>132</v>
      </c>
      <c r="D238" s="10">
        <v>560.67999999999995</v>
      </c>
      <c r="E238" s="10">
        <v>38</v>
      </c>
      <c r="F238" t="s">
        <v>139</v>
      </c>
    </row>
    <row r="239" spans="1:6">
      <c r="A239" t="s">
        <v>606</v>
      </c>
      <c r="B239" t="s">
        <v>607</v>
      </c>
      <c r="C239" t="s">
        <v>187</v>
      </c>
      <c r="D239" s="10">
        <v>453.13</v>
      </c>
      <c r="E239" s="10">
        <v>96</v>
      </c>
      <c r="F239" s="2" t="s">
        <v>142</v>
      </c>
    </row>
    <row r="240" spans="1:6">
      <c r="A240" t="s">
        <v>608</v>
      </c>
      <c r="B240" t="s">
        <v>609</v>
      </c>
      <c r="C240" t="s">
        <v>120</v>
      </c>
      <c r="D240" s="10">
        <v>485.92</v>
      </c>
      <c r="E240" s="10">
        <v>49</v>
      </c>
      <c r="F240" t="s">
        <v>146</v>
      </c>
    </row>
    <row r="241" spans="1:6">
      <c r="A241" t="s">
        <v>610</v>
      </c>
      <c r="B241" t="s">
        <v>611</v>
      </c>
      <c r="C241" t="s">
        <v>145</v>
      </c>
      <c r="D241" s="10">
        <v>187.02</v>
      </c>
      <c r="E241" s="10">
        <v>88</v>
      </c>
      <c r="F241" t="s">
        <v>149</v>
      </c>
    </row>
    <row r="242" spans="1:6">
      <c r="A242" t="s">
        <v>612</v>
      </c>
      <c r="B242" t="s">
        <v>613</v>
      </c>
      <c r="C242" t="s">
        <v>145</v>
      </c>
      <c r="D242" s="10">
        <v>946.65</v>
      </c>
      <c r="E242" s="10">
        <v>40</v>
      </c>
      <c r="F242" t="s">
        <v>117</v>
      </c>
    </row>
    <row r="243" spans="1:6">
      <c r="A243" t="s">
        <v>614</v>
      </c>
      <c r="B243" t="s">
        <v>615</v>
      </c>
      <c r="C243" t="s">
        <v>120</v>
      </c>
      <c r="D243" s="10">
        <v>915.71</v>
      </c>
      <c r="E243" s="10">
        <v>75</v>
      </c>
      <c r="F243" t="s">
        <v>121</v>
      </c>
    </row>
    <row r="244" spans="1:6">
      <c r="A244" t="s">
        <v>616</v>
      </c>
      <c r="B244" t="s">
        <v>617</v>
      </c>
      <c r="C244" t="s">
        <v>120</v>
      </c>
      <c r="D244" s="10">
        <v>232.59</v>
      </c>
      <c r="E244" s="10">
        <v>6</v>
      </c>
      <c r="F244" t="s">
        <v>125</v>
      </c>
    </row>
    <row r="245" spans="1:6">
      <c r="A245" t="s">
        <v>618</v>
      </c>
      <c r="B245" t="s">
        <v>619</v>
      </c>
      <c r="C245" t="s">
        <v>132</v>
      </c>
      <c r="D245" s="10">
        <v>164.48</v>
      </c>
      <c r="E245" s="10">
        <v>90</v>
      </c>
      <c r="F245" t="s">
        <v>129</v>
      </c>
    </row>
    <row r="246" spans="1:6">
      <c r="A246" t="s">
        <v>620</v>
      </c>
      <c r="B246" t="s">
        <v>621</v>
      </c>
      <c r="C246" t="s">
        <v>120</v>
      </c>
      <c r="D246" s="10">
        <v>124.29</v>
      </c>
      <c r="E246" s="10">
        <v>37</v>
      </c>
      <c r="F246" t="s">
        <v>133</v>
      </c>
    </row>
    <row r="247" spans="1:6">
      <c r="A247" t="s">
        <v>622</v>
      </c>
      <c r="B247" t="s">
        <v>623</v>
      </c>
      <c r="C247" t="s">
        <v>187</v>
      </c>
      <c r="D247" s="10">
        <v>285.76</v>
      </c>
      <c r="E247" s="10">
        <v>10</v>
      </c>
      <c r="F247" t="s">
        <v>136</v>
      </c>
    </row>
    <row r="248" spans="1:6">
      <c r="A248" t="s">
        <v>624</v>
      </c>
      <c r="B248" t="s">
        <v>625</v>
      </c>
      <c r="C248" t="s">
        <v>120</v>
      </c>
      <c r="D248" s="10">
        <v>677.85</v>
      </c>
      <c r="E248" s="10">
        <v>43</v>
      </c>
      <c r="F248" t="s">
        <v>139</v>
      </c>
    </row>
    <row r="249" spans="1:6">
      <c r="A249" t="s">
        <v>626</v>
      </c>
      <c r="B249" t="s">
        <v>627</v>
      </c>
      <c r="C249" t="s">
        <v>120</v>
      </c>
      <c r="D249" s="10">
        <v>555.08000000000004</v>
      </c>
      <c r="E249" s="10">
        <v>93</v>
      </c>
      <c r="F249" s="2" t="s">
        <v>142</v>
      </c>
    </row>
    <row r="250" spans="1:6">
      <c r="A250" t="s">
        <v>628</v>
      </c>
      <c r="B250" t="s">
        <v>629</v>
      </c>
      <c r="C250" t="s">
        <v>120</v>
      </c>
      <c r="D250" s="10">
        <v>665.57</v>
      </c>
      <c r="E250" s="10">
        <v>76</v>
      </c>
      <c r="F250" t="s">
        <v>146</v>
      </c>
    </row>
    <row r="251" spans="1:6">
      <c r="A251" t="s">
        <v>630</v>
      </c>
      <c r="B251" t="s">
        <v>631</v>
      </c>
      <c r="C251" t="s">
        <v>145</v>
      </c>
      <c r="D251" s="10">
        <v>946.31</v>
      </c>
      <c r="E251" s="10">
        <v>29</v>
      </c>
      <c r="F251" t="s">
        <v>149</v>
      </c>
    </row>
    <row r="252" spans="1:6">
      <c r="A252" t="s">
        <v>632</v>
      </c>
      <c r="B252" t="s">
        <v>633</v>
      </c>
      <c r="C252" t="s">
        <v>132</v>
      </c>
      <c r="D252" s="10">
        <v>381.53</v>
      </c>
      <c r="E252" s="10">
        <v>0</v>
      </c>
      <c r="F252" t="s">
        <v>117</v>
      </c>
    </row>
    <row r="253" spans="1:6">
      <c r="A253" t="s">
        <v>634</v>
      </c>
      <c r="B253" t="s">
        <v>635</v>
      </c>
      <c r="C253" t="s">
        <v>132</v>
      </c>
      <c r="D253" s="10">
        <v>993.37</v>
      </c>
      <c r="E253" s="10">
        <v>0</v>
      </c>
      <c r="F253" t="s">
        <v>121</v>
      </c>
    </row>
    <row r="254" spans="1:6">
      <c r="A254" t="s">
        <v>636</v>
      </c>
      <c r="B254" t="s">
        <v>637</v>
      </c>
      <c r="C254" t="s">
        <v>120</v>
      </c>
      <c r="D254" s="10">
        <v>503.74</v>
      </c>
      <c r="E254" s="10">
        <v>36</v>
      </c>
      <c r="F254" t="s">
        <v>125</v>
      </c>
    </row>
    <row r="255" spans="1:6">
      <c r="A255" t="s">
        <v>638</v>
      </c>
      <c r="B255" t="s">
        <v>639</v>
      </c>
      <c r="C255" t="s">
        <v>120</v>
      </c>
      <c r="D255" s="10">
        <v>379.61</v>
      </c>
      <c r="E255" s="10">
        <v>0</v>
      </c>
      <c r="F255" t="s">
        <v>129</v>
      </c>
    </row>
    <row r="256" spans="1:6">
      <c r="A256" t="s">
        <v>640</v>
      </c>
      <c r="B256" t="s">
        <v>641</v>
      </c>
      <c r="C256" t="s">
        <v>128</v>
      </c>
      <c r="D256" s="10">
        <v>714.28</v>
      </c>
      <c r="E256" s="10">
        <v>2</v>
      </c>
      <c r="F256" t="s">
        <v>133</v>
      </c>
    </row>
    <row r="257" spans="1:6">
      <c r="A257" t="s">
        <v>642</v>
      </c>
      <c r="B257" t="s">
        <v>643</v>
      </c>
      <c r="C257" t="s">
        <v>120</v>
      </c>
      <c r="D257" s="10">
        <v>658.58</v>
      </c>
      <c r="E257" s="10">
        <v>46</v>
      </c>
      <c r="F257" t="s">
        <v>136</v>
      </c>
    </row>
    <row r="258" spans="1:6">
      <c r="A258" t="s">
        <v>644</v>
      </c>
      <c r="B258" t="s">
        <v>645</v>
      </c>
      <c r="C258" t="s">
        <v>128</v>
      </c>
      <c r="D258" s="10">
        <v>515.22</v>
      </c>
      <c r="E258" s="10">
        <v>34</v>
      </c>
      <c r="F258" t="s">
        <v>139</v>
      </c>
    </row>
    <row r="259" spans="1:6">
      <c r="A259" t="s">
        <v>646</v>
      </c>
      <c r="B259" t="s">
        <v>647</v>
      </c>
      <c r="C259" t="s">
        <v>128</v>
      </c>
      <c r="D259" s="10">
        <v>203.71</v>
      </c>
      <c r="E259" s="10">
        <v>62</v>
      </c>
      <c r="F259" s="2" t="s">
        <v>142</v>
      </c>
    </row>
    <row r="260" spans="1:6">
      <c r="A260" t="s">
        <v>648</v>
      </c>
      <c r="B260" t="s">
        <v>649</v>
      </c>
      <c r="C260" t="s">
        <v>128</v>
      </c>
      <c r="D260" s="10">
        <v>628.94000000000005</v>
      </c>
      <c r="E260" s="10">
        <v>64</v>
      </c>
      <c r="F260" t="s">
        <v>146</v>
      </c>
    </row>
    <row r="261" spans="1:6">
      <c r="A261" t="s">
        <v>650</v>
      </c>
      <c r="B261" t="s">
        <v>651</v>
      </c>
      <c r="C261" t="s">
        <v>187</v>
      </c>
      <c r="D261" s="10">
        <v>388.72</v>
      </c>
      <c r="E261" s="10">
        <v>95</v>
      </c>
      <c r="F261" t="s">
        <v>149</v>
      </c>
    </row>
    <row r="262" spans="1:6">
      <c r="A262" t="s">
        <v>652</v>
      </c>
      <c r="B262" t="s">
        <v>653</v>
      </c>
      <c r="C262" t="s">
        <v>132</v>
      </c>
      <c r="D262" s="10">
        <v>114.38</v>
      </c>
      <c r="E262" s="10">
        <v>89</v>
      </c>
      <c r="F262" t="s">
        <v>117</v>
      </c>
    </row>
    <row r="263" spans="1:6">
      <c r="A263" t="s">
        <v>654</v>
      </c>
      <c r="B263" t="s">
        <v>655</v>
      </c>
      <c r="C263" t="s">
        <v>128</v>
      </c>
      <c r="D263" s="10">
        <v>963.67</v>
      </c>
      <c r="E263" s="10">
        <v>67</v>
      </c>
      <c r="F263" t="s">
        <v>121</v>
      </c>
    </row>
    <row r="264" spans="1:6">
      <c r="A264" t="s">
        <v>656</v>
      </c>
      <c r="B264" t="s">
        <v>657</v>
      </c>
      <c r="C264" t="s">
        <v>132</v>
      </c>
      <c r="D264" s="10">
        <v>119.73</v>
      </c>
      <c r="E264" s="10">
        <v>33</v>
      </c>
      <c r="F264" t="s">
        <v>125</v>
      </c>
    </row>
    <row r="265" spans="1:6">
      <c r="A265" t="s">
        <v>658</v>
      </c>
      <c r="B265" t="s">
        <v>659</v>
      </c>
      <c r="C265" t="s">
        <v>145</v>
      </c>
      <c r="D265" s="10">
        <v>360.15</v>
      </c>
      <c r="E265" s="10">
        <v>47</v>
      </c>
      <c r="F265" t="s">
        <v>129</v>
      </c>
    </row>
    <row r="266" spans="1:6">
      <c r="A266" t="s">
        <v>660</v>
      </c>
      <c r="B266" t="s">
        <v>661</v>
      </c>
      <c r="C266" t="s">
        <v>128</v>
      </c>
      <c r="D266" s="10">
        <v>976.24</v>
      </c>
      <c r="E266" s="10">
        <v>55</v>
      </c>
      <c r="F266" t="s">
        <v>133</v>
      </c>
    </row>
    <row r="267" spans="1:6">
      <c r="A267" t="s">
        <v>662</v>
      </c>
      <c r="B267" t="s">
        <v>663</v>
      </c>
      <c r="C267" t="s">
        <v>187</v>
      </c>
      <c r="D267" s="10">
        <v>797.81</v>
      </c>
      <c r="E267" s="10">
        <v>85</v>
      </c>
      <c r="F267" t="s">
        <v>136</v>
      </c>
    </row>
    <row r="268" spans="1:6">
      <c r="A268" t="s">
        <v>664</v>
      </c>
      <c r="B268" t="s">
        <v>665</v>
      </c>
      <c r="C268" t="s">
        <v>145</v>
      </c>
      <c r="D268" s="10">
        <v>210.18</v>
      </c>
      <c r="E268" s="10">
        <v>82</v>
      </c>
      <c r="F268" t="s">
        <v>139</v>
      </c>
    </row>
    <row r="269" spans="1:6">
      <c r="A269" t="s">
        <v>666</v>
      </c>
      <c r="B269" t="s">
        <v>667</v>
      </c>
      <c r="C269" t="s">
        <v>187</v>
      </c>
      <c r="D269" s="10">
        <v>449.69</v>
      </c>
      <c r="E269" s="10">
        <v>4</v>
      </c>
      <c r="F269" s="2" t="s">
        <v>142</v>
      </c>
    </row>
    <row r="270" spans="1:6">
      <c r="A270" t="s">
        <v>668</v>
      </c>
      <c r="B270" t="s">
        <v>669</v>
      </c>
      <c r="C270" t="s">
        <v>132</v>
      </c>
      <c r="D270" s="10">
        <v>256.45</v>
      </c>
      <c r="E270" s="10">
        <v>69</v>
      </c>
      <c r="F270" t="s">
        <v>146</v>
      </c>
    </row>
    <row r="271" spans="1:6">
      <c r="A271" t="s">
        <v>670</v>
      </c>
      <c r="B271" t="s">
        <v>671</v>
      </c>
      <c r="C271" t="s">
        <v>132</v>
      </c>
      <c r="D271" s="10">
        <v>187.52</v>
      </c>
      <c r="E271" s="10">
        <v>71</v>
      </c>
      <c r="F271" t="s">
        <v>149</v>
      </c>
    </row>
    <row r="272" spans="1:6">
      <c r="A272" t="s">
        <v>672</v>
      </c>
      <c r="B272" t="s">
        <v>673</v>
      </c>
      <c r="C272" t="s">
        <v>145</v>
      </c>
      <c r="D272" s="10">
        <v>124.46</v>
      </c>
      <c r="E272" s="10">
        <v>25</v>
      </c>
      <c r="F272" t="s">
        <v>117</v>
      </c>
    </row>
    <row r="273" spans="1:6">
      <c r="A273" t="s">
        <v>674</v>
      </c>
      <c r="B273" t="s">
        <v>675</v>
      </c>
      <c r="C273" t="s">
        <v>132</v>
      </c>
      <c r="D273" s="10">
        <v>312.91000000000003</v>
      </c>
      <c r="E273" s="10">
        <v>47</v>
      </c>
      <c r="F273" t="s">
        <v>121</v>
      </c>
    </row>
    <row r="274" spans="1:6">
      <c r="A274" t="s">
        <v>676</v>
      </c>
      <c r="B274" t="s">
        <v>677</v>
      </c>
      <c r="C274" t="s">
        <v>120</v>
      </c>
      <c r="D274" s="10">
        <v>989.84</v>
      </c>
      <c r="E274" s="10">
        <v>0</v>
      </c>
      <c r="F274" t="s">
        <v>125</v>
      </c>
    </row>
    <row r="275" spans="1:6">
      <c r="A275" t="s">
        <v>678</v>
      </c>
      <c r="B275" t="s">
        <v>679</v>
      </c>
      <c r="C275" t="s">
        <v>120</v>
      </c>
      <c r="D275" s="10">
        <v>417.69</v>
      </c>
      <c r="E275" s="10">
        <v>54</v>
      </c>
      <c r="F275" t="s">
        <v>129</v>
      </c>
    </row>
    <row r="276" spans="1:6">
      <c r="A276" t="s">
        <v>680</v>
      </c>
      <c r="B276" t="s">
        <v>681</v>
      </c>
      <c r="C276" t="s">
        <v>187</v>
      </c>
      <c r="D276" s="10">
        <v>610.87</v>
      </c>
      <c r="E276" s="10">
        <v>32</v>
      </c>
      <c r="F276" t="s">
        <v>133</v>
      </c>
    </row>
    <row r="277" spans="1:6">
      <c r="A277" t="s">
        <v>682</v>
      </c>
      <c r="B277" t="s">
        <v>683</v>
      </c>
      <c r="C277" t="s">
        <v>145</v>
      </c>
      <c r="D277" s="10">
        <v>719.3</v>
      </c>
      <c r="E277" s="10">
        <v>68</v>
      </c>
      <c r="F277" t="s">
        <v>136</v>
      </c>
    </row>
    <row r="278" spans="1:6">
      <c r="A278" t="s">
        <v>684</v>
      </c>
      <c r="B278" t="s">
        <v>685</v>
      </c>
      <c r="C278" t="s">
        <v>128</v>
      </c>
      <c r="D278" s="10">
        <v>554.79</v>
      </c>
      <c r="E278" s="10">
        <v>76</v>
      </c>
      <c r="F278" t="s">
        <v>139</v>
      </c>
    </row>
    <row r="279" spans="1:6">
      <c r="A279" t="s">
        <v>686</v>
      </c>
      <c r="B279" t="s">
        <v>687</v>
      </c>
      <c r="C279" t="s">
        <v>132</v>
      </c>
      <c r="D279" s="10">
        <v>865.73</v>
      </c>
      <c r="E279" s="10">
        <v>48</v>
      </c>
      <c r="F279" s="2" t="s">
        <v>142</v>
      </c>
    </row>
    <row r="280" spans="1:6">
      <c r="A280" t="s">
        <v>688</v>
      </c>
      <c r="B280" t="s">
        <v>689</v>
      </c>
      <c r="C280" t="s">
        <v>145</v>
      </c>
      <c r="D280" s="10">
        <v>95.29</v>
      </c>
      <c r="E280" s="10">
        <v>97</v>
      </c>
      <c r="F280" t="s">
        <v>146</v>
      </c>
    </row>
    <row r="281" spans="1:6">
      <c r="A281" t="s">
        <v>690</v>
      </c>
      <c r="B281" t="s">
        <v>691</v>
      </c>
      <c r="C281" t="s">
        <v>132</v>
      </c>
      <c r="D281" s="10">
        <v>276.58999999999997</v>
      </c>
      <c r="E281" s="10">
        <v>86</v>
      </c>
      <c r="F281" t="s">
        <v>149</v>
      </c>
    </row>
    <row r="282" spans="1:6">
      <c r="A282" t="s">
        <v>692</v>
      </c>
      <c r="B282" t="s">
        <v>693</v>
      </c>
      <c r="C282" t="s">
        <v>128</v>
      </c>
      <c r="D282" s="10">
        <v>192.63</v>
      </c>
      <c r="E282" s="10">
        <v>0</v>
      </c>
      <c r="F282" t="s">
        <v>117</v>
      </c>
    </row>
    <row r="283" spans="1:6">
      <c r="A283" t="s">
        <v>694</v>
      </c>
      <c r="B283" t="s">
        <v>695</v>
      </c>
      <c r="C283" t="s">
        <v>145</v>
      </c>
      <c r="D283" s="10">
        <v>966.13</v>
      </c>
      <c r="E283" s="10">
        <v>53</v>
      </c>
      <c r="F283" t="s">
        <v>121</v>
      </c>
    </row>
    <row r="284" spans="1:6">
      <c r="A284" t="s">
        <v>696</v>
      </c>
      <c r="B284" t="s">
        <v>697</v>
      </c>
      <c r="C284" t="s">
        <v>128</v>
      </c>
      <c r="D284" s="10">
        <v>195.15</v>
      </c>
      <c r="E284" s="10">
        <v>45</v>
      </c>
      <c r="F284" t="s">
        <v>125</v>
      </c>
    </row>
    <row r="285" spans="1:6">
      <c r="A285" t="s">
        <v>698</v>
      </c>
      <c r="B285" t="s">
        <v>699</v>
      </c>
      <c r="C285" t="s">
        <v>120</v>
      </c>
      <c r="D285" s="10">
        <v>603.51</v>
      </c>
      <c r="E285" s="10">
        <v>26</v>
      </c>
      <c r="F285" t="s">
        <v>129</v>
      </c>
    </row>
    <row r="286" spans="1:6">
      <c r="A286" t="s">
        <v>700</v>
      </c>
      <c r="B286" t="s">
        <v>701</v>
      </c>
      <c r="C286" t="s">
        <v>120</v>
      </c>
      <c r="D286" s="10">
        <v>403.91</v>
      </c>
      <c r="E286" s="10">
        <v>95</v>
      </c>
      <c r="F286" t="s">
        <v>133</v>
      </c>
    </row>
    <row r="287" spans="1:6">
      <c r="A287" t="s">
        <v>702</v>
      </c>
      <c r="B287" t="s">
        <v>703</v>
      </c>
      <c r="C287" t="s">
        <v>120</v>
      </c>
      <c r="D287" s="10">
        <v>84.93</v>
      </c>
      <c r="E287" s="10">
        <v>43</v>
      </c>
      <c r="F287" t="s">
        <v>136</v>
      </c>
    </row>
    <row r="288" spans="1:6">
      <c r="A288" t="s">
        <v>704</v>
      </c>
      <c r="B288" t="s">
        <v>705</v>
      </c>
      <c r="C288" t="s">
        <v>128</v>
      </c>
      <c r="D288" s="10">
        <v>964.55</v>
      </c>
      <c r="E288" s="10">
        <v>0</v>
      </c>
      <c r="F288" t="s">
        <v>139</v>
      </c>
    </row>
    <row r="289" spans="1:6">
      <c r="A289" t="s">
        <v>706</v>
      </c>
      <c r="B289" t="s">
        <v>707</v>
      </c>
      <c r="C289" t="s">
        <v>120</v>
      </c>
      <c r="D289" s="10">
        <v>547.49</v>
      </c>
      <c r="E289" s="10">
        <v>94</v>
      </c>
      <c r="F289" s="2" t="s">
        <v>142</v>
      </c>
    </row>
    <row r="290" spans="1:6">
      <c r="A290" t="s">
        <v>708</v>
      </c>
      <c r="B290" t="s">
        <v>709</v>
      </c>
      <c r="C290" t="s">
        <v>145</v>
      </c>
      <c r="D290" s="10">
        <v>830.77</v>
      </c>
      <c r="E290" s="10">
        <v>7</v>
      </c>
      <c r="F290" t="s">
        <v>146</v>
      </c>
    </row>
    <row r="291" spans="1:6">
      <c r="A291" t="s">
        <v>710</v>
      </c>
      <c r="B291" t="s">
        <v>711</v>
      </c>
      <c r="C291" t="s">
        <v>132</v>
      </c>
      <c r="D291" s="10">
        <v>604.09</v>
      </c>
      <c r="E291" s="10">
        <v>6</v>
      </c>
      <c r="F291" t="s">
        <v>149</v>
      </c>
    </row>
    <row r="292" spans="1:6">
      <c r="A292" t="s">
        <v>712</v>
      </c>
      <c r="B292" t="s">
        <v>713</v>
      </c>
      <c r="C292" t="s">
        <v>145</v>
      </c>
      <c r="D292" s="10">
        <v>84.84</v>
      </c>
      <c r="E292" s="10">
        <v>77</v>
      </c>
      <c r="F292" t="s">
        <v>117</v>
      </c>
    </row>
    <row r="293" spans="1:6">
      <c r="A293" t="s">
        <v>714</v>
      </c>
      <c r="B293" t="s">
        <v>715</v>
      </c>
      <c r="C293" t="s">
        <v>120</v>
      </c>
      <c r="D293" s="10">
        <v>925.89</v>
      </c>
      <c r="E293" s="10">
        <v>11</v>
      </c>
      <c r="F293" t="s">
        <v>121</v>
      </c>
    </row>
    <row r="294" spans="1:6">
      <c r="A294" t="s">
        <v>716</v>
      </c>
      <c r="B294" t="s">
        <v>717</v>
      </c>
      <c r="C294" t="s">
        <v>132</v>
      </c>
      <c r="D294" s="10">
        <v>720.77</v>
      </c>
      <c r="E294" s="10">
        <v>65</v>
      </c>
      <c r="F294" t="s">
        <v>125</v>
      </c>
    </row>
    <row r="295" spans="1:6">
      <c r="A295" t="s">
        <v>718</v>
      </c>
      <c r="B295" t="s">
        <v>719</v>
      </c>
      <c r="C295" t="s">
        <v>132</v>
      </c>
      <c r="D295" s="10">
        <v>943.6</v>
      </c>
      <c r="E295" s="10">
        <v>21</v>
      </c>
      <c r="F295" t="s">
        <v>129</v>
      </c>
    </row>
    <row r="296" spans="1:6">
      <c r="A296" t="s">
        <v>720</v>
      </c>
      <c r="B296" t="s">
        <v>721</v>
      </c>
      <c r="C296" t="s">
        <v>187</v>
      </c>
      <c r="D296" s="10">
        <v>838.11</v>
      </c>
      <c r="E296" s="10">
        <v>74</v>
      </c>
      <c r="F296" t="s">
        <v>133</v>
      </c>
    </row>
    <row r="297" spans="1:6">
      <c r="A297" t="s">
        <v>722</v>
      </c>
      <c r="B297" t="s">
        <v>723</v>
      </c>
      <c r="C297" t="s">
        <v>120</v>
      </c>
      <c r="D297" s="10">
        <v>549.20000000000005</v>
      </c>
      <c r="E297" s="10">
        <v>52</v>
      </c>
      <c r="F297" t="s">
        <v>136</v>
      </c>
    </row>
    <row r="298" spans="1:6">
      <c r="A298" t="s">
        <v>724</v>
      </c>
      <c r="B298" t="s">
        <v>725</v>
      </c>
      <c r="C298" t="s">
        <v>128</v>
      </c>
      <c r="D298" s="10">
        <v>514.66999999999996</v>
      </c>
      <c r="E298" s="10">
        <v>13</v>
      </c>
      <c r="F298" t="s">
        <v>139</v>
      </c>
    </row>
    <row r="299" spans="1:6">
      <c r="A299" t="s">
        <v>726</v>
      </c>
      <c r="B299" t="s">
        <v>727</v>
      </c>
      <c r="C299" t="s">
        <v>120</v>
      </c>
      <c r="D299" s="10">
        <v>477.28</v>
      </c>
      <c r="E299" s="10">
        <v>17</v>
      </c>
      <c r="F299" s="2" t="s">
        <v>142</v>
      </c>
    </row>
    <row r="300" spans="1:6">
      <c r="A300" t="s">
        <v>728</v>
      </c>
      <c r="B300" t="s">
        <v>729</v>
      </c>
      <c r="C300" t="s">
        <v>128</v>
      </c>
      <c r="D300" s="10">
        <v>767.76</v>
      </c>
      <c r="E300" s="10">
        <v>84</v>
      </c>
      <c r="F300" t="s">
        <v>146</v>
      </c>
    </row>
    <row r="301" spans="1:6">
      <c r="A301" t="s">
        <v>730</v>
      </c>
      <c r="B301" t="s">
        <v>731</v>
      </c>
      <c r="C301" t="s">
        <v>132</v>
      </c>
      <c r="D301" s="10">
        <v>584.52</v>
      </c>
      <c r="E301" s="10">
        <v>0</v>
      </c>
      <c r="F301" t="s">
        <v>149</v>
      </c>
    </row>
    <row r="302" spans="1:6">
      <c r="A302" t="s">
        <v>732</v>
      </c>
      <c r="B302" t="s">
        <v>733</v>
      </c>
      <c r="C302" t="s">
        <v>132</v>
      </c>
      <c r="D302" s="10">
        <v>624.82000000000005</v>
      </c>
      <c r="E302" s="10">
        <v>92</v>
      </c>
      <c r="F302" t="s">
        <v>117</v>
      </c>
    </row>
    <row r="303" spans="1:6">
      <c r="A303" t="s">
        <v>734</v>
      </c>
      <c r="B303" t="s">
        <v>735</v>
      </c>
      <c r="C303" t="s">
        <v>145</v>
      </c>
      <c r="D303" s="10">
        <v>324.95999999999998</v>
      </c>
      <c r="E303" s="10">
        <v>18</v>
      </c>
      <c r="F303" t="s">
        <v>121</v>
      </c>
    </row>
    <row r="304" spans="1:6">
      <c r="A304" t="s">
        <v>736</v>
      </c>
      <c r="B304" t="s">
        <v>737</v>
      </c>
      <c r="C304" t="s">
        <v>132</v>
      </c>
      <c r="D304" s="10">
        <v>337.88</v>
      </c>
      <c r="E304" s="10">
        <v>7</v>
      </c>
      <c r="F304" t="s">
        <v>125</v>
      </c>
    </row>
    <row r="305" spans="1:6">
      <c r="A305" t="s">
        <v>738</v>
      </c>
      <c r="B305" t="s">
        <v>739</v>
      </c>
      <c r="C305" t="s">
        <v>132</v>
      </c>
      <c r="D305" s="10">
        <v>542.5</v>
      </c>
      <c r="E305" s="10">
        <v>70</v>
      </c>
      <c r="F305" t="s">
        <v>129</v>
      </c>
    </row>
    <row r="306" spans="1:6">
      <c r="A306" t="s">
        <v>740</v>
      </c>
      <c r="B306" t="s">
        <v>741</v>
      </c>
      <c r="C306" t="s">
        <v>120</v>
      </c>
      <c r="D306" s="10">
        <v>986.72</v>
      </c>
      <c r="E306" s="10">
        <v>94</v>
      </c>
      <c r="F306" t="s">
        <v>133</v>
      </c>
    </row>
    <row r="307" spans="1:6">
      <c r="A307" t="s">
        <v>742</v>
      </c>
      <c r="B307" t="s">
        <v>743</v>
      </c>
      <c r="C307" t="s">
        <v>187</v>
      </c>
      <c r="D307" s="10">
        <v>103.69</v>
      </c>
      <c r="E307" s="10">
        <v>41</v>
      </c>
      <c r="F307" t="s">
        <v>136</v>
      </c>
    </row>
    <row r="308" spans="1:6">
      <c r="A308" t="s">
        <v>744</v>
      </c>
      <c r="B308" t="s">
        <v>745</v>
      </c>
      <c r="C308" t="s">
        <v>145</v>
      </c>
      <c r="D308" s="10">
        <v>367.49</v>
      </c>
      <c r="E308" s="10">
        <v>31</v>
      </c>
      <c r="F308" t="s">
        <v>139</v>
      </c>
    </row>
    <row r="309" spans="1:6">
      <c r="A309" t="s">
        <v>746</v>
      </c>
      <c r="B309" t="s">
        <v>747</v>
      </c>
      <c r="C309" t="s">
        <v>187</v>
      </c>
      <c r="D309" s="10">
        <v>958.77</v>
      </c>
      <c r="E309" s="10">
        <v>22</v>
      </c>
      <c r="F309" s="2" t="s">
        <v>142</v>
      </c>
    </row>
    <row r="310" spans="1:6">
      <c r="A310" t="s">
        <v>748</v>
      </c>
      <c r="B310" t="s">
        <v>749</v>
      </c>
      <c r="C310" t="s">
        <v>145</v>
      </c>
      <c r="D310" s="10">
        <v>328</v>
      </c>
      <c r="E310" s="10">
        <v>68</v>
      </c>
      <c r="F310" t="s">
        <v>146</v>
      </c>
    </row>
    <row r="311" spans="1:6">
      <c r="A311" t="s">
        <v>750</v>
      </c>
      <c r="B311" t="s">
        <v>751</v>
      </c>
      <c r="C311" t="s">
        <v>145</v>
      </c>
      <c r="D311" s="10">
        <v>909.59</v>
      </c>
      <c r="E311" s="10">
        <v>15</v>
      </c>
      <c r="F311" t="s">
        <v>149</v>
      </c>
    </row>
    <row r="312" spans="1:6">
      <c r="A312" t="s">
        <v>752</v>
      </c>
      <c r="B312" t="s">
        <v>753</v>
      </c>
      <c r="C312" t="s">
        <v>187</v>
      </c>
      <c r="D312" s="10">
        <v>358.53</v>
      </c>
      <c r="E312" s="10">
        <v>35</v>
      </c>
      <c r="F312" t="s">
        <v>117</v>
      </c>
    </row>
    <row r="313" spans="1:6">
      <c r="A313" t="s">
        <v>754</v>
      </c>
      <c r="B313" t="s">
        <v>755</v>
      </c>
      <c r="C313" t="s">
        <v>120</v>
      </c>
      <c r="D313" s="10">
        <v>709.05</v>
      </c>
      <c r="E313" s="10">
        <v>47</v>
      </c>
      <c r="F313" t="s">
        <v>121</v>
      </c>
    </row>
    <row r="314" spans="1:6">
      <c r="A314" t="s">
        <v>756</v>
      </c>
      <c r="B314" t="s">
        <v>757</v>
      </c>
      <c r="C314" t="s">
        <v>132</v>
      </c>
      <c r="D314" s="10">
        <v>894.49</v>
      </c>
      <c r="E314" s="10">
        <v>6</v>
      </c>
      <c r="F314" t="s">
        <v>125</v>
      </c>
    </row>
    <row r="315" spans="1:6">
      <c r="A315" t="s">
        <v>758</v>
      </c>
      <c r="B315" t="s">
        <v>759</v>
      </c>
      <c r="C315" t="s">
        <v>128</v>
      </c>
      <c r="D315" s="10">
        <v>719.34</v>
      </c>
      <c r="E315" s="10">
        <v>44</v>
      </c>
      <c r="F315" t="s">
        <v>129</v>
      </c>
    </row>
    <row r="316" spans="1:6">
      <c r="A316" t="s">
        <v>760</v>
      </c>
      <c r="B316" t="s">
        <v>761</v>
      </c>
      <c r="C316" t="s">
        <v>132</v>
      </c>
      <c r="D316" s="10">
        <v>407.29</v>
      </c>
      <c r="E316" s="10">
        <v>98</v>
      </c>
      <c r="F316" t="s">
        <v>133</v>
      </c>
    </row>
    <row r="317" spans="1:6">
      <c r="A317" t="s">
        <v>762</v>
      </c>
      <c r="B317" t="s">
        <v>763</v>
      </c>
      <c r="C317" t="s">
        <v>187</v>
      </c>
      <c r="D317" s="10">
        <v>754.38</v>
      </c>
      <c r="E317" s="10">
        <v>24</v>
      </c>
      <c r="F317" t="s">
        <v>136</v>
      </c>
    </row>
    <row r="318" spans="1:6">
      <c r="A318" t="s">
        <v>764</v>
      </c>
      <c r="B318" t="s">
        <v>765</v>
      </c>
      <c r="C318" t="s">
        <v>120</v>
      </c>
      <c r="D318" s="10">
        <v>958.09</v>
      </c>
      <c r="E318" s="10">
        <v>84</v>
      </c>
      <c r="F318" t="s">
        <v>139</v>
      </c>
    </row>
    <row r="319" spans="1:6">
      <c r="A319" t="s">
        <v>766</v>
      </c>
      <c r="B319" t="s">
        <v>767</v>
      </c>
      <c r="C319" t="s">
        <v>120</v>
      </c>
      <c r="D319" s="10">
        <v>458.26</v>
      </c>
      <c r="E319" s="10">
        <v>42</v>
      </c>
      <c r="F319" s="2" t="s">
        <v>142</v>
      </c>
    </row>
    <row r="320" spans="1:6">
      <c r="A320" t="s">
        <v>768</v>
      </c>
      <c r="B320" t="s">
        <v>769</v>
      </c>
      <c r="C320" t="s">
        <v>132</v>
      </c>
      <c r="D320" s="10">
        <v>793.08</v>
      </c>
      <c r="E320" s="10">
        <v>0</v>
      </c>
      <c r="F320" t="s">
        <v>146</v>
      </c>
    </row>
    <row r="321" spans="1:6">
      <c r="A321" t="s">
        <v>770</v>
      </c>
      <c r="B321" t="s">
        <v>771</v>
      </c>
      <c r="C321" t="s">
        <v>187</v>
      </c>
      <c r="D321" s="10">
        <v>954.81</v>
      </c>
      <c r="E321" s="10">
        <v>15</v>
      </c>
      <c r="F321" t="s">
        <v>149</v>
      </c>
    </row>
    <row r="322" spans="1:6">
      <c r="A322" t="s">
        <v>772</v>
      </c>
      <c r="B322" t="s">
        <v>773</v>
      </c>
      <c r="C322" t="s">
        <v>187</v>
      </c>
      <c r="D322" s="10">
        <v>510.13</v>
      </c>
      <c r="E322" s="10">
        <v>47</v>
      </c>
      <c r="F322" t="s">
        <v>117</v>
      </c>
    </row>
    <row r="323" spans="1:6">
      <c r="A323" t="s">
        <v>774</v>
      </c>
      <c r="B323" t="s">
        <v>775</v>
      </c>
      <c r="C323" t="s">
        <v>132</v>
      </c>
      <c r="D323" s="10">
        <v>188.34</v>
      </c>
      <c r="E323" s="10">
        <v>95</v>
      </c>
      <c r="F323" t="s">
        <v>121</v>
      </c>
    </row>
    <row r="324" spans="1:6">
      <c r="A324" t="s">
        <v>776</v>
      </c>
      <c r="B324" t="s">
        <v>777</v>
      </c>
      <c r="C324" t="s">
        <v>120</v>
      </c>
      <c r="D324" s="10">
        <v>184.92</v>
      </c>
      <c r="E324" s="10">
        <v>60</v>
      </c>
      <c r="F324" t="s">
        <v>125</v>
      </c>
    </row>
    <row r="325" spans="1:6">
      <c r="A325" t="s">
        <v>778</v>
      </c>
      <c r="B325" t="s">
        <v>779</v>
      </c>
      <c r="C325" t="s">
        <v>120</v>
      </c>
      <c r="D325" s="10">
        <v>550.88</v>
      </c>
      <c r="E325" s="10">
        <v>99</v>
      </c>
      <c r="F325" t="s">
        <v>129</v>
      </c>
    </row>
    <row r="326" spans="1:6">
      <c r="A326" t="s">
        <v>780</v>
      </c>
      <c r="B326" t="s">
        <v>781</v>
      </c>
      <c r="C326" t="s">
        <v>128</v>
      </c>
      <c r="D326" s="10">
        <v>735.53</v>
      </c>
      <c r="E326" s="10">
        <v>0</v>
      </c>
      <c r="F326" t="s">
        <v>133</v>
      </c>
    </row>
    <row r="327" spans="1:6">
      <c r="A327" t="s">
        <v>782</v>
      </c>
      <c r="B327" t="s">
        <v>783</v>
      </c>
      <c r="C327" t="s">
        <v>128</v>
      </c>
      <c r="D327" s="10">
        <v>904.83</v>
      </c>
      <c r="E327" s="10">
        <v>3</v>
      </c>
      <c r="F327" t="s">
        <v>136</v>
      </c>
    </row>
    <row r="328" spans="1:6">
      <c r="A328" t="s">
        <v>784</v>
      </c>
      <c r="B328" t="s">
        <v>785</v>
      </c>
      <c r="C328" t="s">
        <v>187</v>
      </c>
      <c r="D328" s="10">
        <v>880.99</v>
      </c>
      <c r="E328" s="10">
        <v>78</v>
      </c>
      <c r="F328" t="s">
        <v>139</v>
      </c>
    </row>
    <row r="329" spans="1:6">
      <c r="A329" t="s">
        <v>786</v>
      </c>
      <c r="B329" t="s">
        <v>787</v>
      </c>
      <c r="C329" t="s">
        <v>187</v>
      </c>
      <c r="D329" s="10">
        <v>73.87</v>
      </c>
      <c r="E329" s="10">
        <v>72</v>
      </c>
      <c r="F329" s="2" t="s">
        <v>142</v>
      </c>
    </row>
    <row r="330" spans="1:6">
      <c r="A330" t="s">
        <v>788</v>
      </c>
      <c r="B330" t="s">
        <v>789</v>
      </c>
      <c r="C330" t="s">
        <v>132</v>
      </c>
      <c r="D330" s="10">
        <v>894.91</v>
      </c>
      <c r="E330" s="10">
        <v>8</v>
      </c>
      <c r="F330" t="s">
        <v>146</v>
      </c>
    </row>
    <row r="331" spans="1:6">
      <c r="A331" t="s">
        <v>790</v>
      </c>
      <c r="B331" t="s">
        <v>791</v>
      </c>
      <c r="C331" t="s">
        <v>128</v>
      </c>
      <c r="D331" s="10">
        <v>572.44000000000005</v>
      </c>
      <c r="E331" s="10">
        <v>72</v>
      </c>
      <c r="F331" t="s">
        <v>149</v>
      </c>
    </row>
    <row r="332" spans="1:6">
      <c r="A332" t="s">
        <v>792</v>
      </c>
      <c r="B332" t="s">
        <v>793</v>
      </c>
      <c r="C332" t="s">
        <v>132</v>
      </c>
      <c r="D332" s="10">
        <v>648.57000000000005</v>
      </c>
      <c r="E332" s="10">
        <v>26</v>
      </c>
      <c r="F332" t="s">
        <v>117</v>
      </c>
    </row>
    <row r="333" spans="1:6">
      <c r="A333" t="s">
        <v>794</v>
      </c>
      <c r="B333" t="s">
        <v>795</v>
      </c>
      <c r="C333" t="s">
        <v>145</v>
      </c>
      <c r="D333" s="10">
        <v>736.3</v>
      </c>
      <c r="E333" s="10">
        <v>0</v>
      </c>
      <c r="F333" t="s">
        <v>121</v>
      </c>
    </row>
    <row r="334" spans="1:6">
      <c r="A334" t="s">
        <v>796</v>
      </c>
      <c r="B334" t="s">
        <v>797</v>
      </c>
      <c r="C334" t="s">
        <v>128</v>
      </c>
      <c r="D334" s="10">
        <v>777.31</v>
      </c>
      <c r="E334" s="10">
        <v>90</v>
      </c>
      <c r="F334" t="s">
        <v>125</v>
      </c>
    </row>
    <row r="335" spans="1:6">
      <c r="A335" t="s">
        <v>798</v>
      </c>
      <c r="B335" t="s">
        <v>799</v>
      </c>
      <c r="C335" t="s">
        <v>132</v>
      </c>
      <c r="D335" s="10">
        <v>693.46</v>
      </c>
      <c r="E335" s="10">
        <v>75</v>
      </c>
      <c r="F335" t="s">
        <v>129</v>
      </c>
    </row>
    <row r="336" spans="1:6">
      <c r="A336" t="s">
        <v>800</v>
      </c>
      <c r="B336" t="s">
        <v>801</v>
      </c>
      <c r="C336" t="s">
        <v>132</v>
      </c>
      <c r="D336" s="10">
        <v>547.19000000000005</v>
      </c>
      <c r="E336" s="10">
        <v>30</v>
      </c>
      <c r="F336" t="s">
        <v>133</v>
      </c>
    </row>
    <row r="337" spans="1:6">
      <c r="A337" t="s">
        <v>802</v>
      </c>
      <c r="B337" t="s">
        <v>803</v>
      </c>
      <c r="C337" t="s">
        <v>132</v>
      </c>
      <c r="D337" s="10">
        <v>729.63</v>
      </c>
      <c r="E337" s="10">
        <v>9</v>
      </c>
      <c r="F337" t="s">
        <v>136</v>
      </c>
    </row>
    <row r="338" spans="1:6">
      <c r="A338" t="s">
        <v>804</v>
      </c>
      <c r="B338" t="s">
        <v>805</v>
      </c>
      <c r="C338" t="s">
        <v>120</v>
      </c>
      <c r="D338" s="10">
        <v>287.58</v>
      </c>
      <c r="E338" s="10">
        <v>45</v>
      </c>
      <c r="F338" t="s">
        <v>139</v>
      </c>
    </row>
    <row r="339" spans="1:6">
      <c r="A339" t="s">
        <v>806</v>
      </c>
      <c r="B339" t="s">
        <v>807</v>
      </c>
      <c r="C339" t="s">
        <v>145</v>
      </c>
      <c r="D339" s="10">
        <v>222.73</v>
      </c>
      <c r="E339" s="10">
        <v>62</v>
      </c>
      <c r="F339" s="2" t="s">
        <v>142</v>
      </c>
    </row>
    <row r="340" spans="1:6">
      <c r="A340" t="s">
        <v>808</v>
      </c>
      <c r="B340" t="s">
        <v>809</v>
      </c>
      <c r="C340" t="s">
        <v>132</v>
      </c>
      <c r="D340" s="10">
        <v>871.83</v>
      </c>
      <c r="E340" s="10">
        <v>71</v>
      </c>
      <c r="F340" t="s">
        <v>146</v>
      </c>
    </row>
    <row r="341" spans="1:6">
      <c r="A341" t="s">
        <v>810</v>
      </c>
      <c r="B341" t="s">
        <v>811</v>
      </c>
      <c r="C341" t="s">
        <v>187</v>
      </c>
      <c r="D341" s="10">
        <v>236.7</v>
      </c>
      <c r="E341" s="10">
        <v>74</v>
      </c>
      <c r="F341" t="s">
        <v>149</v>
      </c>
    </row>
    <row r="342" spans="1:6">
      <c r="A342" t="s">
        <v>812</v>
      </c>
      <c r="B342" t="s">
        <v>813</v>
      </c>
      <c r="C342" t="s">
        <v>132</v>
      </c>
      <c r="D342" s="10">
        <v>963.67</v>
      </c>
      <c r="E342" s="10">
        <v>23</v>
      </c>
      <c r="F342" t="s">
        <v>117</v>
      </c>
    </row>
    <row r="343" spans="1:6">
      <c r="A343" t="s">
        <v>814</v>
      </c>
      <c r="B343" t="s">
        <v>815</v>
      </c>
      <c r="C343" t="s">
        <v>132</v>
      </c>
      <c r="D343" s="10">
        <v>963.39</v>
      </c>
      <c r="E343" s="10">
        <v>67</v>
      </c>
      <c r="F343" t="s">
        <v>121</v>
      </c>
    </row>
    <row r="344" spans="1:6">
      <c r="A344" t="s">
        <v>816</v>
      </c>
      <c r="B344" t="s">
        <v>817</v>
      </c>
      <c r="C344" t="s">
        <v>187</v>
      </c>
      <c r="D344" s="10">
        <v>385.63</v>
      </c>
      <c r="E344" s="10">
        <v>0</v>
      </c>
      <c r="F344" t="s">
        <v>125</v>
      </c>
    </row>
    <row r="345" spans="1:6">
      <c r="A345" t="s">
        <v>818</v>
      </c>
      <c r="B345" t="s">
        <v>819</v>
      </c>
      <c r="C345" t="s">
        <v>132</v>
      </c>
      <c r="D345" s="10">
        <v>596.26</v>
      </c>
      <c r="E345" s="10">
        <v>0</v>
      </c>
      <c r="F345" t="s">
        <v>129</v>
      </c>
    </row>
    <row r="346" spans="1:6">
      <c r="A346" t="s">
        <v>820</v>
      </c>
      <c r="B346" t="s">
        <v>821</v>
      </c>
      <c r="C346" t="s">
        <v>120</v>
      </c>
      <c r="D346" s="10">
        <v>656.03</v>
      </c>
      <c r="E346" s="10">
        <v>5</v>
      </c>
      <c r="F346" t="s">
        <v>133</v>
      </c>
    </row>
    <row r="347" spans="1:6">
      <c r="A347" t="s">
        <v>822</v>
      </c>
      <c r="B347" t="s">
        <v>823</v>
      </c>
      <c r="C347" t="s">
        <v>132</v>
      </c>
      <c r="D347" s="10">
        <v>860.38</v>
      </c>
      <c r="E347" s="10">
        <v>4</v>
      </c>
      <c r="F347" t="s">
        <v>136</v>
      </c>
    </row>
    <row r="348" spans="1:6">
      <c r="A348" t="s">
        <v>824</v>
      </c>
      <c r="B348" t="s">
        <v>825</v>
      </c>
      <c r="C348" t="s">
        <v>145</v>
      </c>
      <c r="D348" s="10">
        <v>218.11</v>
      </c>
      <c r="E348" s="10">
        <v>1</v>
      </c>
      <c r="F348" t="s">
        <v>139</v>
      </c>
    </row>
    <row r="349" spans="1:6">
      <c r="A349" t="s">
        <v>826</v>
      </c>
      <c r="B349" t="s">
        <v>827</v>
      </c>
      <c r="C349" t="s">
        <v>132</v>
      </c>
      <c r="D349" s="10">
        <v>869.7</v>
      </c>
      <c r="E349" s="10">
        <v>84</v>
      </c>
      <c r="F349" s="2" t="s">
        <v>142</v>
      </c>
    </row>
    <row r="350" spans="1:6">
      <c r="A350" t="s">
        <v>828</v>
      </c>
      <c r="B350" t="s">
        <v>829</v>
      </c>
      <c r="C350" t="s">
        <v>128</v>
      </c>
      <c r="D350" s="10">
        <v>963.7</v>
      </c>
      <c r="E350" s="10">
        <v>4</v>
      </c>
      <c r="F350" t="s">
        <v>146</v>
      </c>
    </row>
    <row r="351" spans="1:6">
      <c r="A351" t="s">
        <v>830</v>
      </c>
      <c r="B351" t="s">
        <v>831</v>
      </c>
      <c r="C351" t="s">
        <v>132</v>
      </c>
      <c r="D351" s="10">
        <v>418.92</v>
      </c>
      <c r="E351" s="10">
        <v>50</v>
      </c>
      <c r="F351" t="s">
        <v>149</v>
      </c>
    </row>
    <row r="352" spans="1:6">
      <c r="A352" t="s">
        <v>832</v>
      </c>
      <c r="B352" t="s">
        <v>833</v>
      </c>
      <c r="C352" t="s">
        <v>132</v>
      </c>
      <c r="D352" s="10">
        <v>261.97000000000003</v>
      </c>
      <c r="E352" s="10">
        <v>0</v>
      </c>
      <c r="F352" t="s">
        <v>117</v>
      </c>
    </row>
    <row r="353" spans="1:6">
      <c r="A353" t="s">
        <v>834</v>
      </c>
      <c r="B353" t="s">
        <v>835</v>
      </c>
      <c r="C353" t="s">
        <v>128</v>
      </c>
      <c r="D353" s="10">
        <v>602.94000000000005</v>
      </c>
      <c r="E353" s="10">
        <v>37</v>
      </c>
      <c r="F353" t="s">
        <v>121</v>
      </c>
    </row>
    <row r="354" spans="1:6">
      <c r="A354" t="s">
        <v>836</v>
      </c>
      <c r="B354" t="s">
        <v>837</v>
      </c>
      <c r="C354" t="s">
        <v>128</v>
      </c>
      <c r="D354" s="10">
        <v>816.26</v>
      </c>
      <c r="E354" s="10">
        <v>8</v>
      </c>
      <c r="F354" t="s">
        <v>125</v>
      </c>
    </row>
    <row r="355" spans="1:6">
      <c r="A355" t="s">
        <v>838</v>
      </c>
      <c r="B355" t="s">
        <v>839</v>
      </c>
      <c r="C355" t="s">
        <v>145</v>
      </c>
      <c r="D355" s="10">
        <v>211.36</v>
      </c>
      <c r="E355" s="10">
        <v>42</v>
      </c>
      <c r="F355" t="s">
        <v>129</v>
      </c>
    </row>
    <row r="356" spans="1:6">
      <c r="A356" t="s">
        <v>840</v>
      </c>
      <c r="B356" t="s">
        <v>841</v>
      </c>
      <c r="C356" t="s">
        <v>128</v>
      </c>
      <c r="D356" s="10">
        <v>429.86</v>
      </c>
      <c r="E356" s="10">
        <v>58</v>
      </c>
      <c r="F356" t="s">
        <v>133</v>
      </c>
    </row>
    <row r="357" spans="1:6">
      <c r="A357" t="s">
        <v>842</v>
      </c>
      <c r="B357" t="s">
        <v>843</v>
      </c>
      <c r="C357" t="s">
        <v>132</v>
      </c>
      <c r="D357" s="10">
        <v>891.65</v>
      </c>
      <c r="E357" s="10">
        <v>9</v>
      </c>
      <c r="F357" t="s">
        <v>136</v>
      </c>
    </row>
    <row r="358" spans="1:6">
      <c r="A358" t="s">
        <v>844</v>
      </c>
      <c r="B358" t="s">
        <v>845</v>
      </c>
      <c r="C358" t="s">
        <v>128</v>
      </c>
      <c r="D358" s="10">
        <v>683.23</v>
      </c>
      <c r="E358" s="10">
        <v>47</v>
      </c>
      <c r="F358" t="s">
        <v>139</v>
      </c>
    </row>
    <row r="359" spans="1:6">
      <c r="A359" t="s">
        <v>846</v>
      </c>
      <c r="B359" t="s">
        <v>847</v>
      </c>
      <c r="C359" t="s">
        <v>132</v>
      </c>
      <c r="D359" s="10">
        <v>365.1</v>
      </c>
      <c r="E359" s="10">
        <v>80</v>
      </c>
      <c r="F359" s="2" t="s">
        <v>142</v>
      </c>
    </row>
    <row r="360" spans="1:6">
      <c r="A360" t="s">
        <v>848</v>
      </c>
      <c r="B360" t="s">
        <v>849</v>
      </c>
      <c r="C360" t="s">
        <v>128</v>
      </c>
      <c r="D360" s="10">
        <v>608.1</v>
      </c>
      <c r="E360" s="10">
        <v>0</v>
      </c>
      <c r="F360" t="s">
        <v>146</v>
      </c>
    </row>
    <row r="361" spans="1:6">
      <c r="A361" t="s">
        <v>850</v>
      </c>
      <c r="B361" t="s">
        <v>851</v>
      </c>
      <c r="C361" t="s">
        <v>128</v>
      </c>
      <c r="D361" s="10">
        <v>495.37</v>
      </c>
      <c r="E361" s="10">
        <v>35</v>
      </c>
      <c r="F361" t="s">
        <v>149</v>
      </c>
    </row>
    <row r="362" spans="1:6">
      <c r="A362" t="s">
        <v>852</v>
      </c>
      <c r="B362" t="s">
        <v>853</v>
      </c>
      <c r="C362" t="s">
        <v>120</v>
      </c>
      <c r="D362" s="10">
        <v>999.62</v>
      </c>
      <c r="E362" s="10">
        <v>82</v>
      </c>
      <c r="F362" t="s">
        <v>117</v>
      </c>
    </row>
    <row r="363" spans="1:6">
      <c r="A363" t="s">
        <v>854</v>
      </c>
      <c r="B363" t="s">
        <v>855</v>
      </c>
      <c r="C363" t="s">
        <v>132</v>
      </c>
      <c r="D363" s="10">
        <v>810.19</v>
      </c>
      <c r="E363" s="10">
        <v>25</v>
      </c>
      <c r="F363" t="s">
        <v>121</v>
      </c>
    </row>
    <row r="364" spans="1:6">
      <c r="A364" t="s">
        <v>856</v>
      </c>
      <c r="B364" t="s">
        <v>857</v>
      </c>
      <c r="C364" t="s">
        <v>187</v>
      </c>
      <c r="D364" s="10">
        <v>688.72</v>
      </c>
      <c r="E364" s="10">
        <v>45</v>
      </c>
      <c r="F364" t="s">
        <v>125</v>
      </c>
    </row>
    <row r="365" spans="1:6">
      <c r="A365" t="s">
        <v>858</v>
      </c>
      <c r="B365" t="s">
        <v>859</v>
      </c>
      <c r="C365" t="s">
        <v>128</v>
      </c>
      <c r="D365" s="10">
        <v>804.4</v>
      </c>
      <c r="E365" s="10">
        <v>88</v>
      </c>
      <c r="F365" t="s">
        <v>129</v>
      </c>
    </row>
    <row r="366" spans="1:6">
      <c r="A366" t="s">
        <v>860</v>
      </c>
      <c r="B366" t="s">
        <v>861</v>
      </c>
      <c r="C366" t="s">
        <v>120</v>
      </c>
      <c r="D366" s="10">
        <v>501.69</v>
      </c>
      <c r="E366" s="10">
        <v>70</v>
      </c>
      <c r="F366" t="s">
        <v>133</v>
      </c>
    </row>
    <row r="367" spans="1:6">
      <c r="A367" t="s">
        <v>862</v>
      </c>
      <c r="B367" t="s">
        <v>863</v>
      </c>
      <c r="C367" t="s">
        <v>120</v>
      </c>
      <c r="D367" s="10">
        <v>863.92</v>
      </c>
      <c r="E367" s="10">
        <v>17</v>
      </c>
      <c r="F367" t="s">
        <v>136</v>
      </c>
    </row>
    <row r="368" spans="1:6">
      <c r="A368" t="s">
        <v>864</v>
      </c>
      <c r="B368" t="s">
        <v>865</v>
      </c>
      <c r="C368" t="s">
        <v>145</v>
      </c>
      <c r="D368" s="10">
        <v>653.04</v>
      </c>
      <c r="E368" s="10">
        <v>43</v>
      </c>
      <c r="F368" t="s">
        <v>139</v>
      </c>
    </row>
    <row r="369" spans="1:6">
      <c r="A369" t="s">
        <v>866</v>
      </c>
      <c r="B369" t="s">
        <v>867</v>
      </c>
      <c r="C369" t="s">
        <v>120</v>
      </c>
      <c r="D369" s="10">
        <v>287.69</v>
      </c>
      <c r="E369" s="10">
        <v>8</v>
      </c>
      <c r="F369" s="2" t="s">
        <v>142</v>
      </c>
    </row>
    <row r="370" spans="1:6">
      <c r="A370" t="s">
        <v>868</v>
      </c>
      <c r="B370" t="s">
        <v>869</v>
      </c>
      <c r="C370" t="s">
        <v>120</v>
      </c>
      <c r="D370" s="10">
        <v>175.63</v>
      </c>
      <c r="E370" s="10">
        <v>3</v>
      </c>
      <c r="F370" t="s">
        <v>146</v>
      </c>
    </row>
    <row r="371" spans="1:6">
      <c r="A371" t="s">
        <v>870</v>
      </c>
      <c r="B371" t="s">
        <v>871</v>
      </c>
      <c r="C371" t="s">
        <v>120</v>
      </c>
      <c r="D371" s="10">
        <v>650.97</v>
      </c>
      <c r="E371" s="10">
        <v>34</v>
      </c>
      <c r="F371" t="s">
        <v>149</v>
      </c>
    </row>
    <row r="372" spans="1:6">
      <c r="A372" t="s">
        <v>872</v>
      </c>
      <c r="B372" t="s">
        <v>873</v>
      </c>
      <c r="C372" t="s">
        <v>120</v>
      </c>
      <c r="D372" s="10">
        <v>778.01</v>
      </c>
      <c r="E372" s="10">
        <v>75</v>
      </c>
      <c r="F372" t="s">
        <v>117</v>
      </c>
    </row>
    <row r="373" spans="1:6">
      <c r="A373" t="s">
        <v>874</v>
      </c>
      <c r="B373" t="s">
        <v>875</v>
      </c>
      <c r="C373" t="s">
        <v>128</v>
      </c>
      <c r="D373" s="10">
        <v>358.25</v>
      </c>
      <c r="E373" s="10">
        <v>61</v>
      </c>
      <c r="F373" t="s">
        <v>121</v>
      </c>
    </row>
    <row r="374" spans="1:6">
      <c r="A374" t="s">
        <v>876</v>
      </c>
      <c r="B374" t="s">
        <v>877</v>
      </c>
      <c r="C374" t="s">
        <v>128</v>
      </c>
      <c r="D374" s="10">
        <v>323</v>
      </c>
      <c r="E374" s="10">
        <v>0</v>
      </c>
      <c r="F374" t="s">
        <v>125</v>
      </c>
    </row>
    <row r="375" spans="1:6">
      <c r="A375" t="s">
        <v>878</v>
      </c>
      <c r="B375" t="s">
        <v>879</v>
      </c>
      <c r="C375" t="s">
        <v>145</v>
      </c>
      <c r="D375" s="10">
        <v>384.14</v>
      </c>
      <c r="E375" s="10">
        <v>15</v>
      </c>
      <c r="F375" t="s">
        <v>129</v>
      </c>
    </row>
    <row r="376" spans="1:6">
      <c r="A376" t="s">
        <v>880</v>
      </c>
      <c r="B376" t="s">
        <v>881</v>
      </c>
      <c r="C376" t="s">
        <v>145</v>
      </c>
      <c r="D376" s="10">
        <v>952.49</v>
      </c>
      <c r="E376" s="10">
        <v>89</v>
      </c>
      <c r="F376" t="s">
        <v>133</v>
      </c>
    </row>
    <row r="377" spans="1:6">
      <c r="A377" t="s">
        <v>882</v>
      </c>
      <c r="B377" t="s">
        <v>883</v>
      </c>
      <c r="C377" t="s">
        <v>145</v>
      </c>
      <c r="D377" s="10">
        <v>628.48</v>
      </c>
      <c r="E377" s="10">
        <v>27</v>
      </c>
      <c r="F377" t="s">
        <v>136</v>
      </c>
    </row>
    <row r="378" spans="1:6">
      <c r="A378" t="s">
        <v>884</v>
      </c>
      <c r="B378" t="s">
        <v>885</v>
      </c>
      <c r="C378" t="s">
        <v>187</v>
      </c>
      <c r="D378" s="10">
        <v>827.56</v>
      </c>
      <c r="E378" s="10">
        <v>92</v>
      </c>
      <c r="F378" t="s">
        <v>139</v>
      </c>
    </row>
    <row r="379" spans="1:6">
      <c r="A379" t="s">
        <v>886</v>
      </c>
      <c r="B379" t="s">
        <v>887</v>
      </c>
      <c r="C379" t="s">
        <v>128</v>
      </c>
      <c r="D379" s="10">
        <v>695.98</v>
      </c>
      <c r="E379" s="10">
        <v>57</v>
      </c>
      <c r="F379" s="2" t="s">
        <v>142</v>
      </c>
    </row>
    <row r="380" spans="1:6">
      <c r="A380" t="s">
        <v>888</v>
      </c>
      <c r="B380" t="s">
        <v>889</v>
      </c>
      <c r="C380" t="s">
        <v>132</v>
      </c>
      <c r="D380" s="10">
        <v>902.33</v>
      </c>
      <c r="E380" s="10">
        <v>46</v>
      </c>
      <c r="F380" t="s">
        <v>146</v>
      </c>
    </row>
    <row r="381" spans="1:6">
      <c r="A381" t="s">
        <v>890</v>
      </c>
      <c r="B381" t="s">
        <v>891</v>
      </c>
      <c r="C381" t="s">
        <v>128</v>
      </c>
      <c r="D381" s="10">
        <v>420.41</v>
      </c>
      <c r="E381" s="10">
        <v>58</v>
      </c>
      <c r="F381" t="s">
        <v>149</v>
      </c>
    </row>
    <row r="382" spans="1:6">
      <c r="A382" t="s">
        <v>892</v>
      </c>
      <c r="B382" t="s">
        <v>893</v>
      </c>
      <c r="C382" t="s">
        <v>128</v>
      </c>
      <c r="D382" s="10">
        <v>798.08</v>
      </c>
      <c r="E382" s="10">
        <v>97</v>
      </c>
      <c r="F382" t="s">
        <v>117</v>
      </c>
    </row>
    <row r="383" spans="1:6">
      <c r="A383" t="s">
        <v>894</v>
      </c>
      <c r="B383" t="s">
        <v>895</v>
      </c>
      <c r="C383" t="s">
        <v>132</v>
      </c>
      <c r="D383" s="10">
        <v>468.78</v>
      </c>
      <c r="E383" s="10">
        <v>0</v>
      </c>
      <c r="F383" t="s">
        <v>121</v>
      </c>
    </row>
    <row r="384" spans="1:6">
      <c r="A384" t="s">
        <v>896</v>
      </c>
      <c r="B384" t="s">
        <v>897</v>
      </c>
      <c r="C384" t="s">
        <v>132</v>
      </c>
      <c r="D384" s="10">
        <v>846.18</v>
      </c>
      <c r="E384" s="10">
        <v>37</v>
      </c>
      <c r="F384" t="s">
        <v>125</v>
      </c>
    </row>
    <row r="385" spans="1:6">
      <c r="A385" t="s">
        <v>898</v>
      </c>
      <c r="B385" t="s">
        <v>899</v>
      </c>
      <c r="C385" t="s">
        <v>187</v>
      </c>
      <c r="D385" s="10">
        <v>668.87</v>
      </c>
      <c r="E385" s="10">
        <v>82</v>
      </c>
      <c r="F385" t="s">
        <v>129</v>
      </c>
    </row>
    <row r="386" spans="1:6">
      <c r="A386" t="s">
        <v>900</v>
      </c>
      <c r="B386" t="s">
        <v>901</v>
      </c>
      <c r="C386" t="s">
        <v>128</v>
      </c>
      <c r="D386" s="10">
        <v>285.81</v>
      </c>
      <c r="E386" s="10">
        <v>1</v>
      </c>
      <c r="F386" t="s">
        <v>133</v>
      </c>
    </row>
    <row r="387" spans="1:6">
      <c r="A387" t="s">
        <v>902</v>
      </c>
      <c r="B387" t="s">
        <v>903</v>
      </c>
      <c r="C387" t="s">
        <v>120</v>
      </c>
      <c r="D387" s="10">
        <v>901.5</v>
      </c>
      <c r="E387" s="10">
        <v>62</v>
      </c>
      <c r="F387" t="s">
        <v>136</v>
      </c>
    </row>
    <row r="388" spans="1:6">
      <c r="A388" t="s">
        <v>904</v>
      </c>
      <c r="B388" t="s">
        <v>905</v>
      </c>
      <c r="C388" t="s">
        <v>120</v>
      </c>
      <c r="D388" s="10">
        <v>228.39</v>
      </c>
      <c r="E388" s="10">
        <v>0</v>
      </c>
      <c r="F388" t="s">
        <v>139</v>
      </c>
    </row>
    <row r="389" spans="1:6">
      <c r="A389" t="s">
        <v>906</v>
      </c>
      <c r="B389" t="s">
        <v>907</v>
      </c>
      <c r="C389" t="s">
        <v>128</v>
      </c>
      <c r="D389" s="10">
        <v>905.74</v>
      </c>
      <c r="E389" s="10">
        <v>59</v>
      </c>
      <c r="F389" s="2" t="s">
        <v>142</v>
      </c>
    </row>
    <row r="390" spans="1:6">
      <c r="A390" t="s">
        <v>908</v>
      </c>
      <c r="B390" t="s">
        <v>909</v>
      </c>
      <c r="C390" t="s">
        <v>132</v>
      </c>
      <c r="D390" s="10">
        <v>821.84</v>
      </c>
      <c r="E390" s="10">
        <v>74</v>
      </c>
      <c r="F390" t="s">
        <v>146</v>
      </c>
    </row>
    <row r="391" spans="1:6">
      <c r="A391" t="s">
        <v>910</v>
      </c>
      <c r="B391" t="s">
        <v>911</v>
      </c>
      <c r="C391" t="s">
        <v>145</v>
      </c>
      <c r="D391" s="10">
        <v>99.42</v>
      </c>
      <c r="E391" s="10">
        <v>92</v>
      </c>
      <c r="F391" t="s">
        <v>149</v>
      </c>
    </row>
    <row r="392" spans="1:6">
      <c r="A392" t="s">
        <v>912</v>
      </c>
      <c r="B392" t="s">
        <v>913</v>
      </c>
      <c r="C392" t="s">
        <v>120</v>
      </c>
      <c r="D392" s="10">
        <v>888.88</v>
      </c>
      <c r="E392" s="10">
        <v>1</v>
      </c>
      <c r="F392" t="s">
        <v>117</v>
      </c>
    </row>
    <row r="393" spans="1:6">
      <c r="A393" t="s">
        <v>914</v>
      </c>
      <c r="B393" t="s">
        <v>915</v>
      </c>
      <c r="C393" t="s">
        <v>145</v>
      </c>
      <c r="D393" s="10">
        <v>513.07000000000005</v>
      </c>
      <c r="E393" s="10">
        <v>64</v>
      </c>
      <c r="F393" t="s">
        <v>121</v>
      </c>
    </row>
    <row r="394" spans="1:6">
      <c r="A394" t="s">
        <v>916</v>
      </c>
      <c r="B394" t="s">
        <v>917</v>
      </c>
      <c r="C394" t="s">
        <v>145</v>
      </c>
      <c r="D394" s="10">
        <v>145.58000000000001</v>
      </c>
      <c r="E394" s="10">
        <v>0</v>
      </c>
      <c r="F394" t="s">
        <v>125</v>
      </c>
    </row>
    <row r="395" spans="1:6">
      <c r="A395" t="s">
        <v>918</v>
      </c>
      <c r="B395" t="s">
        <v>919</v>
      </c>
      <c r="C395" t="s">
        <v>120</v>
      </c>
      <c r="D395" s="10">
        <v>958.08</v>
      </c>
      <c r="E395" s="10">
        <v>13</v>
      </c>
      <c r="F395" t="s">
        <v>129</v>
      </c>
    </row>
    <row r="396" spans="1:6">
      <c r="A396" t="s">
        <v>920</v>
      </c>
      <c r="B396" t="s">
        <v>921</v>
      </c>
      <c r="C396" t="s">
        <v>187</v>
      </c>
      <c r="D396" s="10">
        <v>357.59</v>
      </c>
      <c r="E396" s="10">
        <v>21</v>
      </c>
      <c r="F396" t="s">
        <v>133</v>
      </c>
    </row>
    <row r="397" spans="1:6">
      <c r="A397" t="s">
        <v>922</v>
      </c>
      <c r="B397" t="s">
        <v>923</v>
      </c>
      <c r="C397" t="s">
        <v>187</v>
      </c>
      <c r="D397" s="10">
        <v>371.86</v>
      </c>
      <c r="E397" s="10">
        <v>54</v>
      </c>
      <c r="F397" t="s">
        <v>136</v>
      </c>
    </row>
    <row r="398" spans="1:6">
      <c r="A398" t="s">
        <v>924</v>
      </c>
      <c r="B398" t="s">
        <v>925</v>
      </c>
      <c r="C398" t="s">
        <v>120</v>
      </c>
      <c r="D398" s="10">
        <v>466.12</v>
      </c>
      <c r="E398" s="10">
        <v>37</v>
      </c>
      <c r="F398" t="s">
        <v>139</v>
      </c>
    </row>
    <row r="399" spans="1:6">
      <c r="A399" t="s">
        <v>926</v>
      </c>
      <c r="B399" t="s">
        <v>927</v>
      </c>
      <c r="C399" t="s">
        <v>120</v>
      </c>
      <c r="D399" s="10">
        <v>822.82</v>
      </c>
      <c r="E399" s="10">
        <v>84</v>
      </c>
      <c r="F399" s="2" t="s">
        <v>142</v>
      </c>
    </row>
    <row r="400" spans="1:6">
      <c r="A400" t="s">
        <v>928</v>
      </c>
      <c r="B400" t="s">
        <v>929</v>
      </c>
      <c r="C400" t="s">
        <v>132</v>
      </c>
      <c r="D400" s="10">
        <v>759.65</v>
      </c>
      <c r="E400" s="10">
        <v>75</v>
      </c>
      <c r="F400" t="s">
        <v>146</v>
      </c>
    </row>
    <row r="401" spans="1:6">
      <c r="A401" t="s">
        <v>930</v>
      </c>
      <c r="B401" t="s">
        <v>931</v>
      </c>
      <c r="C401" t="s">
        <v>128</v>
      </c>
      <c r="D401" s="10">
        <v>715.03</v>
      </c>
      <c r="E401" s="10">
        <v>0</v>
      </c>
      <c r="F401" t="s">
        <v>149</v>
      </c>
    </row>
    <row r="402" spans="1:6">
      <c r="A402" t="s">
        <v>932</v>
      </c>
      <c r="B402" t="s">
        <v>933</v>
      </c>
      <c r="C402" t="s">
        <v>187</v>
      </c>
      <c r="D402" s="10">
        <v>960.29</v>
      </c>
      <c r="E402" s="10">
        <v>23</v>
      </c>
      <c r="F402" t="s">
        <v>117</v>
      </c>
    </row>
    <row r="403" spans="1:6">
      <c r="A403" t="s">
        <v>934</v>
      </c>
      <c r="B403" t="s">
        <v>935</v>
      </c>
      <c r="C403" t="s">
        <v>187</v>
      </c>
      <c r="D403" s="10">
        <v>499.52</v>
      </c>
      <c r="E403" s="10">
        <v>48</v>
      </c>
      <c r="F403" t="s">
        <v>121</v>
      </c>
    </row>
    <row r="404" spans="1:6">
      <c r="A404" t="s">
        <v>936</v>
      </c>
      <c r="B404" t="s">
        <v>937</v>
      </c>
      <c r="C404" t="s">
        <v>187</v>
      </c>
      <c r="D404" s="10">
        <v>931.21</v>
      </c>
      <c r="E404" s="10">
        <v>2</v>
      </c>
      <c r="F404" t="s">
        <v>125</v>
      </c>
    </row>
    <row r="405" spans="1:6">
      <c r="A405" t="s">
        <v>938</v>
      </c>
      <c r="B405" t="s">
        <v>939</v>
      </c>
      <c r="C405" t="s">
        <v>120</v>
      </c>
      <c r="D405" s="10">
        <v>931.88</v>
      </c>
      <c r="E405" s="10">
        <v>53</v>
      </c>
      <c r="F405" t="s">
        <v>129</v>
      </c>
    </row>
    <row r="406" spans="1:6">
      <c r="A406" t="s">
        <v>940</v>
      </c>
      <c r="B406" t="s">
        <v>941</v>
      </c>
      <c r="C406" t="s">
        <v>145</v>
      </c>
      <c r="D406" s="10">
        <v>895.39</v>
      </c>
      <c r="E406" s="10">
        <v>78</v>
      </c>
      <c r="F406" t="s">
        <v>133</v>
      </c>
    </row>
    <row r="407" spans="1:6">
      <c r="A407" t="s">
        <v>942</v>
      </c>
      <c r="B407" t="s">
        <v>943</v>
      </c>
      <c r="C407" t="s">
        <v>132</v>
      </c>
      <c r="D407" s="10">
        <v>736.04</v>
      </c>
      <c r="E407" s="10">
        <v>0</v>
      </c>
      <c r="F407" t="s">
        <v>136</v>
      </c>
    </row>
    <row r="408" spans="1:6">
      <c r="A408" t="s">
        <v>944</v>
      </c>
      <c r="B408" t="s">
        <v>945</v>
      </c>
      <c r="C408" t="s">
        <v>120</v>
      </c>
      <c r="D408" s="10">
        <v>315.91000000000003</v>
      </c>
      <c r="E408" s="10">
        <v>63</v>
      </c>
      <c r="F408" t="s">
        <v>139</v>
      </c>
    </row>
    <row r="409" spans="1:6">
      <c r="A409" t="s">
        <v>946</v>
      </c>
      <c r="B409" t="s">
        <v>947</v>
      </c>
      <c r="C409" t="s">
        <v>187</v>
      </c>
      <c r="D409" s="10">
        <v>390.05</v>
      </c>
      <c r="E409" s="10">
        <v>70</v>
      </c>
      <c r="F409" s="2" t="s">
        <v>142</v>
      </c>
    </row>
    <row r="410" spans="1:6">
      <c r="A410" t="s">
        <v>948</v>
      </c>
      <c r="B410" t="s">
        <v>949</v>
      </c>
      <c r="C410" t="s">
        <v>132</v>
      </c>
      <c r="D410" s="10">
        <v>86.41</v>
      </c>
      <c r="E410" s="10">
        <v>64</v>
      </c>
      <c r="F410" t="s">
        <v>146</v>
      </c>
    </row>
    <row r="411" spans="1:6">
      <c r="A411" t="s">
        <v>950</v>
      </c>
      <c r="B411" t="s">
        <v>951</v>
      </c>
      <c r="C411" t="s">
        <v>145</v>
      </c>
      <c r="D411" s="10">
        <v>297.97000000000003</v>
      </c>
      <c r="E411" s="10">
        <v>41</v>
      </c>
      <c r="F411" t="s">
        <v>149</v>
      </c>
    </row>
    <row r="412" spans="1:6">
      <c r="A412" t="s">
        <v>952</v>
      </c>
      <c r="B412" t="s">
        <v>953</v>
      </c>
      <c r="C412" t="s">
        <v>145</v>
      </c>
      <c r="D412" s="10">
        <v>982.28</v>
      </c>
      <c r="E412" s="10">
        <v>14</v>
      </c>
      <c r="F412" t="s">
        <v>117</v>
      </c>
    </row>
    <row r="413" spans="1:6">
      <c r="A413" t="s">
        <v>954</v>
      </c>
      <c r="B413" t="s">
        <v>955</v>
      </c>
      <c r="C413" t="s">
        <v>132</v>
      </c>
      <c r="D413" s="10">
        <v>229.63</v>
      </c>
      <c r="E413" s="10">
        <v>0</v>
      </c>
      <c r="F413" t="s">
        <v>121</v>
      </c>
    </row>
    <row r="414" spans="1:6">
      <c r="A414" t="s">
        <v>956</v>
      </c>
      <c r="B414" t="s">
        <v>957</v>
      </c>
      <c r="C414" t="s">
        <v>145</v>
      </c>
      <c r="D414" s="10">
        <v>324.85000000000002</v>
      </c>
      <c r="E414" s="10">
        <v>8</v>
      </c>
      <c r="F414" t="s">
        <v>125</v>
      </c>
    </row>
    <row r="415" spans="1:6">
      <c r="A415" t="s">
        <v>958</v>
      </c>
      <c r="B415" t="s">
        <v>959</v>
      </c>
      <c r="C415" t="s">
        <v>132</v>
      </c>
      <c r="D415" s="10">
        <v>380.52</v>
      </c>
      <c r="E415" s="10">
        <v>49</v>
      </c>
      <c r="F415" t="s">
        <v>129</v>
      </c>
    </row>
    <row r="416" spans="1:6">
      <c r="A416" t="s">
        <v>960</v>
      </c>
      <c r="B416" t="s">
        <v>961</v>
      </c>
      <c r="C416" t="s">
        <v>120</v>
      </c>
      <c r="D416" s="10">
        <v>877.99</v>
      </c>
      <c r="E416" s="10">
        <v>30</v>
      </c>
      <c r="F416" t="s">
        <v>133</v>
      </c>
    </row>
    <row r="417" spans="1:6">
      <c r="A417" t="s">
        <v>962</v>
      </c>
      <c r="B417" t="s">
        <v>963</v>
      </c>
      <c r="C417" t="s">
        <v>187</v>
      </c>
      <c r="D417" s="10">
        <v>938.45</v>
      </c>
      <c r="E417" s="10">
        <v>53</v>
      </c>
      <c r="F417" t="s">
        <v>136</v>
      </c>
    </row>
    <row r="418" spans="1:6">
      <c r="A418" t="s">
        <v>964</v>
      </c>
      <c r="B418" t="s">
        <v>965</v>
      </c>
      <c r="C418" t="s">
        <v>128</v>
      </c>
      <c r="D418" s="10">
        <v>713.93</v>
      </c>
      <c r="E418" s="10">
        <v>47</v>
      </c>
      <c r="F418" t="s">
        <v>139</v>
      </c>
    </row>
    <row r="419" spans="1:6">
      <c r="A419" t="s">
        <v>966</v>
      </c>
      <c r="B419" t="s">
        <v>967</v>
      </c>
      <c r="C419" t="s">
        <v>128</v>
      </c>
      <c r="D419" s="10">
        <v>352.05</v>
      </c>
      <c r="E419" s="10">
        <v>79</v>
      </c>
      <c r="F419" s="2" t="s">
        <v>142</v>
      </c>
    </row>
    <row r="420" spans="1:6">
      <c r="A420" t="s">
        <v>968</v>
      </c>
      <c r="B420" t="s">
        <v>969</v>
      </c>
      <c r="C420" t="s">
        <v>187</v>
      </c>
      <c r="D420" s="10">
        <v>471.7</v>
      </c>
      <c r="E420" s="10">
        <v>61</v>
      </c>
      <c r="F420" t="s">
        <v>146</v>
      </c>
    </row>
    <row r="421" spans="1:6">
      <c r="A421" t="s">
        <v>970</v>
      </c>
      <c r="B421" t="s">
        <v>971</v>
      </c>
      <c r="C421" t="s">
        <v>145</v>
      </c>
      <c r="D421" s="10">
        <v>384.83</v>
      </c>
      <c r="E421" s="10">
        <v>39</v>
      </c>
      <c r="F421" t="s">
        <v>149</v>
      </c>
    </row>
    <row r="422" spans="1:6">
      <c r="A422" t="s">
        <v>972</v>
      </c>
      <c r="B422" t="s">
        <v>973</v>
      </c>
      <c r="C422" t="s">
        <v>128</v>
      </c>
      <c r="D422" s="10">
        <v>925.55</v>
      </c>
      <c r="E422" s="10">
        <v>78</v>
      </c>
      <c r="F422" t="s">
        <v>117</v>
      </c>
    </row>
    <row r="423" spans="1:6">
      <c r="A423" t="s">
        <v>974</v>
      </c>
      <c r="B423" t="s">
        <v>975</v>
      </c>
      <c r="C423" t="s">
        <v>145</v>
      </c>
      <c r="D423" s="10">
        <v>524.37</v>
      </c>
      <c r="E423" s="10">
        <v>0</v>
      </c>
      <c r="F423" t="s">
        <v>121</v>
      </c>
    </row>
    <row r="424" spans="1:6">
      <c r="A424" t="s">
        <v>976</v>
      </c>
      <c r="B424" t="s">
        <v>977</v>
      </c>
      <c r="C424" t="s">
        <v>132</v>
      </c>
      <c r="D424" s="10">
        <v>915.99</v>
      </c>
      <c r="E424" s="10">
        <v>39</v>
      </c>
      <c r="F424" t="s">
        <v>125</v>
      </c>
    </row>
    <row r="425" spans="1:6">
      <c r="A425" t="s">
        <v>978</v>
      </c>
      <c r="B425" t="s">
        <v>979</v>
      </c>
      <c r="C425" t="s">
        <v>187</v>
      </c>
      <c r="D425" s="10">
        <v>88.13</v>
      </c>
      <c r="E425" s="10">
        <v>84</v>
      </c>
      <c r="F425" t="s">
        <v>129</v>
      </c>
    </row>
    <row r="426" spans="1:6">
      <c r="A426" t="s">
        <v>980</v>
      </c>
      <c r="B426" t="s">
        <v>981</v>
      </c>
      <c r="C426" t="s">
        <v>128</v>
      </c>
      <c r="D426" s="10">
        <v>586.4</v>
      </c>
      <c r="E426" s="10">
        <v>37</v>
      </c>
      <c r="F426" t="s">
        <v>133</v>
      </c>
    </row>
    <row r="427" spans="1:6">
      <c r="A427" t="s">
        <v>982</v>
      </c>
      <c r="B427" t="s">
        <v>983</v>
      </c>
      <c r="C427" t="s">
        <v>120</v>
      </c>
      <c r="D427" s="10">
        <v>403.36</v>
      </c>
      <c r="E427" s="10">
        <v>4</v>
      </c>
      <c r="F427" t="s">
        <v>136</v>
      </c>
    </row>
    <row r="428" spans="1:6">
      <c r="A428" t="s">
        <v>984</v>
      </c>
      <c r="B428" t="s">
        <v>985</v>
      </c>
      <c r="C428" t="s">
        <v>132</v>
      </c>
      <c r="D428" s="10">
        <v>931.83</v>
      </c>
      <c r="E428" s="10">
        <v>82</v>
      </c>
      <c r="F428" t="s">
        <v>139</v>
      </c>
    </row>
    <row r="429" spans="1:6">
      <c r="A429" t="s">
        <v>986</v>
      </c>
      <c r="B429" t="s">
        <v>987</v>
      </c>
      <c r="C429" t="s">
        <v>120</v>
      </c>
      <c r="D429" s="10">
        <v>786.65</v>
      </c>
      <c r="E429" s="10">
        <v>51</v>
      </c>
      <c r="F429" s="2" t="s">
        <v>142</v>
      </c>
    </row>
    <row r="430" spans="1:6">
      <c r="A430" t="s">
        <v>988</v>
      </c>
      <c r="B430" t="s">
        <v>989</v>
      </c>
      <c r="C430" t="s">
        <v>132</v>
      </c>
      <c r="D430" s="10">
        <v>104.1</v>
      </c>
      <c r="E430" s="10">
        <v>26</v>
      </c>
      <c r="F430" t="s">
        <v>146</v>
      </c>
    </row>
    <row r="431" spans="1:6">
      <c r="A431" t="s">
        <v>990</v>
      </c>
      <c r="B431" t="s">
        <v>991</v>
      </c>
      <c r="C431" t="s">
        <v>132</v>
      </c>
      <c r="D431" s="10">
        <v>792.62</v>
      </c>
      <c r="E431" s="10">
        <v>0</v>
      </c>
      <c r="F431" t="s">
        <v>149</v>
      </c>
    </row>
    <row r="432" spans="1:6">
      <c r="A432" t="s">
        <v>992</v>
      </c>
      <c r="B432" t="s">
        <v>993</v>
      </c>
      <c r="C432" t="s">
        <v>132</v>
      </c>
      <c r="D432" s="10">
        <v>772.48</v>
      </c>
      <c r="E432" s="10">
        <v>78</v>
      </c>
      <c r="F432" t="s">
        <v>117</v>
      </c>
    </row>
    <row r="433" spans="1:6">
      <c r="A433" t="s">
        <v>994</v>
      </c>
      <c r="B433" t="s">
        <v>995</v>
      </c>
      <c r="C433" t="s">
        <v>187</v>
      </c>
      <c r="D433" s="10">
        <v>251.37</v>
      </c>
      <c r="E433" s="10">
        <v>73</v>
      </c>
      <c r="F433" t="s">
        <v>121</v>
      </c>
    </row>
    <row r="434" spans="1:6">
      <c r="A434" t="s">
        <v>996</v>
      </c>
      <c r="B434" t="s">
        <v>997</v>
      </c>
      <c r="C434" t="s">
        <v>145</v>
      </c>
      <c r="D434" s="10">
        <v>697.04</v>
      </c>
      <c r="E434" s="10">
        <v>77</v>
      </c>
      <c r="F434" t="s">
        <v>125</v>
      </c>
    </row>
    <row r="435" spans="1:6">
      <c r="A435" t="s">
        <v>998</v>
      </c>
      <c r="B435" t="s">
        <v>999</v>
      </c>
      <c r="C435" t="s">
        <v>187</v>
      </c>
      <c r="D435" s="10">
        <v>954.59</v>
      </c>
      <c r="E435" s="10">
        <v>52</v>
      </c>
      <c r="F435" t="s">
        <v>129</v>
      </c>
    </row>
    <row r="436" spans="1:6">
      <c r="A436" t="s">
        <v>1000</v>
      </c>
      <c r="B436" t="s">
        <v>1001</v>
      </c>
      <c r="C436" t="s">
        <v>128</v>
      </c>
      <c r="D436" s="10">
        <v>763.67</v>
      </c>
      <c r="E436" s="10">
        <v>52</v>
      </c>
      <c r="F436" t="s">
        <v>133</v>
      </c>
    </row>
    <row r="437" spans="1:6">
      <c r="A437" t="s">
        <v>1002</v>
      </c>
      <c r="B437" t="s">
        <v>1003</v>
      </c>
      <c r="C437" t="s">
        <v>187</v>
      </c>
      <c r="D437" s="10">
        <v>260.13</v>
      </c>
      <c r="E437" s="10">
        <v>27</v>
      </c>
      <c r="F437" t="s">
        <v>136</v>
      </c>
    </row>
    <row r="438" spans="1:6">
      <c r="A438" t="s">
        <v>1004</v>
      </c>
      <c r="B438" t="s">
        <v>1005</v>
      </c>
      <c r="C438" t="s">
        <v>145</v>
      </c>
      <c r="D438" s="10">
        <v>167.31</v>
      </c>
      <c r="E438" s="10">
        <v>0</v>
      </c>
      <c r="F438" t="s">
        <v>139</v>
      </c>
    </row>
    <row r="439" spans="1:6">
      <c r="A439" t="s">
        <v>1006</v>
      </c>
      <c r="B439" t="s">
        <v>1007</v>
      </c>
      <c r="C439" t="s">
        <v>128</v>
      </c>
      <c r="D439" s="10">
        <v>476.71</v>
      </c>
      <c r="E439" s="10">
        <v>16</v>
      </c>
      <c r="F439" s="2" t="s">
        <v>142</v>
      </c>
    </row>
    <row r="440" spans="1:6">
      <c r="A440" t="s">
        <v>1008</v>
      </c>
      <c r="B440" t="s">
        <v>1009</v>
      </c>
      <c r="C440" t="s">
        <v>187</v>
      </c>
      <c r="D440" s="10">
        <v>821.49</v>
      </c>
      <c r="E440" s="10">
        <v>2</v>
      </c>
      <c r="F440" t="s">
        <v>146</v>
      </c>
    </row>
    <row r="441" spans="1:6">
      <c r="A441" t="s">
        <v>1010</v>
      </c>
      <c r="B441" t="s">
        <v>1011</v>
      </c>
      <c r="C441" t="s">
        <v>132</v>
      </c>
      <c r="D441" s="10">
        <v>355.44</v>
      </c>
      <c r="E441" s="10">
        <v>37</v>
      </c>
      <c r="F441" t="s">
        <v>149</v>
      </c>
    </row>
    <row r="442" spans="1:6">
      <c r="A442" t="s">
        <v>1012</v>
      </c>
      <c r="B442" t="s">
        <v>1013</v>
      </c>
      <c r="C442" t="s">
        <v>145</v>
      </c>
      <c r="D442" s="10">
        <v>484.2</v>
      </c>
      <c r="E442" s="10">
        <v>96</v>
      </c>
      <c r="F442" t="s">
        <v>117</v>
      </c>
    </row>
    <row r="443" spans="1:6">
      <c r="A443" t="s">
        <v>1014</v>
      </c>
      <c r="B443" t="s">
        <v>1015</v>
      </c>
      <c r="C443" t="s">
        <v>132</v>
      </c>
      <c r="D443" s="10">
        <v>909.45</v>
      </c>
      <c r="E443" s="10">
        <v>0</v>
      </c>
      <c r="F443" t="s">
        <v>121</v>
      </c>
    </row>
    <row r="444" spans="1:6">
      <c r="A444" t="s">
        <v>1016</v>
      </c>
      <c r="B444" t="s">
        <v>1017</v>
      </c>
      <c r="C444" t="s">
        <v>187</v>
      </c>
      <c r="D444" s="10">
        <v>219.38</v>
      </c>
      <c r="E444" s="10">
        <v>96</v>
      </c>
      <c r="F444" t="s">
        <v>125</v>
      </c>
    </row>
    <row r="445" spans="1:6">
      <c r="A445" t="s">
        <v>1018</v>
      </c>
      <c r="B445" t="s">
        <v>1019</v>
      </c>
      <c r="C445" t="s">
        <v>132</v>
      </c>
      <c r="D445" s="10">
        <v>498.82</v>
      </c>
      <c r="E445" s="10">
        <v>51</v>
      </c>
      <c r="F445" t="s">
        <v>129</v>
      </c>
    </row>
    <row r="446" spans="1:6">
      <c r="A446" t="s">
        <v>1020</v>
      </c>
      <c r="B446" t="s">
        <v>1021</v>
      </c>
      <c r="C446" t="s">
        <v>132</v>
      </c>
      <c r="D446" s="10">
        <v>266.77999999999997</v>
      </c>
      <c r="E446" s="10">
        <v>72</v>
      </c>
      <c r="F446" t="s">
        <v>133</v>
      </c>
    </row>
    <row r="447" spans="1:6">
      <c r="A447" t="s">
        <v>1022</v>
      </c>
      <c r="B447" t="s">
        <v>1023</v>
      </c>
      <c r="C447" t="s">
        <v>145</v>
      </c>
      <c r="D447" s="10">
        <v>171.68</v>
      </c>
      <c r="E447" s="10">
        <v>67</v>
      </c>
      <c r="F447" t="s">
        <v>136</v>
      </c>
    </row>
    <row r="448" spans="1:6">
      <c r="A448" t="s">
        <v>1024</v>
      </c>
      <c r="B448" t="s">
        <v>1025</v>
      </c>
      <c r="C448" t="s">
        <v>128</v>
      </c>
      <c r="D448" s="10">
        <v>328.08</v>
      </c>
      <c r="E448" s="10">
        <v>67</v>
      </c>
      <c r="F448" t="s">
        <v>139</v>
      </c>
    </row>
    <row r="449" spans="1:6">
      <c r="A449" t="s">
        <v>1026</v>
      </c>
      <c r="B449" t="s">
        <v>1027</v>
      </c>
      <c r="C449" t="s">
        <v>187</v>
      </c>
      <c r="D449" s="10">
        <v>733.66</v>
      </c>
      <c r="E449" s="10">
        <v>30</v>
      </c>
      <c r="F449" s="2" t="s">
        <v>142</v>
      </c>
    </row>
    <row r="450" spans="1:6">
      <c r="A450" t="s">
        <v>1028</v>
      </c>
      <c r="B450" t="s">
        <v>1029</v>
      </c>
      <c r="C450" t="s">
        <v>132</v>
      </c>
      <c r="D450" s="10">
        <v>958.9</v>
      </c>
      <c r="E450" s="10">
        <v>65</v>
      </c>
      <c r="F450" t="s">
        <v>146</v>
      </c>
    </row>
    <row r="451" spans="1:6">
      <c r="A451" t="s">
        <v>1030</v>
      </c>
      <c r="B451" t="s">
        <v>1031</v>
      </c>
      <c r="C451" t="s">
        <v>145</v>
      </c>
      <c r="D451" s="10">
        <v>644.04</v>
      </c>
      <c r="E451" s="10">
        <v>51</v>
      </c>
      <c r="F451" t="s">
        <v>149</v>
      </c>
    </row>
    <row r="452" spans="1:6">
      <c r="A452" t="s">
        <v>1032</v>
      </c>
      <c r="B452" t="s">
        <v>1033</v>
      </c>
      <c r="C452" t="s">
        <v>120</v>
      </c>
      <c r="D452" s="10">
        <v>752.65</v>
      </c>
      <c r="E452" s="10">
        <v>79</v>
      </c>
      <c r="F452" t="s">
        <v>117</v>
      </c>
    </row>
    <row r="453" spans="1:6">
      <c r="A453" t="s">
        <v>1034</v>
      </c>
      <c r="B453" t="s">
        <v>1035</v>
      </c>
      <c r="C453" t="s">
        <v>120</v>
      </c>
      <c r="D453" s="10">
        <v>661.07</v>
      </c>
      <c r="E453" s="10">
        <v>32</v>
      </c>
      <c r="F453" t="s">
        <v>121</v>
      </c>
    </row>
    <row r="454" spans="1:6">
      <c r="A454" t="s">
        <v>1036</v>
      </c>
      <c r="B454" t="s">
        <v>1037</v>
      </c>
      <c r="C454" t="s">
        <v>187</v>
      </c>
      <c r="D454" s="10">
        <v>122.17</v>
      </c>
      <c r="E454" s="10">
        <v>0</v>
      </c>
      <c r="F454" t="s">
        <v>125</v>
      </c>
    </row>
    <row r="455" spans="1:6">
      <c r="A455" t="s">
        <v>1038</v>
      </c>
      <c r="B455" t="s">
        <v>1039</v>
      </c>
      <c r="C455" t="s">
        <v>128</v>
      </c>
      <c r="D455" s="10">
        <v>788.1</v>
      </c>
      <c r="E455" s="10">
        <v>87</v>
      </c>
      <c r="F455" t="s">
        <v>129</v>
      </c>
    </row>
    <row r="456" spans="1:6">
      <c r="A456" t="s">
        <v>1040</v>
      </c>
      <c r="B456" t="s">
        <v>1041</v>
      </c>
      <c r="C456" t="s">
        <v>120</v>
      </c>
      <c r="D456" s="10">
        <v>525.85</v>
      </c>
      <c r="E456" s="10">
        <v>88</v>
      </c>
      <c r="F456" t="s">
        <v>133</v>
      </c>
    </row>
    <row r="457" spans="1:6">
      <c r="A457" t="s">
        <v>1042</v>
      </c>
      <c r="B457" t="s">
        <v>1043</v>
      </c>
      <c r="C457" t="s">
        <v>120</v>
      </c>
      <c r="D457" s="10">
        <v>880.15</v>
      </c>
      <c r="E457" s="10">
        <v>3</v>
      </c>
      <c r="F457" t="s">
        <v>136</v>
      </c>
    </row>
    <row r="458" spans="1:6">
      <c r="A458" t="s">
        <v>1044</v>
      </c>
      <c r="B458" t="s">
        <v>1045</v>
      </c>
      <c r="C458" t="s">
        <v>120</v>
      </c>
      <c r="D458" s="10">
        <v>797.5</v>
      </c>
      <c r="E458" s="10">
        <v>55</v>
      </c>
      <c r="F458" t="s">
        <v>139</v>
      </c>
    </row>
    <row r="459" spans="1:6">
      <c r="A459" t="s">
        <v>1046</v>
      </c>
      <c r="B459" t="s">
        <v>1047</v>
      </c>
      <c r="C459" t="s">
        <v>145</v>
      </c>
      <c r="D459" s="10">
        <v>714.46</v>
      </c>
      <c r="E459" s="10">
        <v>60</v>
      </c>
      <c r="F459" s="2" t="s">
        <v>142</v>
      </c>
    </row>
    <row r="460" spans="1:6">
      <c r="A460" t="s">
        <v>1048</v>
      </c>
      <c r="B460" t="s">
        <v>1049</v>
      </c>
      <c r="C460" t="s">
        <v>128</v>
      </c>
      <c r="D460" s="10">
        <v>246.84</v>
      </c>
      <c r="E460" s="10">
        <v>62</v>
      </c>
      <c r="F460" t="s">
        <v>146</v>
      </c>
    </row>
    <row r="461" spans="1:6">
      <c r="A461" t="s">
        <v>1050</v>
      </c>
      <c r="B461" t="s">
        <v>1051</v>
      </c>
      <c r="C461" t="s">
        <v>187</v>
      </c>
      <c r="D461" s="10">
        <v>747.89</v>
      </c>
      <c r="E461" s="10">
        <v>73</v>
      </c>
      <c r="F461" t="s">
        <v>149</v>
      </c>
    </row>
    <row r="462" spans="1:6">
      <c r="A462" t="s">
        <v>1052</v>
      </c>
      <c r="B462" t="s">
        <v>1053</v>
      </c>
      <c r="C462" t="s">
        <v>120</v>
      </c>
      <c r="D462" s="10">
        <v>412.17</v>
      </c>
      <c r="E462" s="10">
        <v>49</v>
      </c>
      <c r="F462" t="s">
        <v>117</v>
      </c>
    </row>
    <row r="463" spans="1:6">
      <c r="A463" t="s">
        <v>1054</v>
      </c>
      <c r="B463" t="s">
        <v>1055</v>
      </c>
      <c r="C463" t="s">
        <v>132</v>
      </c>
      <c r="D463" s="10">
        <v>208.83</v>
      </c>
      <c r="E463" s="10">
        <v>37</v>
      </c>
      <c r="F463" t="s">
        <v>121</v>
      </c>
    </row>
    <row r="464" spans="1:6">
      <c r="A464" t="s">
        <v>1056</v>
      </c>
      <c r="B464" t="s">
        <v>1057</v>
      </c>
      <c r="C464" t="s">
        <v>120</v>
      </c>
      <c r="D464" s="10">
        <v>945.09</v>
      </c>
      <c r="E464" s="10">
        <v>31</v>
      </c>
      <c r="F464" t="s">
        <v>125</v>
      </c>
    </row>
    <row r="465" spans="1:6">
      <c r="A465" t="s">
        <v>1058</v>
      </c>
      <c r="B465" t="s">
        <v>1059</v>
      </c>
      <c r="C465" t="s">
        <v>132</v>
      </c>
      <c r="D465" s="10">
        <v>697.99</v>
      </c>
      <c r="E465" s="10">
        <v>52</v>
      </c>
      <c r="F465" t="s">
        <v>129</v>
      </c>
    </row>
    <row r="466" spans="1:6">
      <c r="A466" t="s">
        <v>1060</v>
      </c>
      <c r="B466" t="s">
        <v>1061</v>
      </c>
      <c r="C466" t="s">
        <v>128</v>
      </c>
      <c r="D466" s="10">
        <v>438.87</v>
      </c>
      <c r="E466" s="10">
        <v>98</v>
      </c>
      <c r="F466" t="s">
        <v>133</v>
      </c>
    </row>
    <row r="467" spans="1:6">
      <c r="A467" t="s">
        <v>1062</v>
      </c>
      <c r="B467" t="s">
        <v>1063</v>
      </c>
      <c r="C467" t="s">
        <v>120</v>
      </c>
      <c r="D467" s="10">
        <v>933.13</v>
      </c>
      <c r="E467" s="10">
        <v>0</v>
      </c>
      <c r="F467" t="s">
        <v>136</v>
      </c>
    </row>
    <row r="468" spans="1:6">
      <c r="A468" t="s">
        <v>1064</v>
      </c>
      <c r="B468" t="s">
        <v>1065</v>
      </c>
      <c r="C468" t="s">
        <v>187</v>
      </c>
      <c r="D468" s="10">
        <v>212.2</v>
      </c>
      <c r="E468" s="10">
        <v>26</v>
      </c>
      <c r="F468" t="s">
        <v>139</v>
      </c>
    </row>
    <row r="469" spans="1:6">
      <c r="A469" t="s">
        <v>1066</v>
      </c>
      <c r="B469" t="s">
        <v>1067</v>
      </c>
      <c r="C469" t="s">
        <v>145</v>
      </c>
      <c r="D469" s="10">
        <v>775.72</v>
      </c>
      <c r="E469" s="10">
        <v>89</v>
      </c>
      <c r="F469" s="2" t="s">
        <v>142</v>
      </c>
    </row>
    <row r="470" spans="1:6">
      <c r="A470" t="s">
        <v>1068</v>
      </c>
      <c r="B470" t="s">
        <v>1069</v>
      </c>
      <c r="C470" t="s">
        <v>145</v>
      </c>
      <c r="D470" s="10">
        <v>548.39</v>
      </c>
      <c r="E470" s="10">
        <v>46</v>
      </c>
      <c r="F470" t="s">
        <v>146</v>
      </c>
    </row>
    <row r="471" spans="1:6">
      <c r="A471" t="s">
        <v>1070</v>
      </c>
      <c r="B471" t="s">
        <v>1071</v>
      </c>
      <c r="C471" t="s">
        <v>187</v>
      </c>
      <c r="D471" s="10">
        <v>715.81</v>
      </c>
      <c r="E471" s="10">
        <v>28</v>
      </c>
      <c r="F471" t="s">
        <v>149</v>
      </c>
    </row>
    <row r="472" spans="1:6">
      <c r="A472" t="s">
        <v>1072</v>
      </c>
      <c r="B472" t="s">
        <v>1073</v>
      </c>
      <c r="C472" t="s">
        <v>120</v>
      </c>
      <c r="D472" s="10">
        <v>910.29</v>
      </c>
      <c r="E472" s="10">
        <v>72</v>
      </c>
      <c r="F472" t="s">
        <v>117</v>
      </c>
    </row>
    <row r="473" spans="1:6">
      <c r="A473" t="s">
        <v>1074</v>
      </c>
      <c r="B473" t="s">
        <v>1075</v>
      </c>
      <c r="C473" t="s">
        <v>128</v>
      </c>
      <c r="D473" s="10">
        <v>916.16</v>
      </c>
      <c r="E473" s="10">
        <v>31</v>
      </c>
      <c r="F473" t="s">
        <v>121</v>
      </c>
    </row>
    <row r="474" spans="1:6">
      <c r="A474" t="s">
        <v>1076</v>
      </c>
      <c r="B474" t="s">
        <v>1077</v>
      </c>
      <c r="C474" t="s">
        <v>132</v>
      </c>
      <c r="D474" s="10">
        <v>390.05</v>
      </c>
      <c r="E474" s="10">
        <v>7</v>
      </c>
      <c r="F474" t="s">
        <v>125</v>
      </c>
    </row>
    <row r="475" spans="1:6">
      <c r="A475" t="s">
        <v>1078</v>
      </c>
      <c r="B475" t="s">
        <v>1079</v>
      </c>
      <c r="C475" t="s">
        <v>128</v>
      </c>
      <c r="D475" s="10">
        <v>972.19</v>
      </c>
      <c r="E475" s="10">
        <v>57</v>
      </c>
      <c r="F475" t="s">
        <v>129</v>
      </c>
    </row>
    <row r="476" spans="1:6">
      <c r="A476" t="s">
        <v>1080</v>
      </c>
      <c r="B476" t="s">
        <v>1081</v>
      </c>
      <c r="C476" t="s">
        <v>187</v>
      </c>
      <c r="D476" s="10">
        <v>469.35</v>
      </c>
      <c r="E476" s="10">
        <v>11</v>
      </c>
      <c r="F476" t="s">
        <v>133</v>
      </c>
    </row>
    <row r="477" spans="1:6">
      <c r="A477" t="s">
        <v>1082</v>
      </c>
      <c r="B477" t="s">
        <v>1083</v>
      </c>
      <c r="C477" t="s">
        <v>128</v>
      </c>
      <c r="D477" s="10">
        <v>954.63</v>
      </c>
      <c r="E477" s="10">
        <v>0</v>
      </c>
      <c r="F477" t="s">
        <v>136</v>
      </c>
    </row>
    <row r="478" spans="1:6">
      <c r="A478" t="s">
        <v>1084</v>
      </c>
      <c r="B478" t="s">
        <v>1085</v>
      </c>
      <c r="C478" t="s">
        <v>120</v>
      </c>
      <c r="D478" s="10">
        <v>555.6</v>
      </c>
      <c r="E478" s="10">
        <v>0</v>
      </c>
      <c r="F478" t="s">
        <v>139</v>
      </c>
    </row>
    <row r="479" spans="1:6">
      <c r="A479" t="s">
        <v>1086</v>
      </c>
      <c r="B479" t="s">
        <v>1087</v>
      </c>
      <c r="C479" t="s">
        <v>132</v>
      </c>
      <c r="D479" s="10">
        <v>223.33</v>
      </c>
      <c r="E479" s="10">
        <v>19</v>
      </c>
      <c r="F479" s="2" t="s">
        <v>142</v>
      </c>
    </row>
    <row r="480" spans="1:6">
      <c r="A480" t="s">
        <v>1088</v>
      </c>
      <c r="B480" t="s">
        <v>1089</v>
      </c>
      <c r="C480" t="s">
        <v>120</v>
      </c>
      <c r="D480" s="10">
        <v>228.16</v>
      </c>
      <c r="E480" s="10">
        <v>82</v>
      </c>
      <c r="F480" t="s">
        <v>146</v>
      </c>
    </row>
    <row r="481" spans="1:6">
      <c r="A481" t="s">
        <v>1090</v>
      </c>
      <c r="B481" t="s">
        <v>1091</v>
      </c>
      <c r="C481" t="s">
        <v>187</v>
      </c>
      <c r="D481" s="10">
        <v>624.48</v>
      </c>
      <c r="E481" s="10">
        <v>20</v>
      </c>
      <c r="F481" t="s">
        <v>149</v>
      </c>
    </row>
    <row r="482" spans="1:6">
      <c r="A482" t="s">
        <v>1092</v>
      </c>
      <c r="B482" t="s">
        <v>1093</v>
      </c>
      <c r="C482" t="s">
        <v>128</v>
      </c>
      <c r="D482" s="10">
        <v>849.96</v>
      </c>
      <c r="E482" s="10">
        <v>88</v>
      </c>
      <c r="F482" t="s">
        <v>117</v>
      </c>
    </row>
    <row r="483" spans="1:6">
      <c r="A483" t="s">
        <v>1094</v>
      </c>
      <c r="B483" t="s">
        <v>1095</v>
      </c>
      <c r="C483" t="s">
        <v>132</v>
      </c>
      <c r="D483" s="10">
        <v>835.6</v>
      </c>
      <c r="E483" s="10">
        <v>41</v>
      </c>
      <c r="F483" t="s">
        <v>121</v>
      </c>
    </row>
    <row r="484" spans="1:6">
      <c r="A484" t="s">
        <v>1096</v>
      </c>
      <c r="B484" t="s">
        <v>1097</v>
      </c>
      <c r="C484" t="s">
        <v>128</v>
      </c>
      <c r="D484" s="10">
        <v>262.29000000000002</v>
      </c>
      <c r="E484" s="10">
        <v>47</v>
      </c>
      <c r="F484" t="s">
        <v>125</v>
      </c>
    </row>
    <row r="485" spans="1:6">
      <c r="A485" t="s">
        <v>1098</v>
      </c>
      <c r="B485" t="s">
        <v>1099</v>
      </c>
      <c r="C485" t="s">
        <v>187</v>
      </c>
      <c r="D485" s="10">
        <v>515.14</v>
      </c>
      <c r="E485" s="10">
        <v>0</v>
      </c>
      <c r="F485" t="s">
        <v>129</v>
      </c>
    </row>
    <row r="486" spans="1:6">
      <c r="A486" t="s">
        <v>1100</v>
      </c>
      <c r="B486" t="s">
        <v>1101</v>
      </c>
      <c r="C486" t="s">
        <v>132</v>
      </c>
      <c r="D486" s="10">
        <v>869.96</v>
      </c>
      <c r="E486" s="10">
        <v>15</v>
      </c>
      <c r="F486" t="s">
        <v>133</v>
      </c>
    </row>
    <row r="487" spans="1:6">
      <c r="A487" t="s">
        <v>1102</v>
      </c>
      <c r="B487" t="s">
        <v>1103</v>
      </c>
      <c r="C487" t="s">
        <v>128</v>
      </c>
      <c r="D487" s="10">
        <v>522.66999999999996</v>
      </c>
      <c r="E487" s="10">
        <v>76</v>
      </c>
      <c r="F487" t="s">
        <v>136</v>
      </c>
    </row>
    <row r="488" spans="1:6">
      <c r="A488" t="s">
        <v>1104</v>
      </c>
      <c r="B488" t="s">
        <v>1105</v>
      </c>
      <c r="C488" t="s">
        <v>187</v>
      </c>
      <c r="D488" s="10">
        <v>357.51</v>
      </c>
      <c r="E488" s="10">
        <v>96</v>
      </c>
      <c r="F488" t="s">
        <v>139</v>
      </c>
    </row>
    <row r="489" spans="1:6">
      <c r="A489" t="s">
        <v>1106</v>
      </c>
      <c r="B489" t="s">
        <v>1107</v>
      </c>
      <c r="C489" t="s">
        <v>128</v>
      </c>
      <c r="D489" s="10">
        <v>316.04000000000002</v>
      </c>
      <c r="E489" s="10">
        <v>68</v>
      </c>
      <c r="F489" s="2" t="s">
        <v>142</v>
      </c>
    </row>
    <row r="490" spans="1:6">
      <c r="A490" t="s">
        <v>1108</v>
      </c>
      <c r="B490" t="s">
        <v>1109</v>
      </c>
      <c r="C490" t="s">
        <v>120</v>
      </c>
      <c r="D490" s="10">
        <v>637.07000000000005</v>
      </c>
      <c r="E490" s="10">
        <v>0</v>
      </c>
      <c r="F490" t="s">
        <v>146</v>
      </c>
    </row>
    <row r="491" spans="1:6">
      <c r="A491" t="s">
        <v>1110</v>
      </c>
      <c r="B491" t="s">
        <v>1111</v>
      </c>
      <c r="C491" t="s">
        <v>145</v>
      </c>
      <c r="D491" s="10">
        <v>767.59</v>
      </c>
      <c r="E491" s="10">
        <v>4</v>
      </c>
      <c r="F491" t="s">
        <v>149</v>
      </c>
    </row>
    <row r="492" spans="1:6">
      <c r="A492" t="s">
        <v>1112</v>
      </c>
      <c r="B492" t="s">
        <v>1113</v>
      </c>
      <c r="C492" t="s">
        <v>132</v>
      </c>
      <c r="D492" s="10">
        <v>105.85</v>
      </c>
      <c r="E492" s="10">
        <v>22</v>
      </c>
      <c r="F492" t="s">
        <v>117</v>
      </c>
    </row>
    <row r="493" spans="1:6">
      <c r="A493" t="s">
        <v>1114</v>
      </c>
      <c r="B493" t="s">
        <v>1115</v>
      </c>
      <c r="C493" t="s">
        <v>187</v>
      </c>
      <c r="D493" s="10">
        <v>101.25</v>
      </c>
      <c r="E493" s="10">
        <v>0</v>
      </c>
      <c r="F493" t="s">
        <v>121</v>
      </c>
    </row>
    <row r="494" spans="1:6">
      <c r="A494" t="s">
        <v>1116</v>
      </c>
      <c r="B494" t="s">
        <v>1117</v>
      </c>
      <c r="C494" t="s">
        <v>128</v>
      </c>
      <c r="D494" s="10">
        <v>711.14</v>
      </c>
      <c r="E494" s="10">
        <v>16</v>
      </c>
      <c r="F494" t="s">
        <v>125</v>
      </c>
    </row>
    <row r="495" spans="1:6">
      <c r="A495" t="s">
        <v>1118</v>
      </c>
      <c r="B495" t="s">
        <v>1119</v>
      </c>
      <c r="C495" t="s">
        <v>187</v>
      </c>
      <c r="D495" s="10">
        <v>260.72000000000003</v>
      </c>
      <c r="E495" s="10">
        <v>0</v>
      </c>
      <c r="F495" t="s">
        <v>129</v>
      </c>
    </row>
    <row r="496" spans="1:6">
      <c r="A496" t="s">
        <v>1120</v>
      </c>
      <c r="B496" t="s">
        <v>1121</v>
      </c>
      <c r="C496" t="s">
        <v>120</v>
      </c>
      <c r="D496" s="10">
        <v>732.11</v>
      </c>
      <c r="E496" s="10">
        <v>49</v>
      </c>
      <c r="F496" t="s">
        <v>133</v>
      </c>
    </row>
    <row r="497" spans="1:6">
      <c r="A497" t="s">
        <v>1122</v>
      </c>
      <c r="B497" t="s">
        <v>1123</v>
      </c>
      <c r="C497" t="s">
        <v>120</v>
      </c>
      <c r="D497" s="10">
        <v>408.03</v>
      </c>
      <c r="E497" s="10">
        <v>78</v>
      </c>
      <c r="F497" t="s">
        <v>136</v>
      </c>
    </row>
    <row r="498" spans="1:6">
      <c r="A498" t="s">
        <v>1124</v>
      </c>
      <c r="B498" t="s">
        <v>1125</v>
      </c>
      <c r="C498" t="s">
        <v>187</v>
      </c>
      <c r="D498" s="10">
        <v>273.8</v>
      </c>
      <c r="E498" s="10">
        <v>51</v>
      </c>
      <c r="F498" t="s">
        <v>139</v>
      </c>
    </row>
    <row r="499" spans="1:6">
      <c r="A499" t="s">
        <v>1126</v>
      </c>
      <c r="B499" t="s">
        <v>1127</v>
      </c>
      <c r="C499" t="s">
        <v>187</v>
      </c>
      <c r="D499" s="10">
        <v>424.2</v>
      </c>
      <c r="E499" s="10">
        <v>18</v>
      </c>
      <c r="F499" s="2" t="s">
        <v>142</v>
      </c>
    </row>
    <row r="500" spans="1:6">
      <c r="A500" t="s">
        <v>1128</v>
      </c>
      <c r="B500" t="s">
        <v>1129</v>
      </c>
      <c r="C500" t="s">
        <v>128</v>
      </c>
      <c r="D500" s="10">
        <v>468.88</v>
      </c>
      <c r="E500" s="10">
        <v>83</v>
      </c>
      <c r="F500" t="s">
        <v>146</v>
      </c>
    </row>
    <row r="501" spans="1:6">
      <c r="A501" t="s">
        <v>1130</v>
      </c>
      <c r="B501" t="s">
        <v>1131</v>
      </c>
      <c r="C501" t="s">
        <v>187</v>
      </c>
      <c r="D501" s="10">
        <v>975.37</v>
      </c>
      <c r="E501" s="10">
        <v>38</v>
      </c>
      <c r="F501" t="s">
        <v>149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9CCA-5767-44E9-A2B9-1F2C46C7F7DD}">
  <dimension ref="A1:L16"/>
  <sheetViews>
    <sheetView workbookViewId="0">
      <selection activeCell="C13" sqref="C13"/>
    </sheetView>
  </sheetViews>
  <sheetFormatPr defaultRowHeight="14.25"/>
  <cols>
    <col min="1" max="1" width="15" bestFit="1" customWidth="1"/>
    <col min="5" max="5" width="14" bestFit="1" customWidth="1"/>
  </cols>
  <sheetData>
    <row r="1" spans="1:12">
      <c r="A1" t="s">
        <v>1170</v>
      </c>
      <c r="B1" t="s">
        <v>1172</v>
      </c>
      <c r="C1" t="s">
        <v>1174</v>
      </c>
      <c r="E1" t="s">
        <v>1170</v>
      </c>
      <c r="F1" t="s">
        <v>1175</v>
      </c>
      <c r="G1" t="s">
        <v>1176</v>
      </c>
    </row>
    <row r="2" spans="1:12">
      <c r="A2" t="s">
        <v>1166</v>
      </c>
      <c r="B2" t="s">
        <v>1171</v>
      </c>
      <c r="C2">
        <v>400086</v>
      </c>
      <c r="E2" t="s">
        <v>1166</v>
      </c>
      <c r="F2" t="str">
        <f>LEFT(E2,FIND("-",E2,1)-1)</f>
        <v>Mumbai</v>
      </c>
      <c r="G2" t="str">
        <f>RIGHT(E2,LEN(E2)-(FIND("-",E2,1)))</f>
        <v>400086</v>
      </c>
      <c r="J2">
        <f>FIND("-",E2,1)</f>
        <v>7</v>
      </c>
      <c r="K2">
        <f>LEN(E2)</f>
        <v>13</v>
      </c>
      <c r="L2">
        <f>K2-J2</f>
        <v>6</v>
      </c>
    </row>
    <row r="3" spans="1:12">
      <c r="A3" t="s">
        <v>1167</v>
      </c>
      <c r="B3" t="s">
        <v>1169</v>
      </c>
      <c r="C3">
        <v>400989</v>
      </c>
      <c r="E3" t="s">
        <v>1167</v>
      </c>
      <c r="F3" t="str">
        <f t="shared" ref="F3:F4" si="0">LEFT(E3,FIND("-",E3,1)-1)</f>
        <v>Surat</v>
      </c>
      <c r="G3" t="str">
        <f t="shared" ref="G3:G4" si="1">RIGHT(E3,LEN(E3)-(FIND("-",E3,1)))</f>
        <v>400989</v>
      </c>
      <c r="J3">
        <f t="shared" ref="J3:J4" si="2">FIND("-",E3,1)</f>
        <v>6</v>
      </c>
      <c r="K3">
        <f t="shared" ref="K3:K4" si="3">LEN(E3)</f>
        <v>12</v>
      </c>
      <c r="L3">
        <f t="shared" ref="L3:L4" si="4">K3-J3</f>
        <v>6</v>
      </c>
    </row>
    <row r="4" spans="1:12">
      <c r="A4" t="s">
        <v>1168</v>
      </c>
      <c r="B4" t="s">
        <v>1173</v>
      </c>
      <c r="C4">
        <v>400605</v>
      </c>
      <c r="E4" t="s">
        <v>1168</v>
      </c>
      <c r="F4" t="str">
        <f t="shared" si="0"/>
        <v>Pune</v>
      </c>
      <c r="G4" t="str">
        <f t="shared" si="1"/>
        <v>400605</v>
      </c>
      <c r="J4">
        <f t="shared" si="2"/>
        <v>5</v>
      </c>
      <c r="K4">
        <f t="shared" si="3"/>
        <v>11</v>
      </c>
      <c r="L4">
        <f t="shared" si="4"/>
        <v>6</v>
      </c>
    </row>
    <row r="7" spans="1:12">
      <c r="A7" t="s">
        <v>1177</v>
      </c>
      <c r="B7" t="s">
        <v>1182</v>
      </c>
      <c r="C7" t="s">
        <v>1176</v>
      </c>
    </row>
    <row r="8" spans="1:12">
      <c r="A8" t="s">
        <v>1179</v>
      </c>
      <c r="B8" t="str">
        <f>LEFT(A8,FIND("-",A8,1)-1)</f>
        <v>Santacruz</v>
      </c>
      <c r="C8" t="str">
        <f>RIGHT(A8,LEN(A8)-FIND("-",A8,1))</f>
        <v>400056</v>
      </c>
      <c r="E8">
        <f>FIND("-",A8,1)</f>
        <v>10</v>
      </c>
      <c r="F8">
        <f>LEN(A8)</f>
        <v>16</v>
      </c>
      <c r="G8">
        <f>F8-E8</f>
        <v>6</v>
      </c>
    </row>
    <row r="9" spans="1:12">
      <c r="A9" t="s">
        <v>1178</v>
      </c>
      <c r="B9" t="str">
        <f t="shared" ref="B9:B11" si="5">LEFT(A9,FIND("-",A9,1)-1)</f>
        <v>Golibar</v>
      </c>
      <c r="C9" t="str">
        <f t="shared" ref="C9:C11" si="6">RIGHT(A9,LEN(A9)-FIND("-",A9,1))</f>
        <v>400054</v>
      </c>
      <c r="E9">
        <f t="shared" ref="E9:E11" si="7">FIND("-",A9,1)</f>
        <v>8</v>
      </c>
      <c r="F9">
        <f t="shared" ref="F9:F11" si="8">LEN(A9)</f>
        <v>14</v>
      </c>
      <c r="G9">
        <f t="shared" ref="G9:G11" si="9">F9-E9</f>
        <v>6</v>
      </c>
    </row>
    <row r="10" spans="1:12">
      <c r="A10" t="s">
        <v>1180</v>
      </c>
      <c r="B10" t="str">
        <f t="shared" si="5"/>
        <v>Khar</v>
      </c>
      <c r="C10" t="str">
        <f t="shared" si="6"/>
        <v>400054</v>
      </c>
      <c r="E10">
        <f t="shared" si="7"/>
        <v>5</v>
      </c>
      <c r="F10">
        <f t="shared" si="8"/>
        <v>11</v>
      </c>
      <c r="G10">
        <f t="shared" si="9"/>
        <v>6</v>
      </c>
    </row>
    <row r="11" spans="1:12">
      <c r="A11" t="s">
        <v>1181</v>
      </c>
      <c r="B11" t="str">
        <f t="shared" si="5"/>
        <v>Bhaynder</v>
      </c>
      <c r="C11" t="str">
        <f t="shared" si="6"/>
        <v>401105</v>
      </c>
      <c r="E11">
        <f t="shared" si="7"/>
        <v>9</v>
      </c>
      <c r="F11">
        <f t="shared" si="8"/>
        <v>15</v>
      </c>
      <c r="G11">
        <f t="shared" si="9"/>
        <v>6</v>
      </c>
    </row>
    <row r="13" spans="1:12">
      <c r="B13" t="str">
        <f>LEFT(A8,FIND("-",A8,1)-1)</f>
        <v>Santacruz</v>
      </c>
      <c r="C13" t="str">
        <f>RIGHT(A8,LEN(A8)-FIND("-",A8,1))</f>
        <v>400056</v>
      </c>
    </row>
    <row r="14" spans="1:12">
      <c r="B14" t="str">
        <f t="shared" ref="B14:B15" si="10">LEFT(A9,FIND("-",A9,1)-1)</f>
        <v>Golibar</v>
      </c>
      <c r="C14" t="str">
        <f t="shared" ref="C14:C16" si="11">RIGHT(A9,LEN(A9)-FIND("-",A9,1))</f>
        <v>400054</v>
      </c>
    </row>
    <row r="15" spans="1:12">
      <c r="B15" t="str">
        <f t="shared" si="10"/>
        <v>Khar</v>
      </c>
      <c r="C15" t="str">
        <f t="shared" si="11"/>
        <v>400054</v>
      </c>
    </row>
    <row r="16" spans="1:12">
      <c r="B16" t="str">
        <f>LEFT(A11,FIND("-",A11,1)-1)</f>
        <v>Bhaynder</v>
      </c>
      <c r="C16" t="str">
        <f t="shared" si="11"/>
        <v>401105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9940-BA89-48DC-9E71-8A9CADC43B6F}">
  <dimension ref="A1:D4"/>
  <sheetViews>
    <sheetView workbookViewId="0">
      <selection activeCell="D3" sqref="D3"/>
    </sheetView>
  </sheetViews>
  <sheetFormatPr defaultRowHeight="14.25"/>
  <cols>
    <col min="1" max="1" width="11" bestFit="1" customWidth="1"/>
    <col min="2" max="2" width="5.53125" bestFit="1" customWidth="1"/>
    <col min="3" max="3" width="10.59765625" bestFit="1" customWidth="1"/>
    <col min="4" max="4" width="10.73046875" bestFit="1" customWidth="1"/>
  </cols>
  <sheetData>
    <row r="1" spans="1:4">
      <c r="A1" s="11" t="s">
        <v>0</v>
      </c>
      <c r="B1" s="11" t="s">
        <v>1</v>
      </c>
      <c r="C1" s="11" t="s">
        <v>2</v>
      </c>
      <c r="D1" s="11" t="s">
        <v>101</v>
      </c>
    </row>
    <row r="2" spans="1:4">
      <c r="A2" t="s">
        <v>1187</v>
      </c>
      <c r="B2" t="s">
        <v>1185</v>
      </c>
      <c r="C2" t="s">
        <v>1186</v>
      </c>
      <c r="D2">
        <v>1234567890</v>
      </c>
    </row>
    <row r="3" spans="1:4">
      <c r="A3" t="s">
        <v>1188</v>
      </c>
      <c r="B3" t="s">
        <v>1185</v>
      </c>
      <c r="C3" t="s">
        <v>1186</v>
      </c>
    </row>
    <row r="4" spans="1:4">
      <c r="A4" t="s">
        <v>1189</v>
      </c>
      <c r="B4" t="s">
        <v>1185</v>
      </c>
      <c r="C4" t="s">
        <v>1186</v>
      </c>
    </row>
  </sheetData>
  <phoneticPr fontId="2" type="noConversion"/>
  <dataValidations count="1">
    <dataValidation type="textLength" allowBlank="1" showInputMessage="1" showErrorMessage="1" sqref="D1 D3:D1048576" xr:uid="{1CB0E2AB-94DC-44D2-8FC2-FF2EB86F0304}">
      <formula1>10</formula1>
      <formula2>10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EC13-168D-46E4-9F31-AD0A9472AD07}">
  <dimension ref="A1:N14"/>
  <sheetViews>
    <sheetView topLeftCell="B1" workbookViewId="0">
      <selection activeCell="F3" sqref="F3"/>
    </sheetView>
  </sheetViews>
  <sheetFormatPr defaultRowHeight="14.25"/>
  <cols>
    <col min="1" max="1" width="9.59765625" customWidth="1"/>
    <col min="2" max="2" width="11.33203125" bestFit="1" customWidth="1"/>
    <col min="3" max="3" width="9.9296875" bestFit="1" customWidth="1"/>
    <col min="4" max="4" width="5.73046875" bestFit="1" customWidth="1"/>
    <col min="5" max="5" width="11.3984375" bestFit="1" customWidth="1"/>
    <col min="6" max="6" width="9.9296875" customWidth="1"/>
  </cols>
  <sheetData>
    <row r="1" spans="1:14">
      <c r="A1" s="13" t="s">
        <v>1183</v>
      </c>
      <c r="B1" s="13" t="s">
        <v>1195</v>
      </c>
      <c r="C1" s="13" t="s">
        <v>1196</v>
      </c>
      <c r="D1" s="13" t="s">
        <v>1197</v>
      </c>
      <c r="E1" s="13" t="s">
        <v>1198</v>
      </c>
      <c r="F1" s="13" t="s">
        <v>1199</v>
      </c>
      <c r="G1" s="13" t="s">
        <v>1219</v>
      </c>
      <c r="K1" s="16" t="s">
        <v>1200</v>
      </c>
    </row>
    <row r="2" spans="1:14">
      <c r="A2" s="11" t="s">
        <v>1190</v>
      </c>
      <c r="B2" s="11" t="s">
        <v>1191</v>
      </c>
      <c r="C2" s="11" t="s">
        <v>1193</v>
      </c>
      <c r="D2" s="11" t="s">
        <v>14</v>
      </c>
      <c r="E2" s="11" t="s">
        <v>1194</v>
      </c>
      <c r="F2" s="11" t="s">
        <v>1192</v>
      </c>
      <c r="G2" s="11" t="s">
        <v>1192</v>
      </c>
      <c r="H2" s="16"/>
      <c r="I2" s="16"/>
      <c r="J2" s="16"/>
      <c r="K2" t="s">
        <v>1201</v>
      </c>
      <c r="M2" t="s">
        <v>1204</v>
      </c>
    </row>
    <row r="3" spans="1:14">
      <c r="A3" t="s">
        <v>5</v>
      </c>
      <c r="B3" t="s">
        <v>6</v>
      </c>
      <c r="C3" t="s">
        <v>7</v>
      </c>
      <c r="D3">
        <v>72704</v>
      </c>
      <c r="E3" t="str">
        <f>IF(D3&gt;=50000,"Completed","Incomplete")</f>
        <v>Completed</v>
      </c>
      <c r="F3">
        <f>IF(D3&gt;75000,D3*20%,IF(D3&gt;50000,D3*15%,D3*10%))</f>
        <v>10905.6</v>
      </c>
      <c r="G3" cm="1">
        <f t="array" ref="G3">_xlfn.IFS(D3&gt;75000,D3*20%,D3&gt;50000,D3*15%,D3&lt;50000,D3*10%)</f>
        <v>10905.6</v>
      </c>
      <c r="K3" t="s">
        <v>1202</v>
      </c>
      <c r="M3" t="s">
        <v>1205</v>
      </c>
    </row>
    <row r="4" spans="1:14">
      <c r="A4" t="s">
        <v>9</v>
      </c>
      <c r="B4" t="s">
        <v>10</v>
      </c>
      <c r="C4" t="s">
        <v>11</v>
      </c>
      <c r="D4">
        <v>44718</v>
      </c>
      <c r="E4" t="str">
        <f t="shared" ref="E4:E14" si="0">IF(D4&gt;=50000,"Completed","Incomplete")</f>
        <v>Incomplete</v>
      </c>
      <c r="F4">
        <f t="shared" ref="F4:F14" si="1">IF(D4&gt;75000,D4*20%,IF(D4&gt;50000,D4*15%,D4*10%))</f>
        <v>4471.8</v>
      </c>
      <c r="G4" cm="1">
        <f t="array" ref="G4">_xlfn.IFS(D4&gt;75000,D4*20%,D4&gt;50000,D4*15%,D4&lt;50000,D4*10%)</f>
        <v>4471.8</v>
      </c>
      <c r="K4" t="s">
        <v>1203</v>
      </c>
      <c r="M4" t="s">
        <v>1206</v>
      </c>
    </row>
    <row r="5" spans="1:14">
      <c r="A5" t="s">
        <v>12</v>
      </c>
      <c r="B5" t="s">
        <v>13</v>
      </c>
      <c r="C5" t="s">
        <v>14</v>
      </c>
      <c r="D5">
        <v>35210</v>
      </c>
      <c r="E5" t="str">
        <f t="shared" si="0"/>
        <v>Incomplete</v>
      </c>
      <c r="F5">
        <f t="shared" si="1"/>
        <v>3521</v>
      </c>
      <c r="G5" cm="1">
        <f t="array" ref="G5">_xlfn.IFS(D5&gt;75000,D5*20%,D5&gt;50000,D5*15%,D5&lt;50000,D5*10%)</f>
        <v>3521</v>
      </c>
    </row>
    <row r="6" spans="1:14">
      <c r="A6" t="s">
        <v>15</v>
      </c>
      <c r="B6" t="s">
        <v>16</v>
      </c>
      <c r="C6" t="s">
        <v>7</v>
      </c>
      <c r="D6">
        <v>30681</v>
      </c>
      <c r="E6" t="str">
        <f t="shared" si="0"/>
        <v>Incomplete</v>
      </c>
      <c r="F6">
        <f t="shared" si="1"/>
        <v>3068.1000000000004</v>
      </c>
      <c r="G6" cm="1">
        <f t="array" ref="G6">_xlfn.IFS(D6&gt;75000,D6*20%,D6&gt;50000,D6*15%,D6&lt;50000,D6*10%)</f>
        <v>3068.1000000000004</v>
      </c>
    </row>
    <row r="7" spans="1:14">
      <c r="A7" t="s">
        <v>17</v>
      </c>
      <c r="B7" t="s">
        <v>18</v>
      </c>
      <c r="C7" t="s">
        <v>11</v>
      </c>
      <c r="D7">
        <v>47487</v>
      </c>
      <c r="E7" t="str">
        <f t="shared" si="0"/>
        <v>Incomplete</v>
      </c>
      <c r="F7">
        <f t="shared" si="1"/>
        <v>4748.7</v>
      </c>
      <c r="G7" cm="1">
        <f t="array" ref="G7">_xlfn.IFS(D7&gt;75000,D7*20%,D7&gt;50000,D7*15%,D7&lt;50000,D7*10%)</f>
        <v>4748.7</v>
      </c>
      <c r="K7" s="13"/>
      <c r="L7" s="13" t="s">
        <v>1207</v>
      </c>
      <c r="M7" s="13"/>
      <c r="N7" s="13"/>
    </row>
    <row r="8" spans="1:14">
      <c r="A8" t="s">
        <v>19</v>
      </c>
      <c r="B8" t="s">
        <v>69</v>
      </c>
      <c r="C8" t="s">
        <v>11</v>
      </c>
      <c r="D8">
        <v>75613</v>
      </c>
      <c r="E8" t="str">
        <f t="shared" si="0"/>
        <v>Completed</v>
      </c>
      <c r="F8">
        <f t="shared" si="1"/>
        <v>15122.6</v>
      </c>
      <c r="G8" cm="1">
        <f t="array" ref="G8">_xlfn.IFS(D8&gt;75000,D8*20%,D8&gt;50000,D8*15%,D8&lt;50000,D8*10%)</f>
        <v>15122.6</v>
      </c>
      <c r="K8" t="s">
        <v>14</v>
      </c>
      <c r="M8" t="s">
        <v>1211</v>
      </c>
    </row>
    <row r="9" spans="1:14">
      <c r="A9" t="s">
        <v>20</v>
      </c>
      <c r="B9" t="s">
        <v>21</v>
      </c>
      <c r="C9" t="s">
        <v>14</v>
      </c>
      <c r="D9">
        <v>63671</v>
      </c>
      <c r="E9" t="str">
        <f t="shared" si="0"/>
        <v>Completed</v>
      </c>
      <c r="F9">
        <f t="shared" si="1"/>
        <v>9550.65</v>
      </c>
      <c r="G9" cm="1">
        <f t="array" ref="G9">_xlfn.IFS(D9&gt;75000,D9*20%,D9&gt;50000,D9*15%,D9&lt;50000,D9*10%)</f>
        <v>9550.65</v>
      </c>
      <c r="I9" s="17"/>
      <c r="K9" t="s">
        <v>1208</v>
      </c>
      <c r="M9" s="17">
        <v>0.2</v>
      </c>
    </row>
    <row r="10" spans="1:14">
      <c r="A10" t="s">
        <v>22</v>
      </c>
      <c r="B10" t="s">
        <v>23</v>
      </c>
      <c r="C10" t="s">
        <v>7</v>
      </c>
      <c r="D10">
        <v>38966</v>
      </c>
      <c r="E10" t="str">
        <f t="shared" si="0"/>
        <v>Incomplete</v>
      </c>
      <c r="F10">
        <f t="shared" si="1"/>
        <v>3896.6000000000004</v>
      </c>
      <c r="G10" cm="1">
        <f t="array" ref="G10">_xlfn.IFS(D10&gt;75000,D10*20%,D10&gt;50000,D10*15%,D10&lt;50000,D10*10%)</f>
        <v>3896.6000000000004</v>
      </c>
      <c r="I10" s="17"/>
      <c r="K10" t="s">
        <v>1209</v>
      </c>
      <c r="M10" s="17">
        <v>0.15</v>
      </c>
    </row>
    <row r="11" spans="1:14">
      <c r="A11" t="s">
        <v>24</v>
      </c>
      <c r="B11" t="s">
        <v>25</v>
      </c>
      <c r="C11" t="s">
        <v>11</v>
      </c>
      <c r="D11">
        <v>77052</v>
      </c>
      <c r="E11" t="str">
        <f t="shared" si="0"/>
        <v>Completed</v>
      </c>
      <c r="F11">
        <f t="shared" si="1"/>
        <v>15410.400000000001</v>
      </c>
      <c r="G11" cm="1">
        <f t="array" ref="G11">_xlfn.IFS(D11&gt;75000,D11*20%,D11&gt;50000,D11*15%,D11&lt;50000,D11*10%)</f>
        <v>15410.400000000001</v>
      </c>
      <c r="I11" s="17"/>
      <c r="K11" t="s">
        <v>1210</v>
      </c>
      <c r="M11" s="17">
        <v>0.1</v>
      </c>
    </row>
    <row r="12" spans="1:14">
      <c r="A12" t="s">
        <v>26</v>
      </c>
      <c r="B12" t="s">
        <v>27</v>
      </c>
      <c r="C12" t="s">
        <v>14</v>
      </c>
      <c r="D12">
        <v>86570</v>
      </c>
      <c r="E12" t="str">
        <f t="shared" si="0"/>
        <v>Completed</v>
      </c>
      <c r="F12">
        <f t="shared" si="1"/>
        <v>17314</v>
      </c>
      <c r="G12" cm="1">
        <f t="array" ref="G12">_xlfn.IFS(D12&gt;75000,D12*20%,D12&gt;50000,D12*15%,D12&lt;50000,D12*10%)</f>
        <v>17314</v>
      </c>
    </row>
    <row r="13" spans="1:14">
      <c r="A13" t="s">
        <v>28</v>
      </c>
      <c r="B13" t="s">
        <v>29</v>
      </c>
      <c r="C13" t="s">
        <v>14</v>
      </c>
      <c r="D13">
        <v>30250</v>
      </c>
      <c r="E13" t="str">
        <f t="shared" si="0"/>
        <v>Incomplete</v>
      </c>
      <c r="F13">
        <f t="shared" si="1"/>
        <v>3025</v>
      </c>
      <c r="G13" cm="1">
        <f t="array" ref="G13">_xlfn.IFS(D13&gt;75000,D13*20%,D13&gt;50000,D13*15%,D13&lt;50000,D13*10%)</f>
        <v>3025</v>
      </c>
    </row>
    <row r="14" spans="1:14">
      <c r="A14" t="s">
        <v>30</v>
      </c>
      <c r="B14" t="s">
        <v>31</v>
      </c>
      <c r="C14" t="s">
        <v>11</v>
      </c>
      <c r="D14">
        <v>71584</v>
      </c>
      <c r="E14" t="str">
        <f t="shared" si="0"/>
        <v>Completed</v>
      </c>
      <c r="F14">
        <f t="shared" si="1"/>
        <v>10737.6</v>
      </c>
      <c r="G14" cm="1">
        <f t="array" ref="G14">_xlfn.IFS(D14&gt;75000,D14*20%,D14&gt;50000,D14*15%,D14&lt;50000,D14*10%)</f>
        <v>10737.6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7CE2-620A-45CA-BE51-390CB70B6B28}">
  <dimension ref="A1:I13"/>
  <sheetViews>
    <sheetView workbookViewId="0">
      <selection activeCell="E2" sqref="E2"/>
    </sheetView>
  </sheetViews>
  <sheetFormatPr defaultRowHeight="14.25"/>
  <cols>
    <col min="1" max="1" width="11.33203125" bestFit="1" customWidth="1"/>
    <col min="2" max="2" width="10.265625" bestFit="1" customWidth="1"/>
    <col min="3" max="3" width="12.796875" bestFit="1" customWidth="1"/>
    <col min="4" max="4" width="9.6640625" bestFit="1" customWidth="1"/>
    <col min="5" max="6" width="13.9296875" bestFit="1" customWidth="1"/>
  </cols>
  <sheetData>
    <row r="1" spans="1:9">
      <c r="A1" s="22" t="s">
        <v>1</v>
      </c>
      <c r="B1" s="22" t="s">
        <v>2</v>
      </c>
      <c r="C1" s="22" t="s">
        <v>1212</v>
      </c>
      <c r="D1" s="22" t="s">
        <v>3</v>
      </c>
      <c r="E1" s="22" t="s">
        <v>1220</v>
      </c>
      <c r="F1" s="22" t="s">
        <v>1221</v>
      </c>
      <c r="G1" t="s">
        <v>1218</v>
      </c>
    </row>
    <row r="2" spans="1:9">
      <c r="A2" t="s">
        <v>6</v>
      </c>
      <c r="B2" t="s">
        <v>7</v>
      </c>
      <c r="C2">
        <v>5</v>
      </c>
      <c r="D2" s="6">
        <v>41954</v>
      </c>
      <c r="E2" s="29" t="str">
        <f>IF(AND(B2="Finance",C2&gt;=5),"Yes","No")</f>
        <v>Yes</v>
      </c>
      <c r="F2" s="29" t="str">
        <f>IF(OR(B2="Finance",C2&gt;=5),"Yes","No")</f>
        <v>Yes</v>
      </c>
    </row>
    <row r="3" spans="1:9">
      <c r="A3" t="s">
        <v>10</v>
      </c>
      <c r="B3" t="s">
        <v>11</v>
      </c>
      <c r="C3">
        <v>4</v>
      </c>
      <c r="D3" s="6">
        <v>49855</v>
      </c>
      <c r="E3" s="29" t="str">
        <f t="shared" ref="E3:E13" si="0">IF(AND(B3="Finance",C3&gt;=5),"Yes","No")</f>
        <v>No</v>
      </c>
      <c r="F3" s="29" t="str">
        <f t="shared" ref="F3:F13" si="1">IF(OR(B3="Finance",C3&gt;=5),"Yes","No")</f>
        <v>No</v>
      </c>
      <c r="G3" s="13" t="s">
        <v>1213</v>
      </c>
      <c r="H3" s="13"/>
      <c r="I3" t="s">
        <v>1214</v>
      </c>
    </row>
    <row r="4" spans="1:9">
      <c r="A4" t="s">
        <v>13</v>
      </c>
      <c r="B4" t="s">
        <v>14</v>
      </c>
      <c r="C4">
        <v>3</v>
      </c>
      <c r="D4" s="6">
        <v>94210</v>
      </c>
      <c r="E4" s="29" t="str">
        <f t="shared" si="0"/>
        <v>No</v>
      </c>
      <c r="F4" s="29" t="str">
        <f t="shared" si="1"/>
        <v>No</v>
      </c>
      <c r="G4" t="s">
        <v>7</v>
      </c>
      <c r="H4" t="s">
        <v>1216</v>
      </c>
      <c r="I4" t="s">
        <v>1215</v>
      </c>
    </row>
    <row r="5" spans="1:9">
      <c r="A5" t="s">
        <v>16</v>
      </c>
      <c r="B5" t="s">
        <v>7</v>
      </c>
      <c r="C5">
        <v>5</v>
      </c>
      <c r="D5" s="6">
        <v>74689</v>
      </c>
      <c r="E5" s="29" t="str">
        <f t="shared" si="0"/>
        <v>Yes</v>
      </c>
      <c r="F5" s="29" t="str">
        <f t="shared" si="1"/>
        <v>Yes</v>
      </c>
    </row>
    <row r="6" spans="1:9">
      <c r="A6" t="s">
        <v>18</v>
      </c>
      <c r="B6" t="s">
        <v>11</v>
      </c>
      <c r="C6">
        <v>6</v>
      </c>
      <c r="D6" s="6">
        <v>90625</v>
      </c>
      <c r="E6" s="29" t="str">
        <f t="shared" si="0"/>
        <v>No</v>
      </c>
      <c r="F6" s="29" t="str">
        <f t="shared" si="1"/>
        <v>Yes</v>
      </c>
      <c r="G6" s="13" t="s">
        <v>1217</v>
      </c>
      <c r="H6" s="13"/>
      <c r="I6" t="s">
        <v>1214</v>
      </c>
    </row>
    <row r="7" spans="1:9">
      <c r="A7" t="s">
        <v>69</v>
      </c>
      <c r="B7" t="s">
        <v>11</v>
      </c>
      <c r="C7">
        <v>2</v>
      </c>
      <c r="D7" s="6">
        <v>74820</v>
      </c>
      <c r="E7" s="29" t="str">
        <f t="shared" si="0"/>
        <v>No</v>
      </c>
      <c r="F7" s="29" t="str">
        <f t="shared" si="1"/>
        <v>No</v>
      </c>
      <c r="G7" t="s">
        <v>7</v>
      </c>
      <c r="H7" t="s">
        <v>1216</v>
      </c>
      <c r="I7" t="s">
        <v>1215</v>
      </c>
    </row>
    <row r="8" spans="1:9">
      <c r="A8" t="s">
        <v>21</v>
      </c>
      <c r="B8" t="s">
        <v>14</v>
      </c>
      <c r="C8">
        <v>3</v>
      </c>
      <c r="D8" s="6">
        <v>85206</v>
      </c>
      <c r="E8" s="29" t="str">
        <f t="shared" si="0"/>
        <v>No</v>
      </c>
      <c r="F8" s="29" t="str">
        <f t="shared" si="1"/>
        <v>No</v>
      </c>
    </row>
    <row r="9" spans="1:9">
      <c r="A9" t="s">
        <v>23</v>
      </c>
      <c r="B9" t="s">
        <v>7</v>
      </c>
      <c r="C9">
        <v>5</v>
      </c>
      <c r="D9" s="6">
        <v>30924</v>
      </c>
      <c r="E9" s="29" t="str">
        <f t="shared" si="0"/>
        <v>Yes</v>
      </c>
      <c r="F9" s="29" t="str">
        <f t="shared" si="1"/>
        <v>Yes</v>
      </c>
    </row>
    <row r="10" spans="1:9">
      <c r="A10" t="s">
        <v>25</v>
      </c>
      <c r="B10" t="s">
        <v>11</v>
      </c>
      <c r="C10">
        <v>6</v>
      </c>
      <c r="D10" s="6">
        <v>57737</v>
      </c>
      <c r="E10" s="29" t="str">
        <f t="shared" si="0"/>
        <v>No</v>
      </c>
      <c r="F10" s="29" t="str">
        <f t="shared" si="1"/>
        <v>Yes</v>
      </c>
    </row>
    <row r="11" spans="1:9">
      <c r="A11" t="s">
        <v>27</v>
      </c>
      <c r="B11" t="s">
        <v>14</v>
      </c>
      <c r="C11">
        <v>2</v>
      </c>
      <c r="D11" s="6">
        <v>36000</v>
      </c>
      <c r="E11" s="29" t="str">
        <f t="shared" si="0"/>
        <v>No</v>
      </c>
      <c r="F11" s="29" t="str">
        <f t="shared" si="1"/>
        <v>No</v>
      </c>
    </row>
    <row r="12" spans="1:9">
      <c r="A12" t="s">
        <v>29</v>
      </c>
      <c r="B12" t="s">
        <v>14</v>
      </c>
      <c r="C12">
        <v>3</v>
      </c>
      <c r="D12" s="6">
        <v>96371</v>
      </c>
      <c r="E12" s="29" t="str">
        <f t="shared" si="0"/>
        <v>No</v>
      </c>
      <c r="F12" s="29" t="str">
        <f t="shared" si="1"/>
        <v>No</v>
      </c>
    </row>
    <row r="13" spans="1:9">
      <c r="A13" t="s">
        <v>31</v>
      </c>
      <c r="B13" t="s">
        <v>11</v>
      </c>
      <c r="C13">
        <v>7</v>
      </c>
      <c r="D13" s="6">
        <v>85028</v>
      </c>
      <c r="E13" s="29" t="str">
        <f t="shared" si="0"/>
        <v>No</v>
      </c>
      <c r="F13" s="29" t="str">
        <f t="shared" si="1"/>
        <v>Yes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AC9F-446E-4572-9F0F-0DE8FDDE05FA}">
  <dimension ref="A1:Z1002"/>
  <sheetViews>
    <sheetView topLeftCell="E1" workbookViewId="0">
      <selection activeCell="J2" sqref="J2"/>
    </sheetView>
  </sheetViews>
  <sheetFormatPr defaultRowHeight="14.25"/>
  <cols>
    <col min="1" max="1" width="10.19921875" bestFit="1" customWidth="1"/>
    <col min="2" max="2" width="6.1328125" bestFit="1" customWidth="1"/>
    <col min="3" max="3" width="10.86328125" bestFit="1" customWidth="1"/>
    <col min="4" max="4" width="10.19921875" bestFit="1" customWidth="1"/>
    <col min="5" max="5" width="9.19921875" bestFit="1" customWidth="1"/>
    <col min="6" max="6" width="7.6640625" bestFit="1" customWidth="1"/>
    <col min="7" max="7" width="11.53125" customWidth="1"/>
    <col min="8" max="8" width="11.46484375" bestFit="1" customWidth="1"/>
  </cols>
  <sheetData>
    <row r="1" spans="1:26">
      <c r="A1" s="9" t="s">
        <v>1222</v>
      </c>
      <c r="B1" s="9" t="s">
        <v>1223</v>
      </c>
      <c r="C1" s="9" t="s">
        <v>1224</v>
      </c>
      <c r="D1" s="9" t="s">
        <v>1175</v>
      </c>
      <c r="E1" s="9" t="s">
        <v>1225</v>
      </c>
      <c r="F1" s="9" t="s">
        <v>1226</v>
      </c>
      <c r="G1" s="9" t="s">
        <v>1227</v>
      </c>
      <c r="H1" s="9" t="s">
        <v>1228</v>
      </c>
    </row>
    <row r="2" spans="1:26">
      <c r="A2" s="19">
        <v>45200</v>
      </c>
      <c r="B2" t="s">
        <v>1229</v>
      </c>
      <c r="C2" t="s">
        <v>1230</v>
      </c>
      <c r="D2" t="s">
        <v>1169</v>
      </c>
      <c r="E2" t="s">
        <v>128</v>
      </c>
      <c r="F2" s="10">
        <v>20</v>
      </c>
      <c r="G2" s="10">
        <v>4712.75</v>
      </c>
      <c r="H2" s="10">
        <v>94255</v>
      </c>
      <c r="J2" cm="1">
        <f t="array" ref="J2:Q1002">_xlfn._xlws.SORT(A1:H1001,4,1)</f>
        <v>44977</v>
      </c>
      <c r="K2" t="str">
        <v>West</v>
      </c>
      <c r="L2" t="str">
        <v>Gujarat</v>
      </c>
      <c r="M2" t="str">
        <v>Ahmedabad</v>
      </c>
      <c r="N2" t="str">
        <v>Clothing</v>
      </c>
      <c r="O2">
        <v>19</v>
      </c>
      <c r="P2">
        <v>2146.17</v>
      </c>
      <c r="Q2">
        <v>40777.230000000003</v>
      </c>
      <c r="S2" cm="1">
        <f t="array" ref="S2:Z73">_xlfn._xlws.FILTER(A2:H1001,D2:D1001="Mumbai","Not Found")</f>
        <v>45049</v>
      </c>
      <c r="T2" t="str">
        <v>West</v>
      </c>
      <c r="U2" t="str">
        <v>Maharashtra</v>
      </c>
      <c r="V2" t="str">
        <v>Mumbai</v>
      </c>
      <c r="W2" t="str">
        <v>Clothing</v>
      </c>
      <c r="X2">
        <v>19</v>
      </c>
      <c r="Y2">
        <v>4137.4399999999996</v>
      </c>
      <c r="Z2">
        <v>78611.360000000001</v>
      </c>
    </row>
    <row r="3" spans="1:26">
      <c r="A3" s="19">
        <v>45081</v>
      </c>
      <c r="B3" t="s">
        <v>1231</v>
      </c>
      <c r="C3" t="s">
        <v>1232</v>
      </c>
      <c r="D3" t="s">
        <v>1233</v>
      </c>
      <c r="E3" t="s">
        <v>128</v>
      </c>
      <c r="F3" s="10">
        <v>20</v>
      </c>
      <c r="G3" s="10">
        <v>4398.47</v>
      </c>
      <c r="H3" s="10">
        <v>87969.4</v>
      </c>
      <c r="J3">
        <v>44987</v>
      </c>
      <c r="K3" t="str">
        <v>West</v>
      </c>
      <c r="L3" t="str">
        <v>Gujarat</v>
      </c>
      <c r="M3" t="str">
        <v>Ahmedabad</v>
      </c>
      <c r="N3" t="str">
        <v>Clothing</v>
      </c>
      <c r="O3">
        <v>18</v>
      </c>
      <c r="P3">
        <v>1164.29</v>
      </c>
      <c r="Q3">
        <v>20957.22</v>
      </c>
      <c r="S3">
        <v>44971</v>
      </c>
      <c r="T3" t="str">
        <v>West</v>
      </c>
      <c r="U3" t="str">
        <v>Maharashtra</v>
      </c>
      <c r="V3" t="str">
        <v>Mumbai</v>
      </c>
      <c r="W3" t="str">
        <v>Clothing</v>
      </c>
      <c r="X3">
        <v>15</v>
      </c>
      <c r="Y3">
        <v>4822.26</v>
      </c>
      <c r="Z3">
        <v>72333.899999999994</v>
      </c>
    </row>
    <row r="4" spans="1:26">
      <c r="A4" s="19">
        <v>45183</v>
      </c>
      <c r="B4" t="s">
        <v>1231</v>
      </c>
      <c r="C4" t="s">
        <v>1232</v>
      </c>
      <c r="D4" t="s">
        <v>1234</v>
      </c>
      <c r="E4" t="s">
        <v>128</v>
      </c>
      <c r="F4" s="10">
        <v>18</v>
      </c>
      <c r="G4" s="10">
        <v>4422.21</v>
      </c>
      <c r="H4" s="10">
        <v>79599.78</v>
      </c>
      <c r="J4">
        <v>45206</v>
      </c>
      <c r="K4" t="str">
        <v>West</v>
      </c>
      <c r="L4" t="str">
        <v>Gujarat</v>
      </c>
      <c r="M4" t="str">
        <v>Ahmedabad</v>
      </c>
      <c r="N4" t="str">
        <v>Clothing</v>
      </c>
      <c r="O4">
        <v>2</v>
      </c>
      <c r="P4">
        <v>4664.91</v>
      </c>
      <c r="Q4">
        <v>9329.82</v>
      </c>
      <c r="S4">
        <v>45129</v>
      </c>
      <c r="T4" t="str">
        <v>West</v>
      </c>
      <c r="U4" t="str">
        <v>Maharashtra</v>
      </c>
      <c r="V4" t="str">
        <v>Mumbai</v>
      </c>
      <c r="W4" t="str">
        <v>Clothing</v>
      </c>
      <c r="X4">
        <v>20</v>
      </c>
      <c r="Y4">
        <v>2631.58</v>
      </c>
      <c r="Z4">
        <v>52631.6</v>
      </c>
    </row>
    <row r="5" spans="1:26">
      <c r="A5" s="19">
        <v>45089</v>
      </c>
      <c r="B5" t="s">
        <v>1231</v>
      </c>
      <c r="C5" t="s">
        <v>1232</v>
      </c>
      <c r="D5" t="s">
        <v>1233</v>
      </c>
      <c r="E5" t="s">
        <v>128</v>
      </c>
      <c r="F5" s="10">
        <v>18</v>
      </c>
      <c r="G5" s="10">
        <v>4403.6899999999996</v>
      </c>
      <c r="H5" s="10">
        <v>79266.42</v>
      </c>
      <c r="J5">
        <v>44993</v>
      </c>
      <c r="K5" t="str">
        <v>West</v>
      </c>
      <c r="L5" t="str">
        <v>Gujarat</v>
      </c>
      <c r="M5" t="str">
        <v>Ahmedabad</v>
      </c>
      <c r="N5" t="str">
        <v>Clothing</v>
      </c>
      <c r="O5">
        <v>2</v>
      </c>
      <c r="P5">
        <v>3825.5</v>
      </c>
      <c r="Q5">
        <v>7651</v>
      </c>
      <c r="S5">
        <v>45156</v>
      </c>
      <c r="T5" t="str">
        <v>West</v>
      </c>
      <c r="U5" t="str">
        <v>Maharashtra</v>
      </c>
      <c r="V5" t="str">
        <v>Mumbai</v>
      </c>
      <c r="W5" t="str">
        <v>Clothing</v>
      </c>
      <c r="X5">
        <v>12</v>
      </c>
      <c r="Y5">
        <v>3400.71</v>
      </c>
      <c r="Z5">
        <v>40808.519999999997</v>
      </c>
    </row>
    <row r="6" spans="1:26">
      <c r="A6" s="19">
        <v>45044</v>
      </c>
      <c r="B6" t="s">
        <v>1231</v>
      </c>
      <c r="C6" t="s">
        <v>1235</v>
      </c>
      <c r="D6" t="s">
        <v>1236</v>
      </c>
      <c r="E6" t="s">
        <v>128</v>
      </c>
      <c r="F6" s="10">
        <v>20</v>
      </c>
      <c r="G6" s="10">
        <v>3937.67</v>
      </c>
      <c r="H6" s="10">
        <v>78753.399999999994</v>
      </c>
      <c r="J6">
        <v>45038</v>
      </c>
      <c r="K6" t="str">
        <v>West</v>
      </c>
      <c r="L6" t="str">
        <v>Gujarat</v>
      </c>
      <c r="M6" t="str">
        <v>Ahmedabad</v>
      </c>
      <c r="N6" t="str">
        <v>Clothing</v>
      </c>
      <c r="O6">
        <v>6</v>
      </c>
      <c r="P6">
        <v>1016.27</v>
      </c>
      <c r="Q6">
        <v>6097.62</v>
      </c>
      <c r="S6">
        <v>45122</v>
      </c>
      <c r="T6" t="str">
        <v>West</v>
      </c>
      <c r="U6" t="str">
        <v>Maharashtra</v>
      </c>
      <c r="V6" t="str">
        <v>Mumbai</v>
      </c>
      <c r="W6" t="str">
        <v>Clothing</v>
      </c>
      <c r="X6">
        <v>20</v>
      </c>
      <c r="Y6">
        <v>1977</v>
      </c>
      <c r="Z6">
        <v>39540</v>
      </c>
    </row>
    <row r="7" spans="1:26">
      <c r="A7" s="19">
        <v>45049</v>
      </c>
      <c r="B7" t="s">
        <v>1229</v>
      </c>
      <c r="C7" t="s">
        <v>1237</v>
      </c>
      <c r="D7" t="s">
        <v>1171</v>
      </c>
      <c r="E7" t="s">
        <v>128</v>
      </c>
      <c r="F7" s="10">
        <v>19</v>
      </c>
      <c r="G7" s="10">
        <v>4137.4399999999996</v>
      </c>
      <c r="H7" s="10">
        <v>78611.360000000001</v>
      </c>
      <c r="J7">
        <v>45212</v>
      </c>
      <c r="K7" t="str">
        <v>West</v>
      </c>
      <c r="L7" t="str">
        <v>Gujarat</v>
      </c>
      <c r="M7" t="str">
        <v>Ahmedabad</v>
      </c>
      <c r="N7" t="str">
        <v>Electronics</v>
      </c>
      <c r="O7">
        <v>20</v>
      </c>
      <c r="P7">
        <v>2133.5300000000002</v>
      </c>
      <c r="Q7">
        <v>42670.6</v>
      </c>
      <c r="S7">
        <v>45056</v>
      </c>
      <c r="T7" t="str">
        <v>West</v>
      </c>
      <c r="U7" t="str">
        <v>Maharashtra</v>
      </c>
      <c r="V7" t="str">
        <v>Mumbai</v>
      </c>
      <c r="W7" t="str">
        <v>Clothing</v>
      </c>
      <c r="X7">
        <v>18</v>
      </c>
      <c r="Y7">
        <v>2074.52</v>
      </c>
      <c r="Z7">
        <v>37341.360000000001</v>
      </c>
    </row>
    <row r="8" spans="1:26">
      <c r="A8" s="19">
        <v>45155</v>
      </c>
      <c r="B8" t="s">
        <v>1231</v>
      </c>
      <c r="C8" t="s">
        <v>1235</v>
      </c>
      <c r="D8" t="s">
        <v>1238</v>
      </c>
      <c r="E8" t="s">
        <v>128</v>
      </c>
      <c r="F8" s="10">
        <v>17</v>
      </c>
      <c r="G8" s="10">
        <v>4517.78</v>
      </c>
      <c r="H8" s="10">
        <v>76802.259999999995</v>
      </c>
      <c r="J8">
        <v>45164</v>
      </c>
      <c r="K8" t="str">
        <v>West</v>
      </c>
      <c r="L8" t="str">
        <v>Gujarat</v>
      </c>
      <c r="M8" t="str">
        <v>Ahmedabad</v>
      </c>
      <c r="N8" t="str">
        <v>Electronics</v>
      </c>
      <c r="O8">
        <v>11</v>
      </c>
      <c r="P8">
        <v>3538.83</v>
      </c>
      <c r="Q8">
        <v>38927.129999999997</v>
      </c>
      <c r="S8">
        <v>45092</v>
      </c>
      <c r="T8" t="str">
        <v>West</v>
      </c>
      <c r="U8" t="str">
        <v>Maharashtra</v>
      </c>
      <c r="V8" t="str">
        <v>Mumbai</v>
      </c>
      <c r="W8" t="str">
        <v>Clothing</v>
      </c>
      <c r="X8">
        <v>19</v>
      </c>
      <c r="Y8">
        <v>1965.12</v>
      </c>
      <c r="Z8">
        <v>37337.279999999999</v>
      </c>
    </row>
    <row r="9" spans="1:26">
      <c r="A9" s="19">
        <v>45016</v>
      </c>
      <c r="B9" t="s">
        <v>1231</v>
      </c>
      <c r="C9" t="s">
        <v>1232</v>
      </c>
      <c r="D9" t="s">
        <v>1233</v>
      </c>
      <c r="E9" t="s">
        <v>128</v>
      </c>
      <c r="F9" s="10">
        <v>17</v>
      </c>
      <c r="G9" s="10">
        <v>4515.21</v>
      </c>
      <c r="H9" s="10">
        <v>76758.570000000007</v>
      </c>
      <c r="J9">
        <v>45085</v>
      </c>
      <c r="K9" t="str">
        <v>West</v>
      </c>
      <c r="L9" t="str">
        <v>Gujarat</v>
      </c>
      <c r="M9" t="str">
        <v>Ahmedabad</v>
      </c>
      <c r="N9" t="str">
        <v>Electronics</v>
      </c>
      <c r="O9">
        <v>15</v>
      </c>
      <c r="P9">
        <v>2514.9499999999998</v>
      </c>
      <c r="Q9">
        <v>37724.25</v>
      </c>
      <c r="S9">
        <v>45176</v>
      </c>
      <c r="T9" t="str">
        <v>West</v>
      </c>
      <c r="U9" t="str">
        <v>Maharashtra</v>
      </c>
      <c r="V9" t="str">
        <v>Mumbai</v>
      </c>
      <c r="W9" t="str">
        <v>Clothing</v>
      </c>
      <c r="X9">
        <v>13</v>
      </c>
      <c r="Y9">
        <v>2809.29</v>
      </c>
      <c r="Z9">
        <v>36520.769999999997</v>
      </c>
    </row>
    <row r="10" spans="1:26">
      <c r="A10" s="19">
        <v>45128</v>
      </c>
      <c r="B10" t="s">
        <v>1229</v>
      </c>
      <c r="C10" t="s">
        <v>1237</v>
      </c>
      <c r="D10" t="s">
        <v>1239</v>
      </c>
      <c r="E10" t="s">
        <v>128</v>
      </c>
      <c r="F10" s="10">
        <v>16</v>
      </c>
      <c r="G10" s="10">
        <v>4780.7700000000004</v>
      </c>
      <c r="H10" s="10">
        <v>76492.320000000007</v>
      </c>
      <c r="J10">
        <v>45219</v>
      </c>
      <c r="K10" t="str">
        <v>West</v>
      </c>
      <c r="L10" t="str">
        <v>Gujarat</v>
      </c>
      <c r="M10" t="str">
        <v>Ahmedabad</v>
      </c>
      <c r="N10" t="str">
        <v>Electronics</v>
      </c>
      <c r="O10">
        <v>12</v>
      </c>
      <c r="P10">
        <v>2384.1</v>
      </c>
      <c r="Q10">
        <v>28609.200000000001</v>
      </c>
      <c r="S10">
        <v>45279</v>
      </c>
      <c r="T10" t="str">
        <v>West</v>
      </c>
      <c r="U10" t="str">
        <v>Maharashtra</v>
      </c>
      <c r="V10" t="str">
        <v>Mumbai</v>
      </c>
      <c r="W10" t="str">
        <v>Clothing</v>
      </c>
      <c r="X10">
        <v>20</v>
      </c>
      <c r="Y10">
        <v>1507.52</v>
      </c>
      <c r="Z10">
        <v>30150.400000000001</v>
      </c>
    </row>
    <row r="11" spans="1:26">
      <c r="A11" s="19">
        <v>44935</v>
      </c>
      <c r="B11" t="s">
        <v>1231</v>
      </c>
      <c r="C11" t="s">
        <v>1232</v>
      </c>
      <c r="D11" t="s">
        <v>1240</v>
      </c>
      <c r="E11" t="s">
        <v>128</v>
      </c>
      <c r="F11" s="10">
        <v>18</v>
      </c>
      <c r="G11" s="10">
        <v>4168.59</v>
      </c>
      <c r="H11" s="10">
        <v>75034.62</v>
      </c>
      <c r="J11">
        <v>44952</v>
      </c>
      <c r="K11" t="str">
        <v>West</v>
      </c>
      <c r="L11" t="str">
        <v>Gujarat</v>
      </c>
      <c r="M11" t="str">
        <v>Ahmedabad</v>
      </c>
      <c r="N11" t="str">
        <v>Electronics</v>
      </c>
      <c r="O11">
        <v>13</v>
      </c>
      <c r="P11">
        <v>1753.48</v>
      </c>
      <c r="Q11">
        <v>22795.24</v>
      </c>
      <c r="S11">
        <v>45290</v>
      </c>
      <c r="T11" t="str">
        <v>West</v>
      </c>
      <c r="U11" t="str">
        <v>Maharashtra</v>
      </c>
      <c r="V11" t="str">
        <v>Mumbai</v>
      </c>
      <c r="W11" t="str">
        <v>Clothing</v>
      </c>
      <c r="X11">
        <v>18</v>
      </c>
      <c r="Y11">
        <v>1533.77</v>
      </c>
      <c r="Z11">
        <v>27607.86</v>
      </c>
    </row>
    <row r="12" spans="1:26">
      <c r="A12" s="19">
        <v>45286</v>
      </c>
      <c r="B12" t="s">
        <v>1231</v>
      </c>
      <c r="C12" t="s">
        <v>1232</v>
      </c>
      <c r="D12" t="s">
        <v>1234</v>
      </c>
      <c r="E12" t="s">
        <v>128</v>
      </c>
      <c r="F12" s="10">
        <v>20</v>
      </c>
      <c r="G12" s="10">
        <v>3751.01</v>
      </c>
      <c r="H12" s="10">
        <v>75020.2</v>
      </c>
      <c r="J12">
        <v>45283</v>
      </c>
      <c r="K12" t="str">
        <v>West</v>
      </c>
      <c r="L12" t="str">
        <v>Gujarat</v>
      </c>
      <c r="M12" t="str">
        <v>Ahmedabad</v>
      </c>
      <c r="N12" t="str">
        <v>Electronics</v>
      </c>
      <c r="O12">
        <v>14</v>
      </c>
      <c r="P12">
        <v>1215.6199999999999</v>
      </c>
      <c r="Q12">
        <v>17018.68</v>
      </c>
      <c r="S12">
        <v>44996</v>
      </c>
      <c r="T12" t="str">
        <v>West</v>
      </c>
      <c r="U12" t="str">
        <v>Maharashtra</v>
      </c>
      <c r="V12" t="str">
        <v>Mumbai</v>
      </c>
      <c r="W12" t="str">
        <v>Clothing</v>
      </c>
      <c r="X12">
        <v>20</v>
      </c>
      <c r="Y12">
        <v>1222.92</v>
      </c>
      <c r="Z12">
        <v>24458.400000000001</v>
      </c>
    </row>
    <row r="13" spans="1:26">
      <c r="A13" s="19">
        <v>44971</v>
      </c>
      <c r="B13" t="s">
        <v>1229</v>
      </c>
      <c r="C13" t="s">
        <v>1237</v>
      </c>
      <c r="D13" t="s">
        <v>1171</v>
      </c>
      <c r="E13" t="s">
        <v>128</v>
      </c>
      <c r="F13" s="10">
        <v>15</v>
      </c>
      <c r="G13" s="10">
        <v>4822.26</v>
      </c>
      <c r="H13" s="10">
        <v>72333.899999999994</v>
      </c>
      <c r="J13">
        <v>45107</v>
      </c>
      <c r="K13" t="str">
        <v>West</v>
      </c>
      <c r="L13" t="str">
        <v>Gujarat</v>
      </c>
      <c r="M13" t="str">
        <v>Ahmedabad</v>
      </c>
      <c r="N13" t="str">
        <v>Electronics</v>
      </c>
      <c r="O13">
        <v>8</v>
      </c>
      <c r="P13">
        <v>1916.14</v>
      </c>
      <c r="Q13">
        <v>15329.12</v>
      </c>
      <c r="S13">
        <v>45273</v>
      </c>
      <c r="T13" t="str">
        <v>West</v>
      </c>
      <c r="U13" t="str">
        <v>Maharashtra</v>
      </c>
      <c r="V13" t="str">
        <v>Mumbai</v>
      </c>
      <c r="W13" t="str">
        <v>Clothing</v>
      </c>
      <c r="X13">
        <v>11</v>
      </c>
      <c r="Y13">
        <v>2097.48</v>
      </c>
      <c r="Z13">
        <v>23072.28</v>
      </c>
    </row>
    <row r="14" spans="1:26">
      <c r="A14" s="19">
        <v>45062</v>
      </c>
      <c r="B14" t="s">
        <v>1231</v>
      </c>
      <c r="C14" t="s">
        <v>1235</v>
      </c>
      <c r="D14" t="s">
        <v>1241</v>
      </c>
      <c r="E14" t="s">
        <v>128</v>
      </c>
      <c r="F14" s="10">
        <v>18</v>
      </c>
      <c r="G14" s="10">
        <v>3913.42</v>
      </c>
      <c r="H14" s="10">
        <v>70441.56</v>
      </c>
      <c r="J14">
        <v>45097</v>
      </c>
      <c r="K14" t="str">
        <v>West</v>
      </c>
      <c r="L14" t="str">
        <v>Gujarat</v>
      </c>
      <c r="M14" t="str">
        <v>Ahmedabad</v>
      </c>
      <c r="N14" t="str">
        <v>Electronics</v>
      </c>
      <c r="O14">
        <v>4</v>
      </c>
      <c r="P14">
        <v>3561.12</v>
      </c>
      <c r="Q14">
        <v>14244.48</v>
      </c>
      <c r="S14">
        <v>44982</v>
      </c>
      <c r="T14" t="str">
        <v>West</v>
      </c>
      <c r="U14" t="str">
        <v>Maharashtra</v>
      </c>
      <c r="V14" t="str">
        <v>Mumbai</v>
      </c>
      <c r="W14" t="str">
        <v>Clothing</v>
      </c>
      <c r="X14">
        <v>5</v>
      </c>
      <c r="Y14">
        <v>3926.26</v>
      </c>
      <c r="Z14">
        <v>19631.3</v>
      </c>
    </row>
    <row r="15" spans="1:26">
      <c r="A15" s="19">
        <v>44977</v>
      </c>
      <c r="B15" t="s">
        <v>1229</v>
      </c>
      <c r="C15" t="s">
        <v>1237</v>
      </c>
      <c r="D15" t="s">
        <v>1173</v>
      </c>
      <c r="E15" t="s">
        <v>128</v>
      </c>
      <c r="F15" s="10">
        <v>19</v>
      </c>
      <c r="G15" s="10">
        <v>3683.04</v>
      </c>
      <c r="H15" s="10">
        <v>69977.759999999995</v>
      </c>
      <c r="J15">
        <v>45162</v>
      </c>
      <c r="K15" t="str">
        <v>West</v>
      </c>
      <c r="L15" t="str">
        <v>Gujarat</v>
      </c>
      <c r="M15" t="str">
        <v>Ahmedabad</v>
      </c>
      <c r="N15" t="str">
        <v>Electronics</v>
      </c>
      <c r="O15">
        <v>16</v>
      </c>
      <c r="P15">
        <v>796.69</v>
      </c>
      <c r="Q15">
        <v>12747.04</v>
      </c>
      <c r="S15">
        <v>45229</v>
      </c>
      <c r="T15" t="str">
        <v>West</v>
      </c>
      <c r="U15" t="str">
        <v>Maharashtra</v>
      </c>
      <c r="V15" t="str">
        <v>Mumbai</v>
      </c>
      <c r="W15" t="str">
        <v>Clothing</v>
      </c>
      <c r="X15">
        <v>5</v>
      </c>
      <c r="Y15">
        <v>3288.58</v>
      </c>
      <c r="Z15">
        <v>16442.900000000001</v>
      </c>
    </row>
    <row r="16" spans="1:26">
      <c r="A16" s="19">
        <v>45180</v>
      </c>
      <c r="B16" t="s">
        <v>1231</v>
      </c>
      <c r="C16" t="s">
        <v>1235</v>
      </c>
      <c r="D16" t="s">
        <v>1241</v>
      </c>
      <c r="E16" t="s">
        <v>128</v>
      </c>
      <c r="F16" s="10">
        <v>17</v>
      </c>
      <c r="G16" s="10">
        <v>4088.77</v>
      </c>
      <c r="H16" s="10">
        <v>69509.09</v>
      </c>
      <c r="J16">
        <v>45000</v>
      </c>
      <c r="K16" t="str">
        <v>West</v>
      </c>
      <c r="L16" t="str">
        <v>Gujarat</v>
      </c>
      <c r="M16" t="str">
        <v>Ahmedabad</v>
      </c>
      <c r="N16" t="str">
        <v>Electronics</v>
      </c>
      <c r="O16">
        <v>3</v>
      </c>
      <c r="P16">
        <v>4083.59</v>
      </c>
      <c r="Q16">
        <v>12250.77</v>
      </c>
      <c r="S16">
        <v>45128</v>
      </c>
      <c r="T16" t="str">
        <v>West</v>
      </c>
      <c r="U16" t="str">
        <v>Maharashtra</v>
      </c>
      <c r="V16" t="str">
        <v>Mumbai</v>
      </c>
      <c r="W16" t="str">
        <v>Clothing</v>
      </c>
      <c r="X16">
        <v>5</v>
      </c>
      <c r="Y16">
        <v>3156.9</v>
      </c>
      <c r="Z16">
        <v>15784.5</v>
      </c>
    </row>
    <row r="17" spans="1:26">
      <c r="A17" s="19">
        <v>45235</v>
      </c>
      <c r="B17" t="s">
        <v>1229</v>
      </c>
      <c r="C17" t="s">
        <v>1237</v>
      </c>
      <c r="D17" t="s">
        <v>1239</v>
      </c>
      <c r="E17" t="s">
        <v>128</v>
      </c>
      <c r="F17" s="10">
        <v>17</v>
      </c>
      <c r="G17" s="10">
        <v>4082.38</v>
      </c>
      <c r="H17" s="10">
        <v>69400.460000000006</v>
      </c>
      <c r="J17">
        <v>45054</v>
      </c>
      <c r="K17" t="str">
        <v>West</v>
      </c>
      <c r="L17" t="str">
        <v>Gujarat</v>
      </c>
      <c r="M17" t="str">
        <v>Ahmedabad</v>
      </c>
      <c r="N17" t="str">
        <v>Electronics</v>
      </c>
      <c r="O17">
        <v>3</v>
      </c>
      <c r="P17">
        <v>3861.09</v>
      </c>
      <c r="Q17">
        <v>11583.27</v>
      </c>
      <c r="S17">
        <v>44949</v>
      </c>
      <c r="T17" t="str">
        <v>West</v>
      </c>
      <c r="U17" t="str">
        <v>Maharashtra</v>
      </c>
      <c r="V17" t="str">
        <v>Mumbai</v>
      </c>
      <c r="W17" t="str">
        <v>Clothing</v>
      </c>
      <c r="X17">
        <v>9</v>
      </c>
      <c r="Y17">
        <v>808.93</v>
      </c>
      <c r="Z17">
        <v>7280.37</v>
      </c>
    </row>
    <row r="18" spans="1:26">
      <c r="A18" s="19">
        <v>44976</v>
      </c>
      <c r="B18" t="s">
        <v>1229</v>
      </c>
      <c r="C18" t="s">
        <v>1230</v>
      </c>
      <c r="D18" t="s">
        <v>1169</v>
      </c>
      <c r="E18" t="s">
        <v>128</v>
      </c>
      <c r="F18" s="10">
        <v>19</v>
      </c>
      <c r="G18" s="10">
        <v>3649.75</v>
      </c>
      <c r="H18" s="10">
        <v>69345.25</v>
      </c>
      <c r="J18">
        <v>44972</v>
      </c>
      <c r="K18" t="str">
        <v>West</v>
      </c>
      <c r="L18" t="str">
        <v>Gujarat</v>
      </c>
      <c r="M18" t="str">
        <v>Ahmedabad</v>
      </c>
      <c r="N18" t="str">
        <v>Electronics</v>
      </c>
      <c r="O18">
        <v>10</v>
      </c>
      <c r="P18">
        <v>843.5</v>
      </c>
      <c r="Q18">
        <v>8435</v>
      </c>
      <c r="S18">
        <v>45024</v>
      </c>
      <c r="T18" t="str">
        <v>West</v>
      </c>
      <c r="U18" t="str">
        <v>Maharashtra</v>
      </c>
      <c r="V18" t="str">
        <v>Mumbai</v>
      </c>
      <c r="W18" t="str">
        <v>Clothing</v>
      </c>
      <c r="X18">
        <v>1</v>
      </c>
      <c r="Y18">
        <v>3847.65</v>
      </c>
      <c r="Z18">
        <v>3847.65</v>
      </c>
    </row>
    <row r="19" spans="1:26">
      <c r="A19" s="19">
        <v>45128</v>
      </c>
      <c r="B19" t="s">
        <v>1231</v>
      </c>
      <c r="C19" t="s">
        <v>1232</v>
      </c>
      <c r="D19" t="s">
        <v>1234</v>
      </c>
      <c r="E19" t="s">
        <v>128</v>
      </c>
      <c r="F19" s="10">
        <v>15</v>
      </c>
      <c r="G19" s="10">
        <v>4579.29</v>
      </c>
      <c r="H19" s="10">
        <v>68689.350000000006</v>
      </c>
      <c r="J19">
        <v>45100</v>
      </c>
      <c r="K19" t="str">
        <v>West</v>
      </c>
      <c r="L19" t="str">
        <v>Gujarat</v>
      </c>
      <c r="M19" t="str">
        <v>Ahmedabad</v>
      </c>
      <c r="N19" t="str">
        <v>Electronics</v>
      </c>
      <c r="O19">
        <v>12</v>
      </c>
      <c r="P19">
        <v>255.59</v>
      </c>
      <c r="Q19">
        <v>3067.08</v>
      </c>
      <c r="S19">
        <v>45279</v>
      </c>
      <c r="T19" t="str">
        <v>West</v>
      </c>
      <c r="U19" t="str">
        <v>Maharashtra</v>
      </c>
      <c r="V19" t="str">
        <v>Mumbai</v>
      </c>
      <c r="W19" t="str">
        <v>Electronics</v>
      </c>
      <c r="X19">
        <v>19</v>
      </c>
      <c r="Y19">
        <v>3718.59</v>
      </c>
      <c r="Z19">
        <v>70653.210000000006</v>
      </c>
    </row>
    <row r="20" spans="1:26">
      <c r="A20" s="19">
        <v>45131</v>
      </c>
      <c r="B20" t="s">
        <v>1231</v>
      </c>
      <c r="C20" t="s">
        <v>1232</v>
      </c>
      <c r="D20" t="s">
        <v>1234</v>
      </c>
      <c r="E20" t="s">
        <v>128</v>
      </c>
      <c r="F20" s="10">
        <v>20</v>
      </c>
      <c r="G20" s="10">
        <v>3331.04</v>
      </c>
      <c r="H20" s="10">
        <v>66620.800000000003</v>
      </c>
      <c r="J20">
        <v>45233</v>
      </c>
      <c r="K20" t="str">
        <v>West</v>
      </c>
      <c r="L20" t="str">
        <v>Gujarat</v>
      </c>
      <c r="M20" t="str">
        <v>Ahmedabad</v>
      </c>
      <c r="N20" t="str">
        <v>Electronics</v>
      </c>
      <c r="O20">
        <v>3</v>
      </c>
      <c r="P20">
        <v>884.5</v>
      </c>
      <c r="Q20">
        <v>2653.5</v>
      </c>
      <c r="S20">
        <v>44961</v>
      </c>
      <c r="T20" t="str">
        <v>West</v>
      </c>
      <c r="U20" t="str">
        <v>Maharashtra</v>
      </c>
      <c r="V20" t="str">
        <v>Mumbai</v>
      </c>
      <c r="W20" t="str">
        <v>Electronics</v>
      </c>
      <c r="X20">
        <v>17</v>
      </c>
      <c r="Y20">
        <v>4100.2700000000004</v>
      </c>
      <c r="Z20">
        <v>69704.59</v>
      </c>
    </row>
    <row r="21" spans="1:26">
      <c r="A21" s="19">
        <v>45088</v>
      </c>
      <c r="B21" t="s">
        <v>1242</v>
      </c>
      <c r="C21" t="s">
        <v>1243</v>
      </c>
      <c r="D21" t="s">
        <v>1244</v>
      </c>
      <c r="E21" t="s">
        <v>128</v>
      </c>
      <c r="F21" s="10">
        <v>17</v>
      </c>
      <c r="G21" s="10">
        <v>3878.66</v>
      </c>
      <c r="H21" s="10">
        <v>65937.22</v>
      </c>
      <c r="J21">
        <v>45113</v>
      </c>
      <c r="K21" t="str">
        <v>West</v>
      </c>
      <c r="L21" t="str">
        <v>Gujarat</v>
      </c>
      <c r="M21" t="str">
        <v>Ahmedabad</v>
      </c>
      <c r="N21" t="str">
        <v>Furniture</v>
      </c>
      <c r="O21">
        <v>19</v>
      </c>
      <c r="P21">
        <v>4348.7299999999996</v>
      </c>
      <c r="Q21">
        <v>82625.87</v>
      </c>
      <c r="S21">
        <v>45095</v>
      </c>
      <c r="T21" t="str">
        <v>West</v>
      </c>
      <c r="U21" t="str">
        <v>Maharashtra</v>
      </c>
      <c r="V21" t="str">
        <v>Mumbai</v>
      </c>
      <c r="W21" t="str">
        <v>Electronics</v>
      </c>
      <c r="X21">
        <v>14</v>
      </c>
      <c r="Y21">
        <v>4428</v>
      </c>
      <c r="Z21">
        <v>61992</v>
      </c>
    </row>
    <row r="22" spans="1:26">
      <c r="A22" s="19">
        <v>45116</v>
      </c>
      <c r="B22" t="s">
        <v>1242</v>
      </c>
      <c r="C22" t="s">
        <v>1243</v>
      </c>
      <c r="D22" t="s">
        <v>1245</v>
      </c>
      <c r="E22" t="s">
        <v>128</v>
      </c>
      <c r="F22" s="10">
        <v>17</v>
      </c>
      <c r="G22" s="10">
        <v>3679.89</v>
      </c>
      <c r="H22" s="10">
        <v>62558.13</v>
      </c>
      <c r="J22">
        <v>45223</v>
      </c>
      <c r="K22" t="str">
        <v>West</v>
      </c>
      <c r="L22" t="str">
        <v>Gujarat</v>
      </c>
      <c r="M22" t="str">
        <v>Ahmedabad</v>
      </c>
      <c r="N22" t="str">
        <v>Furniture</v>
      </c>
      <c r="O22">
        <v>19</v>
      </c>
      <c r="P22">
        <v>3907.56</v>
      </c>
      <c r="Q22">
        <v>74243.64</v>
      </c>
      <c r="S22">
        <v>44968</v>
      </c>
      <c r="T22" t="str">
        <v>West</v>
      </c>
      <c r="U22" t="str">
        <v>Maharashtra</v>
      </c>
      <c r="V22" t="str">
        <v>Mumbai</v>
      </c>
      <c r="W22" t="str">
        <v>Electronics</v>
      </c>
      <c r="X22">
        <v>16</v>
      </c>
      <c r="Y22">
        <v>2954.32</v>
      </c>
      <c r="Z22">
        <v>47269.120000000003</v>
      </c>
    </row>
    <row r="23" spans="1:26">
      <c r="A23" s="19">
        <v>44943</v>
      </c>
      <c r="B23" t="s">
        <v>1231</v>
      </c>
      <c r="C23" t="s">
        <v>1235</v>
      </c>
      <c r="D23" t="s">
        <v>1241</v>
      </c>
      <c r="E23" t="s">
        <v>128</v>
      </c>
      <c r="F23" s="10">
        <v>14</v>
      </c>
      <c r="G23" s="10">
        <v>4200.9799999999996</v>
      </c>
      <c r="H23" s="10">
        <v>58813.72</v>
      </c>
      <c r="J23">
        <v>45201</v>
      </c>
      <c r="K23" t="str">
        <v>West</v>
      </c>
      <c r="L23" t="str">
        <v>Gujarat</v>
      </c>
      <c r="M23" t="str">
        <v>Ahmedabad</v>
      </c>
      <c r="N23" t="str">
        <v>Furniture</v>
      </c>
      <c r="O23">
        <v>17</v>
      </c>
      <c r="P23">
        <v>3971.7</v>
      </c>
      <c r="Q23">
        <v>67518.899999999994</v>
      </c>
      <c r="S23">
        <v>45119</v>
      </c>
      <c r="T23" t="str">
        <v>West</v>
      </c>
      <c r="U23" t="str">
        <v>Maharashtra</v>
      </c>
      <c r="V23" t="str">
        <v>Mumbai</v>
      </c>
      <c r="W23" t="str">
        <v>Electronics</v>
      </c>
      <c r="X23">
        <v>9</v>
      </c>
      <c r="Y23">
        <v>4757.53</v>
      </c>
      <c r="Z23">
        <v>42817.77</v>
      </c>
    </row>
    <row r="24" spans="1:26">
      <c r="A24" s="19">
        <v>45080</v>
      </c>
      <c r="B24" t="s">
        <v>1229</v>
      </c>
      <c r="C24" t="s">
        <v>1237</v>
      </c>
      <c r="D24" t="s">
        <v>1239</v>
      </c>
      <c r="E24" t="s">
        <v>128</v>
      </c>
      <c r="F24" s="10">
        <v>16</v>
      </c>
      <c r="G24" s="10">
        <v>3599.32</v>
      </c>
      <c r="H24" s="10">
        <v>57589.120000000003</v>
      </c>
      <c r="J24">
        <v>45214</v>
      </c>
      <c r="K24" t="str">
        <v>West</v>
      </c>
      <c r="L24" t="str">
        <v>Gujarat</v>
      </c>
      <c r="M24" t="str">
        <v>Ahmedabad</v>
      </c>
      <c r="N24" t="str">
        <v>Furniture</v>
      </c>
      <c r="O24">
        <v>18</v>
      </c>
      <c r="P24">
        <v>3602.65</v>
      </c>
      <c r="Q24">
        <v>64847.7</v>
      </c>
      <c r="S24">
        <v>45039</v>
      </c>
      <c r="T24" t="str">
        <v>West</v>
      </c>
      <c r="U24" t="str">
        <v>Maharashtra</v>
      </c>
      <c r="V24" t="str">
        <v>Mumbai</v>
      </c>
      <c r="W24" t="str">
        <v>Electronics</v>
      </c>
      <c r="X24">
        <v>14</v>
      </c>
      <c r="Y24">
        <v>2775.33</v>
      </c>
      <c r="Z24">
        <v>38854.620000000003</v>
      </c>
    </row>
    <row r="25" spans="1:26">
      <c r="A25" s="19">
        <v>45048</v>
      </c>
      <c r="B25" t="s">
        <v>1231</v>
      </c>
      <c r="C25" t="s">
        <v>1232</v>
      </c>
      <c r="D25" t="s">
        <v>1234</v>
      </c>
      <c r="E25" t="s">
        <v>128</v>
      </c>
      <c r="F25" s="10">
        <v>16</v>
      </c>
      <c r="G25" s="10">
        <v>3586.87</v>
      </c>
      <c r="H25" s="10">
        <v>57389.919999999998</v>
      </c>
      <c r="J25">
        <v>45181</v>
      </c>
      <c r="K25" t="str">
        <v>West</v>
      </c>
      <c r="L25" t="str">
        <v>Gujarat</v>
      </c>
      <c r="M25" t="str">
        <v>Ahmedabad</v>
      </c>
      <c r="N25" t="str">
        <v>Furniture</v>
      </c>
      <c r="O25">
        <v>17</v>
      </c>
      <c r="P25">
        <v>3791.82</v>
      </c>
      <c r="Q25">
        <v>64460.94</v>
      </c>
      <c r="S25">
        <v>45066</v>
      </c>
      <c r="T25" t="str">
        <v>West</v>
      </c>
      <c r="U25" t="str">
        <v>Maharashtra</v>
      </c>
      <c r="V25" t="str">
        <v>Mumbai</v>
      </c>
      <c r="W25" t="str">
        <v>Electronics</v>
      </c>
      <c r="X25">
        <v>8</v>
      </c>
      <c r="Y25">
        <v>4576.97</v>
      </c>
      <c r="Z25">
        <v>36615.760000000002</v>
      </c>
    </row>
    <row r="26" spans="1:26">
      <c r="A26" s="19">
        <v>45070</v>
      </c>
      <c r="B26" t="s">
        <v>1231</v>
      </c>
      <c r="C26" t="s">
        <v>1235</v>
      </c>
      <c r="D26" t="s">
        <v>1236</v>
      </c>
      <c r="E26" t="s">
        <v>128</v>
      </c>
      <c r="F26" s="10">
        <v>17</v>
      </c>
      <c r="G26" s="10">
        <v>3342.49</v>
      </c>
      <c r="H26" s="10">
        <v>56822.33</v>
      </c>
      <c r="J26">
        <v>45034</v>
      </c>
      <c r="K26" t="str">
        <v>West</v>
      </c>
      <c r="L26" t="str">
        <v>Gujarat</v>
      </c>
      <c r="M26" t="str">
        <v>Ahmedabad</v>
      </c>
      <c r="N26" t="str">
        <v>Furniture</v>
      </c>
      <c r="O26">
        <v>11</v>
      </c>
      <c r="P26">
        <v>4530.5600000000004</v>
      </c>
      <c r="Q26">
        <v>49836.160000000003</v>
      </c>
      <c r="S26">
        <v>45026</v>
      </c>
      <c r="T26" t="str">
        <v>West</v>
      </c>
      <c r="U26" t="str">
        <v>Maharashtra</v>
      </c>
      <c r="V26" t="str">
        <v>Mumbai</v>
      </c>
      <c r="W26" t="str">
        <v>Electronics</v>
      </c>
      <c r="X26">
        <v>11</v>
      </c>
      <c r="Y26">
        <v>1708.99</v>
      </c>
      <c r="Z26">
        <v>18798.89</v>
      </c>
    </row>
    <row r="27" spans="1:26">
      <c r="A27" s="19">
        <v>45184</v>
      </c>
      <c r="B27" t="s">
        <v>1231</v>
      </c>
      <c r="C27" t="s">
        <v>1235</v>
      </c>
      <c r="D27" t="s">
        <v>1236</v>
      </c>
      <c r="E27" t="s">
        <v>128</v>
      </c>
      <c r="F27" s="10">
        <v>13</v>
      </c>
      <c r="G27" s="10">
        <v>4337.22</v>
      </c>
      <c r="H27" s="10">
        <v>56383.86</v>
      </c>
      <c r="J27">
        <v>45187</v>
      </c>
      <c r="K27" t="str">
        <v>West</v>
      </c>
      <c r="L27" t="str">
        <v>Gujarat</v>
      </c>
      <c r="M27" t="str">
        <v>Ahmedabad</v>
      </c>
      <c r="N27" t="str">
        <v>Furniture</v>
      </c>
      <c r="O27">
        <v>14</v>
      </c>
      <c r="P27">
        <v>3433.55</v>
      </c>
      <c r="Q27">
        <v>48069.7</v>
      </c>
      <c r="S27">
        <v>45229</v>
      </c>
      <c r="T27" t="str">
        <v>West</v>
      </c>
      <c r="U27" t="str">
        <v>Maharashtra</v>
      </c>
      <c r="V27" t="str">
        <v>Mumbai</v>
      </c>
      <c r="W27" t="str">
        <v>Electronics</v>
      </c>
      <c r="X27">
        <v>15</v>
      </c>
      <c r="Y27">
        <v>1113.76</v>
      </c>
      <c r="Z27">
        <v>16706.400000000001</v>
      </c>
    </row>
    <row r="28" spans="1:26">
      <c r="A28" s="19">
        <v>45212</v>
      </c>
      <c r="B28" t="s">
        <v>1229</v>
      </c>
      <c r="C28" t="s">
        <v>1230</v>
      </c>
      <c r="D28" t="s">
        <v>1246</v>
      </c>
      <c r="E28" t="s">
        <v>128</v>
      </c>
      <c r="F28" s="10">
        <v>14</v>
      </c>
      <c r="G28" s="10">
        <v>3931.74</v>
      </c>
      <c r="H28" s="10">
        <v>55044.36</v>
      </c>
      <c r="J28">
        <v>44929</v>
      </c>
      <c r="K28" t="str">
        <v>West</v>
      </c>
      <c r="L28" t="str">
        <v>Gujarat</v>
      </c>
      <c r="M28" t="str">
        <v>Ahmedabad</v>
      </c>
      <c r="N28" t="str">
        <v>Furniture</v>
      </c>
      <c r="O28">
        <v>11</v>
      </c>
      <c r="P28">
        <v>4205.55</v>
      </c>
      <c r="Q28">
        <v>46261.05</v>
      </c>
      <c r="S28">
        <v>45177</v>
      </c>
      <c r="T28" t="str">
        <v>West</v>
      </c>
      <c r="U28" t="str">
        <v>Maharashtra</v>
      </c>
      <c r="V28" t="str">
        <v>Mumbai</v>
      </c>
      <c r="W28" t="str">
        <v>Electronics</v>
      </c>
      <c r="X28">
        <v>4</v>
      </c>
      <c r="Y28">
        <v>3725.78</v>
      </c>
      <c r="Z28">
        <v>14903.12</v>
      </c>
    </row>
    <row r="29" spans="1:26">
      <c r="A29" s="19">
        <v>44979</v>
      </c>
      <c r="B29" t="s">
        <v>1231</v>
      </c>
      <c r="C29" t="s">
        <v>1235</v>
      </c>
      <c r="D29" t="s">
        <v>1236</v>
      </c>
      <c r="E29" t="s">
        <v>128</v>
      </c>
      <c r="F29" s="10">
        <v>20</v>
      </c>
      <c r="G29" s="10">
        <v>2750.28</v>
      </c>
      <c r="H29" s="10">
        <v>55005.599999999999</v>
      </c>
      <c r="J29">
        <v>45070</v>
      </c>
      <c r="K29" t="str">
        <v>West</v>
      </c>
      <c r="L29" t="str">
        <v>Gujarat</v>
      </c>
      <c r="M29" t="str">
        <v>Ahmedabad</v>
      </c>
      <c r="N29" t="str">
        <v>Furniture</v>
      </c>
      <c r="O29">
        <v>14</v>
      </c>
      <c r="P29">
        <v>2715.54</v>
      </c>
      <c r="Q29">
        <v>38017.56</v>
      </c>
      <c r="S29">
        <v>45146</v>
      </c>
      <c r="T29" t="str">
        <v>West</v>
      </c>
      <c r="U29" t="str">
        <v>Maharashtra</v>
      </c>
      <c r="V29" t="str">
        <v>Mumbai</v>
      </c>
      <c r="W29" t="str">
        <v>Electronics</v>
      </c>
      <c r="X29">
        <v>6</v>
      </c>
      <c r="Y29">
        <v>1701.04</v>
      </c>
      <c r="Z29">
        <v>10206.24</v>
      </c>
    </row>
    <row r="30" spans="1:26">
      <c r="A30" s="19">
        <v>45101</v>
      </c>
      <c r="B30" t="s">
        <v>1231</v>
      </c>
      <c r="C30" t="s">
        <v>1235</v>
      </c>
      <c r="D30" t="s">
        <v>1236</v>
      </c>
      <c r="E30" t="s">
        <v>128</v>
      </c>
      <c r="F30" s="10">
        <v>19</v>
      </c>
      <c r="G30" s="10">
        <v>2873.83</v>
      </c>
      <c r="H30" s="10">
        <v>54602.77</v>
      </c>
      <c r="J30">
        <v>45177</v>
      </c>
      <c r="K30" t="str">
        <v>West</v>
      </c>
      <c r="L30" t="str">
        <v>Gujarat</v>
      </c>
      <c r="M30" t="str">
        <v>Ahmedabad</v>
      </c>
      <c r="N30" t="str">
        <v>Furniture</v>
      </c>
      <c r="O30">
        <v>18</v>
      </c>
      <c r="P30">
        <v>1376.52</v>
      </c>
      <c r="Q30">
        <v>24777.360000000001</v>
      </c>
      <c r="S30">
        <v>45242</v>
      </c>
      <c r="T30" t="str">
        <v>West</v>
      </c>
      <c r="U30" t="str">
        <v>Maharashtra</v>
      </c>
      <c r="V30" t="str">
        <v>Mumbai</v>
      </c>
      <c r="W30" t="str">
        <v>Electronics</v>
      </c>
      <c r="X30">
        <v>7</v>
      </c>
      <c r="Y30">
        <v>1458</v>
      </c>
      <c r="Z30">
        <v>10206</v>
      </c>
    </row>
    <row r="31" spans="1:26">
      <c r="A31" s="19">
        <v>45056</v>
      </c>
      <c r="B31" t="s">
        <v>1231</v>
      </c>
      <c r="C31" t="s">
        <v>1235</v>
      </c>
      <c r="D31" t="s">
        <v>1241</v>
      </c>
      <c r="E31" t="s">
        <v>128</v>
      </c>
      <c r="F31" s="10">
        <v>15</v>
      </c>
      <c r="G31" s="10">
        <v>3611.2</v>
      </c>
      <c r="H31" s="10">
        <v>54168</v>
      </c>
      <c r="J31">
        <v>44958</v>
      </c>
      <c r="K31" t="str">
        <v>West</v>
      </c>
      <c r="L31" t="str">
        <v>Gujarat</v>
      </c>
      <c r="M31" t="str">
        <v>Ahmedabad</v>
      </c>
      <c r="N31" t="str">
        <v>Furniture</v>
      </c>
      <c r="O31">
        <v>17</v>
      </c>
      <c r="P31">
        <v>1356.25</v>
      </c>
      <c r="Q31">
        <v>23056.25</v>
      </c>
      <c r="S31">
        <v>45164</v>
      </c>
      <c r="T31" t="str">
        <v>West</v>
      </c>
      <c r="U31" t="str">
        <v>Maharashtra</v>
      </c>
      <c r="V31" t="str">
        <v>Mumbai</v>
      </c>
      <c r="W31" t="str">
        <v>Electronics</v>
      </c>
      <c r="X31">
        <v>4</v>
      </c>
      <c r="Y31">
        <v>1788.95</v>
      </c>
      <c r="Z31">
        <v>7155.8</v>
      </c>
    </row>
    <row r="32" spans="1:26">
      <c r="A32" s="19">
        <v>44996</v>
      </c>
      <c r="B32" t="s">
        <v>1231</v>
      </c>
      <c r="C32" t="s">
        <v>1232</v>
      </c>
      <c r="D32" t="s">
        <v>1240</v>
      </c>
      <c r="E32" t="s">
        <v>128</v>
      </c>
      <c r="F32" s="10">
        <v>19</v>
      </c>
      <c r="G32" s="10">
        <v>2814.94</v>
      </c>
      <c r="H32" s="10">
        <v>53483.86</v>
      </c>
      <c r="J32">
        <v>45011</v>
      </c>
      <c r="K32" t="str">
        <v>West</v>
      </c>
      <c r="L32" t="str">
        <v>Gujarat</v>
      </c>
      <c r="M32" t="str">
        <v>Ahmedabad</v>
      </c>
      <c r="N32" t="str">
        <v>Furniture</v>
      </c>
      <c r="O32">
        <v>18</v>
      </c>
      <c r="P32">
        <v>1137.05</v>
      </c>
      <c r="Q32">
        <v>20466.900000000001</v>
      </c>
      <c r="S32">
        <v>45096</v>
      </c>
      <c r="T32" t="str">
        <v>West</v>
      </c>
      <c r="U32" t="str">
        <v>Maharashtra</v>
      </c>
      <c r="V32" t="str">
        <v>Mumbai</v>
      </c>
      <c r="W32" t="str">
        <v>Electronics</v>
      </c>
      <c r="X32">
        <v>2</v>
      </c>
      <c r="Y32">
        <v>3239.94</v>
      </c>
      <c r="Z32">
        <v>6479.88</v>
      </c>
    </row>
    <row r="33" spans="1:26">
      <c r="A33" s="19">
        <v>45129</v>
      </c>
      <c r="B33" t="s">
        <v>1229</v>
      </c>
      <c r="C33" t="s">
        <v>1237</v>
      </c>
      <c r="D33" t="s">
        <v>1171</v>
      </c>
      <c r="E33" t="s">
        <v>128</v>
      </c>
      <c r="F33" s="10">
        <v>20</v>
      </c>
      <c r="G33" s="10">
        <v>2631.58</v>
      </c>
      <c r="H33" s="10">
        <v>52631.6</v>
      </c>
      <c r="J33">
        <v>44991</v>
      </c>
      <c r="K33" t="str">
        <v>West</v>
      </c>
      <c r="L33" t="str">
        <v>Gujarat</v>
      </c>
      <c r="M33" t="str">
        <v>Ahmedabad</v>
      </c>
      <c r="N33" t="str">
        <v>Furniture</v>
      </c>
      <c r="O33">
        <v>18</v>
      </c>
      <c r="P33">
        <v>814.69</v>
      </c>
      <c r="Q33">
        <v>14664.42</v>
      </c>
      <c r="S33">
        <v>45192</v>
      </c>
      <c r="T33" t="str">
        <v>West</v>
      </c>
      <c r="U33" t="str">
        <v>Maharashtra</v>
      </c>
      <c r="V33" t="str">
        <v>Mumbai</v>
      </c>
      <c r="W33" t="str">
        <v>Electronics</v>
      </c>
      <c r="X33">
        <v>6</v>
      </c>
      <c r="Y33">
        <v>686.38</v>
      </c>
      <c r="Z33">
        <v>4118.28</v>
      </c>
    </row>
    <row r="34" spans="1:26">
      <c r="A34" s="19">
        <v>45171</v>
      </c>
      <c r="B34" t="s">
        <v>1231</v>
      </c>
      <c r="C34" t="s">
        <v>1235</v>
      </c>
      <c r="D34" t="s">
        <v>1241</v>
      </c>
      <c r="E34" t="s">
        <v>128</v>
      </c>
      <c r="F34" s="10">
        <v>11</v>
      </c>
      <c r="G34" s="10">
        <v>4758.46</v>
      </c>
      <c r="H34" s="10">
        <v>52343.06</v>
      </c>
      <c r="J34">
        <v>44960</v>
      </c>
      <c r="K34" t="str">
        <v>West</v>
      </c>
      <c r="L34" t="str">
        <v>Gujarat</v>
      </c>
      <c r="M34" t="str">
        <v>Ahmedabad</v>
      </c>
      <c r="N34" t="str">
        <v>Furniture</v>
      </c>
      <c r="O34">
        <v>4</v>
      </c>
      <c r="P34">
        <v>2514.88</v>
      </c>
      <c r="Q34">
        <v>10059.52</v>
      </c>
      <c r="S34">
        <v>45001</v>
      </c>
      <c r="T34" t="str">
        <v>West</v>
      </c>
      <c r="U34" t="str">
        <v>Maharashtra</v>
      </c>
      <c r="V34" t="str">
        <v>Mumbai</v>
      </c>
      <c r="W34" t="str">
        <v>Electronics</v>
      </c>
      <c r="X34">
        <v>1</v>
      </c>
      <c r="Y34">
        <v>568.54999999999995</v>
      </c>
      <c r="Z34">
        <v>568.54999999999995</v>
      </c>
    </row>
    <row r="35" spans="1:26">
      <c r="A35" s="19">
        <v>45118</v>
      </c>
      <c r="B35" t="s">
        <v>1231</v>
      </c>
      <c r="C35" t="s">
        <v>1232</v>
      </c>
      <c r="D35" t="s">
        <v>1233</v>
      </c>
      <c r="E35" t="s">
        <v>128</v>
      </c>
      <c r="F35" s="10">
        <v>13</v>
      </c>
      <c r="G35" s="10">
        <v>4021.84</v>
      </c>
      <c r="H35" s="10">
        <v>52283.92</v>
      </c>
      <c r="J35">
        <v>45213</v>
      </c>
      <c r="K35" t="str">
        <v>West</v>
      </c>
      <c r="L35" t="str">
        <v>Gujarat</v>
      </c>
      <c r="M35" t="str">
        <v>Ahmedabad</v>
      </c>
      <c r="N35" t="str">
        <v>Furniture</v>
      </c>
      <c r="O35">
        <v>2</v>
      </c>
      <c r="P35">
        <v>2400.5500000000002</v>
      </c>
      <c r="Q35">
        <v>4801.1000000000004</v>
      </c>
      <c r="S35">
        <v>45051</v>
      </c>
      <c r="T35" t="str">
        <v>West</v>
      </c>
      <c r="U35" t="str">
        <v>Maharashtra</v>
      </c>
      <c r="V35" t="str">
        <v>Mumbai</v>
      </c>
      <c r="W35" t="str">
        <v>Furniture</v>
      </c>
      <c r="X35">
        <v>20</v>
      </c>
      <c r="Y35">
        <v>4270.08</v>
      </c>
      <c r="Z35">
        <v>85401.600000000006</v>
      </c>
    </row>
    <row r="36" spans="1:26">
      <c r="A36" s="19">
        <v>45008</v>
      </c>
      <c r="B36" t="s">
        <v>1242</v>
      </c>
      <c r="C36" t="s">
        <v>1243</v>
      </c>
      <c r="D36" t="s">
        <v>1247</v>
      </c>
      <c r="E36" t="s">
        <v>128</v>
      </c>
      <c r="F36" s="10">
        <v>20</v>
      </c>
      <c r="G36" s="10">
        <v>2580.02</v>
      </c>
      <c r="H36" s="10">
        <v>51600.4</v>
      </c>
      <c r="J36">
        <v>44969</v>
      </c>
      <c r="K36" t="str">
        <v>West</v>
      </c>
      <c r="L36" t="str">
        <v>Gujarat</v>
      </c>
      <c r="M36" t="str">
        <v>Ahmedabad</v>
      </c>
      <c r="N36" t="str">
        <v>Furniture</v>
      </c>
      <c r="O36">
        <v>1</v>
      </c>
      <c r="P36">
        <v>1898.15</v>
      </c>
      <c r="Q36">
        <v>1898.15</v>
      </c>
      <c r="S36">
        <v>45249</v>
      </c>
      <c r="T36" t="str">
        <v>West</v>
      </c>
      <c r="U36" t="str">
        <v>Maharashtra</v>
      </c>
      <c r="V36" t="str">
        <v>Mumbai</v>
      </c>
      <c r="W36" t="str">
        <v>Furniture</v>
      </c>
      <c r="X36">
        <v>15</v>
      </c>
      <c r="Y36">
        <v>4785.6099999999997</v>
      </c>
      <c r="Z36">
        <v>71784.149999999994</v>
      </c>
    </row>
    <row r="37" spans="1:26">
      <c r="A37" s="19">
        <v>44939</v>
      </c>
      <c r="B37" t="s">
        <v>1229</v>
      </c>
      <c r="C37" t="s">
        <v>1237</v>
      </c>
      <c r="D37" t="s">
        <v>1173</v>
      </c>
      <c r="E37" t="s">
        <v>128</v>
      </c>
      <c r="F37" s="10">
        <v>18</v>
      </c>
      <c r="G37" s="10">
        <v>2777.65</v>
      </c>
      <c r="H37" s="10">
        <v>49997.7</v>
      </c>
      <c r="J37">
        <v>45240</v>
      </c>
      <c r="K37" t="str">
        <v>West</v>
      </c>
      <c r="L37" t="str">
        <v>Gujarat</v>
      </c>
      <c r="M37" t="str">
        <v>Ahmedabad</v>
      </c>
      <c r="N37" t="str">
        <v>Furniture</v>
      </c>
      <c r="O37">
        <v>5</v>
      </c>
      <c r="P37">
        <v>172.99</v>
      </c>
      <c r="Q37">
        <v>864.95</v>
      </c>
      <c r="S37">
        <v>45125</v>
      </c>
      <c r="T37" t="str">
        <v>West</v>
      </c>
      <c r="U37" t="str">
        <v>Maharashtra</v>
      </c>
      <c r="V37" t="str">
        <v>Mumbai</v>
      </c>
      <c r="W37" t="str">
        <v>Furniture</v>
      </c>
      <c r="X37">
        <v>14</v>
      </c>
      <c r="Y37">
        <v>4649.53</v>
      </c>
      <c r="Z37">
        <v>65093.42</v>
      </c>
    </row>
    <row r="38" spans="1:26">
      <c r="A38" s="19">
        <v>44987</v>
      </c>
      <c r="B38" t="s">
        <v>1231</v>
      </c>
      <c r="C38" t="s">
        <v>1235</v>
      </c>
      <c r="D38" t="s">
        <v>1241</v>
      </c>
      <c r="E38" t="s">
        <v>128</v>
      </c>
      <c r="F38" s="10">
        <v>17</v>
      </c>
      <c r="G38" s="10">
        <v>2924.72</v>
      </c>
      <c r="H38" s="10">
        <v>49720.24</v>
      </c>
      <c r="J38">
        <v>45119</v>
      </c>
      <c r="K38" t="str">
        <v>West</v>
      </c>
      <c r="L38" t="str">
        <v>Gujarat</v>
      </c>
      <c r="M38" t="str">
        <v>Ahmedabad</v>
      </c>
      <c r="N38" t="str">
        <v>Groceries</v>
      </c>
      <c r="O38">
        <v>16</v>
      </c>
      <c r="P38">
        <v>4858.3100000000004</v>
      </c>
      <c r="Q38">
        <v>77732.960000000006</v>
      </c>
      <c r="S38">
        <v>44992</v>
      </c>
      <c r="T38" t="str">
        <v>West</v>
      </c>
      <c r="U38" t="str">
        <v>Maharashtra</v>
      </c>
      <c r="V38" t="str">
        <v>Mumbai</v>
      </c>
      <c r="W38" t="str">
        <v>Furniture</v>
      </c>
      <c r="X38">
        <v>14</v>
      </c>
      <c r="Y38">
        <v>3259.64</v>
      </c>
      <c r="Z38">
        <v>45634.96</v>
      </c>
    </row>
    <row r="39" spans="1:26">
      <c r="A39" s="19">
        <v>45174</v>
      </c>
      <c r="B39" t="s">
        <v>1242</v>
      </c>
      <c r="C39" t="s">
        <v>1243</v>
      </c>
      <c r="D39" t="s">
        <v>1247</v>
      </c>
      <c r="E39" t="s">
        <v>128</v>
      </c>
      <c r="F39" s="10">
        <v>13</v>
      </c>
      <c r="G39" s="10">
        <v>3724.27</v>
      </c>
      <c r="H39" s="10">
        <v>48415.51</v>
      </c>
      <c r="J39">
        <v>45121</v>
      </c>
      <c r="K39" t="str">
        <v>West</v>
      </c>
      <c r="L39" t="str">
        <v>Gujarat</v>
      </c>
      <c r="M39" t="str">
        <v>Ahmedabad</v>
      </c>
      <c r="N39" t="str">
        <v>Groceries</v>
      </c>
      <c r="O39">
        <v>18</v>
      </c>
      <c r="P39">
        <v>3943.82</v>
      </c>
      <c r="Q39">
        <v>70988.759999999995</v>
      </c>
      <c r="S39">
        <v>45108</v>
      </c>
      <c r="T39" t="str">
        <v>West</v>
      </c>
      <c r="U39" t="str">
        <v>Maharashtra</v>
      </c>
      <c r="V39" t="str">
        <v>Mumbai</v>
      </c>
      <c r="W39" t="str">
        <v>Furniture</v>
      </c>
      <c r="X39">
        <v>11</v>
      </c>
      <c r="Y39">
        <v>3969.39</v>
      </c>
      <c r="Z39">
        <v>43663.29</v>
      </c>
    </row>
    <row r="40" spans="1:26">
      <c r="A40" s="19">
        <v>45013</v>
      </c>
      <c r="B40" t="s">
        <v>1229</v>
      </c>
      <c r="C40" t="s">
        <v>1230</v>
      </c>
      <c r="D40" t="s">
        <v>1246</v>
      </c>
      <c r="E40" t="s">
        <v>128</v>
      </c>
      <c r="F40" s="10">
        <v>10</v>
      </c>
      <c r="G40" s="10">
        <v>4718.03</v>
      </c>
      <c r="H40" s="10">
        <v>47180.3</v>
      </c>
      <c r="J40">
        <v>45238</v>
      </c>
      <c r="K40" t="str">
        <v>West</v>
      </c>
      <c r="L40" t="str">
        <v>Gujarat</v>
      </c>
      <c r="M40" t="str">
        <v>Ahmedabad</v>
      </c>
      <c r="N40" t="str">
        <v>Groceries</v>
      </c>
      <c r="O40">
        <v>19</v>
      </c>
      <c r="P40">
        <v>2743.67</v>
      </c>
      <c r="Q40">
        <v>52129.73</v>
      </c>
      <c r="S40">
        <v>45141</v>
      </c>
      <c r="T40" t="str">
        <v>West</v>
      </c>
      <c r="U40" t="str">
        <v>Maharashtra</v>
      </c>
      <c r="V40" t="str">
        <v>Mumbai</v>
      </c>
      <c r="W40" t="str">
        <v>Furniture</v>
      </c>
      <c r="X40">
        <v>14</v>
      </c>
      <c r="Y40">
        <v>2918.42</v>
      </c>
      <c r="Z40">
        <v>40857.879999999997</v>
      </c>
    </row>
    <row r="41" spans="1:26">
      <c r="A41" s="19">
        <v>45008</v>
      </c>
      <c r="B41" t="s">
        <v>1231</v>
      </c>
      <c r="C41" t="s">
        <v>1232</v>
      </c>
      <c r="D41" t="s">
        <v>1240</v>
      </c>
      <c r="E41" t="s">
        <v>128</v>
      </c>
      <c r="F41" s="10">
        <v>13</v>
      </c>
      <c r="G41" s="10">
        <v>3568.86</v>
      </c>
      <c r="H41" s="10">
        <v>46395.18</v>
      </c>
      <c r="J41">
        <v>44992</v>
      </c>
      <c r="K41" t="str">
        <v>West</v>
      </c>
      <c r="L41" t="str">
        <v>Gujarat</v>
      </c>
      <c r="M41" t="str">
        <v>Ahmedabad</v>
      </c>
      <c r="N41" t="str">
        <v>Groceries</v>
      </c>
      <c r="O41">
        <v>20</v>
      </c>
      <c r="P41">
        <v>1916.52</v>
      </c>
      <c r="Q41">
        <v>38330.400000000001</v>
      </c>
      <c r="S41">
        <v>45169</v>
      </c>
      <c r="T41" t="str">
        <v>West</v>
      </c>
      <c r="U41" t="str">
        <v>Maharashtra</v>
      </c>
      <c r="V41" t="str">
        <v>Mumbai</v>
      </c>
      <c r="W41" t="str">
        <v>Furniture</v>
      </c>
      <c r="X41">
        <v>8</v>
      </c>
      <c r="Y41">
        <v>4621.75</v>
      </c>
      <c r="Z41">
        <v>36974</v>
      </c>
    </row>
    <row r="42" spans="1:26">
      <c r="A42" s="19">
        <v>45094</v>
      </c>
      <c r="B42" t="s">
        <v>1231</v>
      </c>
      <c r="C42" t="s">
        <v>1232</v>
      </c>
      <c r="D42" t="s">
        <v>1240</v>
      </c>
      <c r="E42" t="s">
        <v>128</v>
      </c>
      <c r="F42" s="10">
        <v>15</v>
      </c>
      <c r="G42" s="10">
        <v>3048.36</v>
      </c>
      <c r="H42" s="10">
        <v>45725.4</v>
      </c>
      <c r="J42">
        <v>44976</v>
      </c>
      <c r="K42" t="str">
        <v>West</v>
      </c>
      <c r="L42" t="str">
        <v>Gujarat</v>
      </c>
      <c r="M42" t="str">
        <v>Ahmedabad</v>
      </c>
      <c r="N42" t="str">
        <v>Groceries</v>
      </c>
      <c r="O42">
        <v>16</v>
      </c>
      <c r="P42">
        <v>1514.31</v>
      </c>
      <c r="Q42">
        <v>24228.959999999999</v>
      </c>
      <c r="S42">
        <v>45243</v>
      </c>
      <c r="T42" t="str">
        <v>West</v>
      </c>
      <c r="U42" t="str">
        <v>Maharashtra</v>
      </c>
      <c r="V42" t="str">
        <v>Mumbai</v>
      </c>
      <c r="W42" t="str">
        <v>Furniture</v>
      </c>
      <c r="X42">
        <v>12</v>
      </c>
      <c r="Y42">
        <v>3074.45</v>
      </c>
      <c r="Z42">
        <v>36893.4</v>
      </c>
    </row>
    <row r="43" spans="1:26">
      <c r="A43" s="19">
        <v>45078</v>
      </c>
      <c r="B43" t="s">
        <v>1231</v>
      </c>
      <c r="C43" t="s">
        <v>1232</v>
      </c>
      <c r="D43" t="s">
        <v>1233</v>
      </c>
      <c r="E43" t="s">
        <v>128</v>
      </c>
      <c r="F43" s="10">
        <v>12</v>
      </c>
      <c r="G43" s="10">
        <v>3785.29</v>
      </c>
      <c r="H43" s="10">
        <v>45423.48</v>
      </c>
      <c r="J43">
        <v>44987</v>
      </c>
      <c r="K43" t="str">
        <v>West</v>
      </c>
      <c r="L43" t="str">
        <v>Gujarat</v>
      </c>
      <c r="M43" t="str">
        <v>Ahmedabad</v>
      </c>
      <c r="N43" t="str">
        <v>Groceries</v>
      </c>
      <c r="O43">
        <v>19</v>
      </c>
      <c r="P43">
        <v>1199.24</v>
      </c>
      <c r="Q43">
        <v>22785.56</v>
      </c>
      <c r="S43">
        <v>45150</v>
      </c>
      <c r="T43" t="str">
        <v>West</v>
      </c>
      <c r="U43" t="str">
        <v>Maharashtra</v>
      </c>
      <c r="V43" t="str">
        <v>Mumbai</v>
      </c>
      <c r="W43" t="str">
        <v>Furniture</v>
      </c>
      <c r="X43">
        <v>3</v>
      </c>
      <c r="Y43">
        <v>3957.38</v>
      </c>
      <c r="Z43">
        <v>11872.14</v>
      </c>
    </row>
    <row r="44" spans="1:26">
      <c r="A44" s="19">
        <v>45097</v>
      </c>
      <c r="B44" t="s">
        <v>1231</v>
      </c>
      <c r="C44" t="s">
        <v>1232</v>
      </c>
      <c r="D44" t="s">
        <v>1234</v>
      </c>
      <c r="E44" t="s">
        <v>128</v>
      </c>
      <c r="F44" s="10">
        <v>19</v>
      </c>
      <c r="G44" s="10">
        <v>2304.92</v>
      </c>
      <c r="H44" s="10">
        <v>43793.48</v>
      </c>
      <c r="J44">
        <v>45183</v>
      </c>
      <c r="K44" t="str">
        <v>West</v>
      </c>
      <c r="L44" t="str">
        <v>Gujarat</v>
      </c>
      <c r="M44" t="str">
        <v>Ahmedabad</v>
      </c>
      <c r="N44" t="str">
        <v>Groceries</v>
      </c>
      <c r="O44">
        <v>4</v>
      </c>
      <c r="P44">
        <v>3377.27</v>
      </c>
      <c r="Q44">
        <v>13509.08</v>
      </c>
      <c r="S44">
        <v>44949</v>
      </c>
      <c r="T44" t="str">
        <v>West</v>
      </c>
      <c r="U44" t="str">
        <v>Maharashtra</v>
      </c>
      <c r="V44" t="str">
        <v>Mumbai</v>
      </c>
      <c r="W44" t="str">
        <v>Furniture</v>
      </c>
      <c r="X44">
        <v>8</v>
      </c>
      <c r="Y44">
        <v>1412.48</v>
      </c>
      <c r="Z44">
        <v>11299.84</v>
      </c>
    </row>
    <row r="45" spans="1:26">
      <c r="A45" s="19">
        <v>44958</v>
      </c>
      <c r="B45" t="s">
        <v>1242</v>
      </c>
      <c r="C45" t="s">
        <v>1243</v>
      </c>
      <c r="D45" t="s">
        <v>1245</v>
      </c>
      <c r="E45" t="s">
        <v>128</v>
      </c>
      <c r="F45" s="10">
        <v>10</v>
      </c>
      <c r="G45" s="10">
        <v>4298.32</v>
      </c>
      <c r="H45" s="10">
        <v>42983.199999999997</v>
      </c>
      <c r="J45">
        <v>45113</v>
      </c>
      <c r="K45" t="str">
        <v>West</v>
      </c>
      <c r="L45" t="str">
        <v>Gujarat</v>
      </c>
      <c r="M45" t="str">
        <v>Ahmedabad</v>
      </c>
      <c r="N45" t="str">
        <v>Groceries</v>
      </c>
      <c r="O45">
        <v>8</v>
      </c>
      <c r="P45">
        <v>1484.56</v>
      </c>
      <c r="Q45">
        <v>11876.48</v>
      </c>
      <c r="S45">
        <v>44978</v>
      </c>
      <c r="T45" t="str">
        <v>West</v>
      </c>
      <c r="U45" t="str">
        <v>Maharashtra</v>
      </c>
      <c r="V45" t="str">
        <v>Mumbai</v>
      </c>
      <c r="W45" t="str">
        <v>Furniture</v>
      </c>
      <c r="X45">
        <v>4</v>
      </c>
      <c r="Y45">
        <v>1831.79</v>
      </c>
      <c r="Z45">
        <v>7327.16</v>
      </c>
    </row>
    <row r="46" spans="1:26">
      <c r="A46" s="19">
        <v>45162</v>
      </c>
      <c r="B46" t="s">
        <v>1229</v>
      </c>
      <c r="C46" t="s">
        <v>1230</v>
      </c>
      <c r="D46" t="s">
        <v>1246</v>
      </c>
      <c r="E46" t="s">
        <v>128</v>
      </c>
      <c r="F46" s="10">
        <v>16</v>
      </c>
      <c r="G46" s="10">
        <v>2666.78</v>
      </c>
      <c r="H46" s="10">
        <v>42668.480000000003</v>
      </c>
      <c r="J46">
        <v>44994</v>
      </c>
      <c r="K46" t="str">
        <v>West</v>
      </c>
      <c r="L46" t="str">
        <v>Gujarat</v>
      </c>
      <c r="M46" t="str">
        <v>Ahmedabad</v>
      </c>
      <c r="N46" t="str">
        <v>Groceries</v>
      </c>
      <c r="O46">
        <v>7</v>
      </c>
      <c r="P46">
        <v>1500.87</v>
      </c>
      <c r="Q46">
        <v>10506.09</v>
      </c>
      <c r="S46">
        <v>45083</v>
      </c>
      <c r="T46" t="str">
        <v>West</v>
      </c>
      <c r="U46" t="str">
        <v>Maharashtra</v>
      </c>
      <c r="V46" t="str">
        <v>Mumbai</v>
      </c>
      <c r="W46" t="str">
        <v>Furniture</v>
      </c>
      <c r="X46">
        <v>6</v>
      </c>
      <c r="Y46">
        <v>1205.3599999999999</v>
      </c>
      <c r="Z46">
        <v>7232.16</v>
      </c>
    </row>
    <row r="47" spans="1:26">
      <c r="A47" s="19">
        <v>45282</v>
      </c>
      <c r="B47" t="s">
        <v>1231</v>
      </c>
      <c r="C47" t="s">
        <v>1232</v>
      </c>
      <c r="D47" t="s">
        <v>1233</v>
      </c>
      <c r="E47" t="s">
        <v>128</v>
      </c>
      <c r="F47" s="10">
        <v>20</v>
      </c>
      <c r="G47" s="10">
        <v>2123.15</v>
      </c>
      <c r="H47" s="10">
        <v>42463</v>
      </c>
      <c r="J47">
        <v>45204</v>
      </c>
      <c r="K47" t="str">
        <v>West</v>
      </c>
      <c r="L47" t="str">
        <v>Gujarat</v>
      </c>
      <c r="M47" t="str">
        <v>Ahmedabad</v>
      </c>
      <c r="N47" t="str">
        <v>Groceries</v>
      </c>
      <c r="O47">
        <v>9</v>
      </c>
      <c r="P47">
        <v>722.4</v>
      </c>
      <c r="Q47">
        <v>6501.6</v>
      </c>
      <c r="S47">
        <v>45146</v>
      </c>
      <c r="T47" t="str">
        <v>West</v>
      </c>
      <c r="U47" t="str">
        <v>Maharashtra</v>
      </c>
      <c r="V47" t="str">
        <v>Mumbai</v>
      </c>
      <c r="W47" t="str">
        <v>Furniture</v>
      </c>
      <c r="X47">
        <v>9</v>
      </c>
      <c r="Y47">
        <v>489.27</v>
      </c>
      <c r="Z47">
        <v>4403.43</v>
      </c>
    </row>
    <row r="48" spans="1:26">
      <c r="A48" s="19">
        <v>44988</v>
      </c>
      <c r="B48" t="s">
        <v>1231</v>
      </c>
      <c r="C48" t="s">
        <v>1232</v>
      </c>
      <c r="D48" t="s">
        <v>1233</v>
      </c>
      <c r="E48" t="s">
        <v>128</v>
      </c>
      <c r="F48" s="10">
        <v>16</v>
      </c>
      <c r="G48" s="10">
        <v>2640.08</v>
      </c>
      <c r="H48" s="10">
        <v>42241.279999999999</v>
      </c>
      <c r="J48">
        <v>44928</v>
      </c>
      <c r="K48" t="str">
        <v>West</v>
      </c>
      <c r="L48" t="str">
        <v>Gujarat</v>
      </c>
      <c r="M48" t="str">
        <v>Ahmedabad</v>
      </c>
      <c r="N48" t="str">
        <v>Groceries</v>
      </c>
      <c r="O48">
        <v>11</v>
      </c>
      <c r="P48">
        <v>548.91999999999996</v>
      </c>
      <c r="Q48">
        <v>6038.12</v>
      </c>
      <c r="S48">
        <v>44990</v>
      </c>
      <c r="T48" t="str">
        <v>West</v>
      </c>
      <c r="U48" t="str">
        <v>Maharashtra</v>
      </c>
      <c r="V48" t="str">
        <v>Mumbai</v>
      </c>
      <c r="W48" t="str">
        <v>Furniture</v>
      </c>
      <c r="X48">
        <v>1</v>
      </c>
      <c r="Y48">
        <v>3059.01</v>
      </c>
      <c r="Z48">
        <v>3059.01</v>
      </c>
    </row>
    <row r="49" spans="1:26">
      <c r="A49" s="19">
        <v>45253</v>
      </c>
      <c r="B49" t="s">
        <v>1231</v>
      </c>
      <c r="C49" t="s">
        <v>1235</v>
      </c>
      <c r="D49" t="s">
        <v>1238</v>
      </c>
      <c r="E49" t="s">
        <v>128</v>
      </c>
      <c r="F49" s="10">
        <v>16</v>
      </c>
      <c r="G49" s="10">
        <v>2600.48</v>
      </c>
      <c r="H49" s="10">
        <v>41607.68</v>
      </c>
      <c r="J49">
        <v>44950</v>
      </c>
      <c r="K49" t="str">
        <v>West</v>
      </c>
      <c r="L49" t="str">
        <v>Gujarat</v>
      </c>
      <c r="M49" t="str">
        <v>Ahmedabad</v>
      </c>
      <c r="N49" t="str">
        <v>Groceries</v>
      </c>
      <c r="O49">
        <v>6</v>
      </c>
      <c r="P49">
        <v>744.85</v>
      </c>
      <c r="Q49">
        <v>4469.1000000000004</v>
      </c>
      <c r="S49">
        <v>45278</v>
      </c>
      <c r="T49" t="str">
        <v>West</v>
      </c>
      <c r="U49" t="str">
        <v>Maharashtra</v>
      </c>
      <c r="V49" t="str">
        <v>Mumbai</v>
      </c>
      <c r="W49" t="str">
        <v>Furniture</v>
      </c>
      <c r="X49">
        <v>2</v>
      </c>
      <c r="Y49">
        <v>1377.64</v>
      </c>
      <c r="Z49">
        <v>2755.28</v>
      </c>
    </row>
    <row r="50" spans="1:26">
      <c r="A50" s="19">
        <v>45156</v>
      </c>
      <c r="B50" t="s">
        <v>1229</v>
      </c>
      <c r="C50" t="s">
        <v>1237</v>
      </c>
      <c r="D50" t="s">
        <v>1171</v>
      </c>
      <c r="E50" t="s">
        <v>128</v>
      </c>
      <c r="F50" s="10">
        <v>12</v>
      </c>
      <c r="G50" s="10">
        <v>3400.71</v>
      </c>
      <c r="H50" s="10">
        <v>40808.519999999997</v>
      </c>
      <c r="J50">
        <v>45074</v>
      </c>
      <c r="K50" t="str">
        <v>West</v>
      </c>
      <c r="L50" t="str">
        <v>Gujarat</v>
      </c>
      <c r="M50" t="str">
        <v>Ahmedabad</v>
      </c>
      <c r="N50" t="str">
        <v>Groceries</v>
      </c>
      <c r="O50">
        <v>5</v>
      </c>
      <c r="P50">
        <v>877.62</v>
      </c>
      <c r="Q50">
        <v>4388.1000000000004</v>
      </c>
      <c r="S50">
        <v>44980</v>
      </c>
      <c r="T50" t="str">
        <v>West</v>
      </c>
      <c r="U50" t="str">
        <v>Maharashtra</v>
      </c>
      <c r="V50" t="str">
        <v>Mumbai</v>
      </c>
      <c r="W50" t="str">
        <v>Groceries</v>
      </c>
      <c r="X50">
        <v>20</v>
      </c>
      <c r="Y50">
        <v>4638.2</v>
      </c>
      <c r="Z50">
        <v>92764</v>
      </c>
    </row>
    <row r="51" spans="1:26">
      <c r="A51" s="19">
        <v>44977</v>
      </c>
      <c r="B51" t="s">
        <v>1229</v>
      </c>
      <c r="C51" t="s">
        <v>1230</v>
      </c>
      <c r="D51" t="s">
        <v>1248</v>
      </c>
      <c r="E51" t="s">
        <v>128</v>
      </c>
      <c r="F51" s="10">
        <v>19</v>
      </c>
      <c r="G51" s="10">
        <v>2146.17</v>
      </c>
      <c r="H51" s="10">
        <v>40777.230000000003</v>
      </c>
      <c r="J51">
        <v>45090</v>
      </c>
      <c r="K51" t="str">
        <v>West</v>
      </c>
      <c r="L51" t="str">
        <v>Gujarat</v>
      </c>
      <c r="M51" t="str">
        <v>Ahmedabad</v>
      </c>
      <c r="N51" t="str">
        <v>Groceries</v>
      </c>
      <c r="O51">
        <v>14</v>
      </c>
      <c r="P51">
        <v>298.99</v>
      </c>
      <c r="Q51">
        <v>4185.8599999999997</v>
      </c>
      <c r="S51">
        <v>45193</v>
      </c>
      <c r="T51" t="str">
        <v>West</v>
      </c>
      <c r="U51" t="str">
        <v>Maharashtra</v>
      </c>
      <c r="V51" t="str">
        <v>Mumbai</v>
      </c>
      <c r="W51" t="str">
        <v>Groceries</v>
      </c>
      <c r="X51">
        <v>10</v>
      </c>
      <c r="Y51">
        <v>2691.21</v>
      </c>
      <c r="Z51">
        <v>26912.1</v>
      </c>
    </row>
    <row r="52" spans="1:26">
      <c r="A52" s="19">
        <v>45122</v>
      </c>
      <c r="B52" t="s">
        <v>1229</v>
      </c>
      <c r="C52" t="s">
        <v>1237</v>
      </c>
      <c r="D52" t="s">
        <v>1171</v>
      </c>
      <c r="E52" t="s">
        <v>128</v>
      </c>
      <c r="F52" s="10">
        <v>20</v>
      </c>
      <c r="G52" s="10">
        <v>1977</v>
      </c>
      <c r="H52" s="10">
        <v>39540</v>
      </c>
      <c r="J52">
        <v>45106</v>
      </c>
      <c r="K52" t="str">
        <v>West</v>
      </c>
      <c r="L52" t="str">
        <v>Gujarat</v>
      </c>
      <c r="M52" t="str">
        <v>Ahmedabad</v>
      </c>
      <c r="N52" t="str">
        <v>Groceries</v>
      </c>
      <c r="O52">
        <v>14</v>
      </c>
      <c r="P52">
        <v>283.7</v>
      </c>
      <c r="Q52">
        <v>3971.8</v>
      </c>
      <c r="S52">
        <v>45161</v>
      </c>
      <c r="T52" t="str">
        <v>West</v>
      </c>
      <c r="U52" t="str">
        <v>Maharashtra</v>
      </c>
      <c r="V52" t="str">
        <v>Mumbai</v>
      </c>
      <c r="W52" t="str">
        <v>Groceries</v>
      </c>
      <c r="X52">
        <v>20</v>
      </c>
      <c r="Y52">
        <v>1100.3800000000001</v>
      </c>
      <c r="Z52">
        <v>22007.599999999999</v>
      </c>
    </row>
    <row r="53" spans="1:26">
      <c r="A53" s="19">
        <v>45261</v>
      </c>
      <c r="B53" t="s">
        <v>1231</v>
      </c>
      <c r="C53" t="s">
        <v>1235</v>
      </c>
      <c r="D53" t="s">
        <v>1241</v>
      </c>
      <c r="E53" t="s">
        <v>128</v>
      </c>
      <c r="F53" s="10">
        <v>10</v>
      </c>
      <c r="G53" s="10">
        <v>3950.06</v>
      </c>
      <c r="H53" s="10">
        <v>39500.6</v>
      </c>
      <c r="J53">
        <v>45206</v>
      </c>
      <c r="K53" t="str">
        <v>West</v>
      </c>
      <c r="L53" t="str">
        <v>Gujarat</v>
      </c>
      <c r="M53" t="str">
        <v>Ahmedabad</v>
      </c>
      <c r="N53" t="str">
        <v>Groceries</v>
      </c>
      <c r="O53">
        <v>1</v>
      </c>
      <c r="P53">
        <v>1286.1099999999999</v>
      </c>
      <c r="Q53">
        <v>1286.1099999999999</v>
      </c>
      <c r="S53">
        <v>45047</v>
      </c>
      <c r="T53" t="str">
        <v>West</v>
      </c>
      <c r="U53" t="str">
        <v>Maharashtra</v>
      </c>
      <c r="V53" t="str">
        <v>Mumbai</v>
      </c>
      <c r="W53" t="str">
        <v>Groceries</v>
      </c>
      <c r="X53">
        <v>5</v>
      </c>
      <c r="Y53">
        <v>1204.6400000000001</v>
      </c>
      <c r="Z53">
        <v>6023.2</v>
      </c>
    </row>
    <row r="54" spans="1:26">
      <c r="A54" s="19">
        <v>45283</v>
      </c>
      <c r="B54" t="s">
        <v>1229</v>
      </c>
      <c r="C54" t="s">
        <v>1237</v>
      </c>
      <c r="D54" t="s">
        <v>1239</v>
      </c>
      <c r="E54" t="s">
        <v>128</v>
      </c>
      <c r="F54" s="10">
        <v>10</v>
      </c>
      <c r="G54" s="10">
        <v>3907.49</v>
      </c>
      <c r="H54" s="10">
        <v>39074.9</v>
      </c>
      <c r="J54">
        <v>44976</v>
      </c>
      <c r="K54" t="str">
        <v>West</v>
      </c>
      <c r="L54" t="str">
        <v>Gujarat</v>
      </c>
      <c r="M54" t="str">
        <v>Ahmedabad</v>
      </c>
      <c r="N54" t="str">
        <v>Groceries</v>
      </c>
      <c r="O54">
        <v>1</v>
      </c>
      <c r="P54">
        <v>302.02</v>
      </c>
      <c r="Q54">
        <v>302.02</v>
      </c>
      <c r="S54">
        <v>44985</v>
      </c>
      <c r="T54" t="str">
        <v>West</v>
      </c>
      <c r="U54" t="str">
        <v>Maharashtra</v>
      </c>
      <c r="V54" t="str">
        <v>Mumbai</v>
      </c>
      <c r="W54" t="str">
        <v>Groceries</v>
      </c>
      <c r="X54">
        <v>4</v>
      </c>
      <c r="Y54">
        <v>1080.1600000000001</v>
      </c>
      <c r="Z54">
        <v>4320.6400000000003</v>
      </c>
    </row>
    <row r="55" spans="1:26">
      <c r="A55" s="19">
        <v>45069</v>
      </c>
      <c r="B55" t="s">
        <v>1229</v>
      </c>
      <c r="C55" t="s">
        <v>1237</v>
      </c>
      <c r="D55" t="s">
        <v>1239</v>
      </c>
      <c r="E55" t="s">
        <v>128</v>
      </c>
      <c r="F55" s="10">
        <v>14</v>
      </c>
      <c r="G55" s="10">
        <v>2785.95</v>
      </c>
      <c r="H55" s="10">
        <v>39003.300000000003</v>
      </c>
      <c r="J55">
        <v>44956</v>
      </c>
      <c r="K55" t="str">
        <v>West</v>
      </c>
      <c r="L55" t="str">
        <v>Gujarat</v>
      </c>
      <c r="M55" t="str">
        <v>Ahmedabad</v>
      </c>
      <c r="N55" t="str">
        <v>Stationery</v>
      </c>
      <c r="O55">
        <v>19</v>
      </c>
      <c r="P55">
        <v>4920.4399999999996</v>
      </c>
      <c r="Q55">
        <v>93488.36</v>
      </c>
      <c r="S55">
        <v>45209</v>
      </c>
      <c r="T55" t="str">
        <v>West</v>
      </c>
      <c r="U55" t="str">
        <v>Maharashtra</v>
      </c>
      <c r="V55" t="str">
        <v>Mumbai</v>
      </c>
      <c r="W55" t="str">
        <v>Groceries</v>
      </c>
      <c r="X55">
        <v>5</v>
      </c>
      <c r="Y55">
        <v>800.88</v>
      </c>
      <c r="Z55">
        <v>4004.4</v>
      </c>
    </row>
    <row r="56" spans="1:26">
      <c r="A56" s="19">
        <v>45249</v>
      </c>
      <c r="B56" t="s">
        <v>1242</v>
      </c>
      <c r="C56" t="s">
        <v>1243</v>
      </c>
      <c r="D56" t="s">
        <v>1247</v>
      </c>
      <c r="E56" t="s">
        <v>128</v>
      </c>
      <c r="F56" s="10">
        <v>18</v>
      </c>
      <c r="G56" s="10">
        <v>2149.9899999999998</v>
      </c>
      <c r="H56" s="10">
        <v>38699.82</v>
      </c>
      <c r="J56">
        <v>45154</v>
      </c>
      <c r="K56" t="str">
        <v>West</v>
      </c>
      <c r="L56" t="str">
        <v>Gujarat</v>
      </c>
      <c r="M56" t="str">
        <v>Ahmedabad</v>
      </c>
      <c r="N56" t="str">
        <v>Stationery</v>
      </c>
      <c r="O56">
        <v>18</v>
      </c>
      <c r="P56">
        <v>4862.63</v>
      </c>
      <c r="Q56">
        <v>87527.34</v>
      </c>
      <c r="S56">
        <v>45209</v>
      </c>
      <c r="T56" t="str">
        <v>West</v>
      </c>
      <c r="U56" t="str">
        <v>Maharashtra</v>
      </c>
      <c r="V56" t="str">
        <v>Mumbai</v>
      </c>
      <c r="W56" t="str">
        <v>Stationery</v>
      </c>
      <c r="X56">
        <v>15</v>
      </c>
      <c r="Y56">
        <v>4657.82</v>
      </c>
      <c r="Z56">
        <v>69867.3</v>
      </c>
    </row>
    <row r="57" spans="1:26">
      <c r="A57" s="19">
        <v>45056</v>
      </c>
      <c r="B57" t="s">
        <v>1229</v>
      </c>
      <c r="C57" t="s">
        <v>1237</v>
      </c>
      <c r="D57" t="s">
        <v>1171</v>
      </c>
      <c r="E57" t="s">
        <v>128</v>
      </c>
      <c r="F57" s="10">
        <v>18</v>
      </c>
      <c r="G57" s="10">
        <v>2074.52</v>
      </c>
      <c r="H57" s="10">
        <v>37341.360000000001</v>
      </c>
      <c r="J57">
        <v>45140</v>
      </c>
      <c r="K57" t="str">
        <v>West</v>
      </c>
      <c r="L57" t="str">
        <v>Gujarat</v>
      </c>
      <c r="M57" t="str">
        <v>Ahmedabad</v>
      </c>
      <c r="N57" t="str">
        <v>Stationery</v>
      </c>
      <c r="O57">
        <v>17</v>
      </c>
      <c r="P57">
        <v>4953.04</v>
      </c>
      <c r="Q57">
        <v>84201.68</v>
      </c>
      <c r="S57">
        <v>45023</v>
      </c>
      <c r="T57" t="str">
        <v>West</v>
      </c>
      <c r="U57" t="str">
        <v>Maharashtra</v>
      </c>
      <c r="V57" t="str">
        <v>Mumbai</v>
      </c>
      <c r="W57" t="str">
        <v>Stationery</v>
      </c>
      <c r="X57">
        <v>13</v>
      </c>
      <c r="Y57">
        <v>4850.17</v>
      </c>
      <c r="Z57">
        <v>63052.21</v>
      </c>
    </row>
    <row r="58" spans="1:26">
      <c r="A58" s="19">
        <v>45092</v>
      </c>
      <c r="B58" t="s">
        <v>1229</v>
      </c>
      <c r="C58" t="s">
        <v>1237</v>
      </c>
      <c r="D58" t="s">
        <v>1171</v>
      </c>
      <c r="E58" t="s">
        <v>128</v>
      </c>
      <c r="F58" s="10">
        <v>19</v>
      </c>
      <c r="G58" s="10">
        <v>1965.12</v>
      </c>
      <c r="H58" s="10">
        <v>37337.279999999999</v>
      </c>
      <c r="J58">
        <v>45112</v>
      </c>
      <c r="K58" t="str">
        <v>West</v>
      </c>
      <c r="L58" t="str">
        <v>Gujarat</v>
      </c>
      <c r="M58" t="str">
        <v>Ahmedabad</v>
      </c>
      <c r="N58" t="str">
        <v>Stationery</v>
      </c>
      <c r="O58">
        <v>17</v>
      </c>
      <c r="P58">
        <v>4427.79</v>
      </c>
      <c r="Q58">
        <v>75272.429999999993</v>
      </c>
      <c r="S58">
        <v>45219</v>
      </c>
      <c r="T58" t="str">
        <v>West</v>
      </c>
      <c r="U58" t="str">
        <v>Maharashtra</v>
      </c>
      <c r="V58" t="str">
        <v>Mumbai</v>
      </c>
      <c r="W58" t="str">
        <v>Stationery</v>
      </c>
      <c r="X58">
        <v>17</v>
      </c>
      <c r="Y58">
        <v>3490.72</v>
      </c>
      <c r="Z58">
        <v>59342.239999999998</v>
      </c>
    </row>
    <row r="59" spans="1:26">
      <c r="A59" s="19">
        <v>45104</v>
      </c>
      <c r="B59" t="s">
        <v>1229</v>
      </c>
      <c r="C59" t="s">
        <v>1237</v>
      </c>
      <c r="D59" t="s">
        <v>1173</v>
      </c>
      <c r="E59" t="s">
        <v>128</v>
      </c>
      <c r="F59" s="10">
        <v>12</v>
      </c>
      <c r="G59" s="10">
        <v>3076.03</v>
      </c>
      <c r="H59" s="10">
        <v>36912.36</v>
      </c>
      <c r="J59">
        <v>44934</v>
      </c>
      <c r="K59" t="str">
        <v>West</v>
      </c>
      <c r="L59" t="str">
        <v>Gujarat</v>
      </c>
      <c r="M59" t="str">
        <v>Ahmedabad</v>
      </c>
      <c r="N59" t="str">
        <v>Stationery</v>
      </c>
      <c r="O59">
        <v>17</v>
      </c>
      <c r="P59">
        <v>4136.3100000000004</v>
      </c>
      <c r="Q59">
        <v>70317.27</v>
      </c>
      <c r="S59">
        <v>45163</v>
      </c>
      <c r="T59" t="str">
        <v>West</v>
      </c>
      <c r="U59" t="str">
        <v>Maharashtra</v>
      </c>
      <c r="V59" t="str">
        <v>Mumbai</v>
      </c>
      <c r="W59" t="str">
        <v>Stationery</v>
      </c>
      <c r="X59">
        <v>16</v>
      </c>
      <c r="Y59">
        <v>3580.79</v>
      </c>
      <c r="Z59">
        <v>57292.639999999999</v>
      </c>
    </row>
    <row r="60" spans="1:26">
      <c r="A60" s="19">
        <v>45278</v>
      </c>
      <c r="B60" t="s">
        <v>1231</v>
      </c>
      <c r="C60" t="s">
        <v>1232</v>
      </c>
      <c r="D60" t="s">
        <v>1240</v>
      </c>
      <c r="E60" t="s">
        <v>128</v>
      </c>
      <c r="F60" s="10">
        <v>13</v>
      </c>
      <c r="G60" s="10">
        <v>2829.47</v>
      </c>
      <c r="H60" s="10">
        <v>36783.11</v>
      </c>
      <c r="J60">
        <v>45264</v>
      </c>
      <c r="K60" t="str">
        <v>West</v>
      </c>
      <c r="L60" t="str">
        <v>Gujarat</v>
      </c>
      <c r="M60" t="str">
        <v>Ahmedabad</v>
      </c>
      <c r="N60" t="str">
        <v>Stationery</v>
      </c>
      <c r="O60">
        <v>16</v>
      </c>
      <c r="P60">
        <v>3082.84</v>
      </c>
      <c r="Q60">
        <v>49325.440000000002</v>
      </c>
      <c r="S60">
        <v>44927</v>
      </c>
      <c r="T60" t="str">
        <v>West</v>
      </c>
      <c r="U60" t="str">
        <v>Maharashtra</v>
      </c>
      <c r="V60" t="str">
        <v>Mumbai</v>
      </c>
      <c r="W60" t="str">
        <v>Stationery</v>
      </c>
      <c r="X60">
        <v>9</v>
      </c>
      <c r="Y60">
        <v>4858.75</v>
      </c>
      <c r="Z60">
        <v>43728.75</v>
      </c>
    </row>
    <row r="61" spans="1:26">
      <c r="A61" s="19">
        <v>45176</v>
      </c>
      <c r="B61" t="s">
        <v>1229</v>
      </c>
      <c r="C61" t="s">
        <v>1237</v>
      </c>
      <c r="D61" t="s">
        <v>1171</v>
      </c>
      <c r="E61" t="s">
        <v>128</v>
      </c>
      <c r="F61" s="10">
        <v>13</v>
      </c>
      <c r="G61" s="10">
        <v>2809.29</v>
      </c>
      <c r="H61" s="10">
        <v>36520.769999999997</v>
      </c>
      <c r="J61">
        <v>45138</v>
      </c>
      <c r="K61" t="str">
        <v>West</v>
      </c>
      <c r="L61" t="str">
        <v>Gujarat</v>
      </c>
      <c r="M61" t="str">
        <v>Ahmedabad</v>
      </c>
      <c r="N61" t="str">
        <v>Stationery</v>
      </c>
      <c r="O61">
        <v>16</v>
      </c>
      <c r="P61">
        <v>2747.36</v>
      </c>
      <c r="Q61">
        <v>43957.760000000002</v>
      </c>
      <c r="S61">
        <v>45233</v>
      </c>
      <c r="T61" t="str">
        <v>West</v>
      </c>
      <c r="U61" t="str">
        <v>Maharashtra</v>
      </c>
      <c r="V61" t="str">
        <v>Mumbai</v>
      </c>
      <c r="W61" t="str">
        <v>Stationery</v>
      </c>
      <c r="X61">
        <v>16</v>
      </c>
      <c r="Y61">
        <v>2563.69</v>
      </c>
      <c r="Z61">
        <v>41019.040000000001</v>
      </c>
    </row>
    <row r="62" spans="1:26">
      <c r="A62" s="19">
        <v>45186</v>
      </c>
      <c r="B62" t="s">
        <v>1242</v>
      </c>
      <c r="C62" t="s">
        <v>1243</v>
      </c>
      <c r="D62" t="s">
        <v>1244</v>
      </c>
      <c r="E62" t="s">
        <v>128</v>
      </c>
      <c r="F62" s="10">
        <v>18</v>
      </c>
      <c r="G62" s="10">
        <v>1986.52</v>
      </c>
      <c r="H62" s="10">
        <v>35757.360000000001</v>
      </c>
      <c r="J62">
        <v>45124</v>
      </c>
      <c r="K62" t="str">
        <v>West</v>
      </c>
      <c r="L62" t="str">
        <v>Gujarat</v>
      </c>
      <c r="M62" t="str">
        <v>Ahmedabad</v>
      </c>
      <c r="N62" t="str">
        <v>Stationery</v>
      </c>
      <c r="O62">
        <v>12</v>
      </c>
      <c r="P62">
        <v>3650.3</v>
      </c>
      <c r="Q62">
        <v>43803.6</v>
      </c>
      <c r="S62">
        <v>45062</v>
      </c>
      <c r="T62" t="str">
        <v>West</v>
      </c>
      <c r="U62" t="str">
        <v>Maharashtra</v>
      </c>
      <c r="V62" t="str">
        <v>Mumbai</v>
      </c>
      <c r="W62" t="str">
        <v>Stationery</v>
      </c>
      <c r="X62">
        <v>15</v>
      </c>
      <c r="Y62">
        <v>2330.62</v>
      </c>
      <c r="Z62">
        <v>34959.300000000003</v>
      </c>
    </row>
    <row r="63" spans="1:26">
      <c r="A63" s="19">
        <v>44968</v>
      </c>
      <c r="B63" t="s">
        <v>1229</v>
      </c>
      <c r="C63" t="s">
        <v>1237</v>
      </c>
      <c r="D63" t="s">
        <v>1173</v>
      </c>
      <c r="E63" t="s">
        <v>128</v>
      </c>
      <c r="F63" s="10">
        <v>13</v>
      </c>
      <c r="G63" s="10">
        <v>2745.75</v>
      </c>
      <c r="H63" s="10">
        <v>35694.75</v>
      </c>
      <c r="J63">
        <v>44978</v>
      </c>
      <c r="K63" t="str">
        <v>West</v>
      </c>
      <c r="L63" t="str">
        <v>Gujarat</v>
      </c>
      <c r="M63" t="str">
        <v>Ahmedabad</v>
      </c>
      <c r="N63" t="str">
        <v>Stationery</v>
      </c>
      <c r="O63">
        <v>13</v>
      </c>
      <c r="P63">
        <v>2665.15</v>
      </c>
      <c r="Q63">
        <v>34646.949999999997</v>
      </c>
      <c r="S63">
        <v>44998</v>
      </c>
      <c r="T63" t="str">
        <v>West</v>
      </c>
      <c r="U63" t="str">
        <v>Maharashtra</v>
      </c>
      <c r="V63" t="str">
        <v>Mumbai</v>
      </c>
      <c r="W63" t="str">
        <v>Stationery</v>
      </c>
      <c r="X63">
        <v>5</v>
      </c>
      <c r="Y63">
        <v>4987.7</v>
      </c>
      <c r="Z63">
        <v>24938.5</v>
      </c>
    </row>
    <row r="64" spans="1:26">
      <c r="A64" s="19">
        <v>45110</v>
      </c>
      <c r="B64" t="s">
        <v>1242</v>
      </c>
      <c r="C64" t="s">
        <v>1243</v>
      </c>
      <c r="D64" t="s">
        <v>1245</v>
      </c>
      <c r="E64" t="s">
        <v>128</v>
      </c>
      <c r="F64" s="10">
        <v>17</v>
      </c>
      <c r="G64" s="10">
        <v>2045.39</v>
      </c>
      <c r="H64" s="10">
        <v>34771.629999999997</v>
      </c>
      <c r="J64">
        <v>45283</v>
      </c>
      <c r="K64" t="str">
        <v>West</v>
      </c>
      <c r="L64" t="str">
        <v>Gujarat</v>
      </c>
      <c r="M64" t="str">
        <v>Ahmedabad</v>
      </c>
      <c r="N64" t="str">
        <v>Stationery</v>
      </c>
      <c r="O64">
        <v>8</v>
      </c>
      <c r="P64">
        <v>4009.51</v>
      </c>
      <c r="Q64">
        <v>32076.080000000002</v>
      </c>
      <c r="S64">
        <v>44941</v>
      </c>
      <c r="T64" t="str">
        <v>West</v>
      </c>
      <c r="U64" t="str">
        <v>Maharashtra</v>
      </c>
      <c r="V64" t="str">
        <v>Mumbai</v>
      </c>
      <c r="W64" t="str">
        <v>Stationery</v>
      </c>
      <c r="X64">
        <v>7</v>
      </c>
      <c r="Y64">
        <v>3163.37</v>
      </c>
      <c r="Z64">
        <v>22143.59</v>
      </c>
    </row>
    <row r="65" spans="1:26">
      <c r="A65" s="19">
        <v>45275</v>
      </c>
      <c r="B65" t="s">
        <v>1231</v>
      </c>
      <c r="C65" t="s">
        <v>1232</v>
      </c>
      <c r="D65" t="s">
        <v>1240</v>
      </c>
      <c r="E65" t="s">
        <v>128</v>
      </c>
      <c r="F65" s="10">
        <v>12</v>
      </c>
      <c r="G65" s="10">
        <v>2882.46</v>
      </c>
      <c r="H65" s="10">
        <v>34589.519999999997</v>
      </c>
      <c r="J65">
        <v>44935</v>
      </c>
      <c r="K65" t="str">
        <v>West</v>
      </c>
      <c r="L65" t="str">
        <v>Gujarat</v>
      </c>
      <c r="M65" t="str">
        <v>Ahmedabad</v>
      </c>
      <c r="N65" t="str">
        <v>Stationery</v>
      </c>
      <c r="O65">
        <v>7</v>
      </c>
      <c r="P65">
        <v>4508.28</v>
      </c>
      <c r="Q65">
        <v>31557.96</v>
      </c>
      <c r="S65">
        <v>45027</v>
      </c>
      <c r="T65" t="str">
        <v>West</v>
      </c>
      <c r="U65" t="str">
        <v>Maharashtra</v>
      </c>
      <c r="V65" t="str">
        <v>Mumbai</v>
      </c>
      <c r="W65" t="str">
        <v>Stationery</v>
      </c>
      <c r="X65">
        <v>9</v>
      </c>
      <c r="Y65">
        <v>2376.12</v>
      </c>
      <c r="Z65">
        <v>21385.08</v>
      </c>
    </row>
    <row r="66" spans="1:26">
      <c r="A66" s="19">
        <v>45151</v>
      </c>
      <c r="B66" t="s">
        <v>1231</v>
      </c>
      <c r="C66" t="s">
        <v>1235</v>
      </c>
      <c r="D66" t="s">
        <v>1236</v>
      </c>
      <c r="E66" t="s">
        <v>128</v>
      </c>
      <c r="F66" s="10">
        <v>10</v>
      </c>
      <c r="G66" s="10">
        <v>3439.35</v>
      </c>
      <c r="H66" s="10">
        <v>34393.5</v>
      </c>
      <c r="J66">
        <v>45035</v>
      </c>
      <c r="K66" t="str">
        <v>West</v>
      </c>
      <c r="L66" t="str">
        <v>Gujarat</v>
      </c>
      <c r="M66" t="str">
        <v>Ahmedabad</v>
      </c>
      <c r="N66" t="str">
        <v>Stationery</v>
      </c>
      <c r="O66">
        <v>17</v>
      </c>
      <c r="P66">
        <v>1793.43</v>
      </c>
      <c r="Q66">
        <v>30488.31</v>
      </c>
      <c r="S66">
        <v>45144</v>
      </c>
      <c r="T66" t="str">
        <v>West</v>
      </c>
      <c r="U66" t="str">
        <v>Maharashtra</v>
      </c>
      <c r="V66" t="str">
        <v>Mumbai</v>
      </c>
      <c r="W66" t="str">
        <v>Stationery</v>
      </c>
      <c r="X66">
        <v>6</v>
      </c>
      <c r="Y66">
        <v>3363.77</v>
      </c>
      <c r="Z66">
        <v>20182.62</v>
      </c>
    </row>
    <row r="67" spans="1:26">
      <c r="A67" s="19">
        <v>44960</v>
      </c>
      <c r="B67" t="s">
        <v>1242</v>
      </c>
      <c r="C67" t="s">
        <v>1243</v>
      </c>
      <c r="D67" t="s">
        <v>1244</v>
      </c>
      <c r="E67" t="s">
        <v>128</v>
      </c>
      <c r="F67" s="10">
        <v>14</v>
      </c>
      <c r="G67" s="10">
        <v>2371.85</v>
      </c>
      <c r="H67" s="10">
        <v>33205.9</v>
      </c>
      <c r="J67">
        <v>44975</v>
      </c>
      <c r="K67" t="str">
        <v>West</v>
      </c>
      <c r="L67" t="str">
        <v>Gujarat</v>
      </c>
      <c r="M67" t="str">
        <v>Ahmedabad</v>
      </c>
      <c r="N67" t="str">
        <v>Stationery</v>
      </c>
      <c r="O67">
        <v>9</v>
      </c>
      <c r="P67">
        <v>2677.7</v>
      </c>
      <c r="Q67">
        <v>24099.3</v>
      </c>
      <c r="S67">
        <v>45225</v>
      </c>
      <c r="T67" t="str">
        <v>West</v>
      </c>
      <c r="U67" t="str">
        <v>Maharashtra</v>
      </c>
      <c r="V67" t="str">
        <v>Mumbai</v>
      </c>
      <c r="W67" t="str">
        <v>Stationery</v>
      </c>
      <c r="X67">
        <v>4</v>
      </c>
      <c r="Y67">
        <v>4386.54</v>
      </c>
      <c r="Z67">
        <v>17546.16</v>
      </c>
    </row>
    <row r="68" spans="1:26">
      <c r="A68" s="19">
        <v>44942</v>
      </c>
      <c r="B68" t="s">
        <v>1231</v>
      </c>
      <c r="C68" t="s">
        <v>1232</v>
      </c>
      <c r="D68" t="s">
        <v>1240</v>
      </c>
      <c r="E68" t="s">
        <v>128</v>
      </c>
      <c r="F68" s="10">
        <v>15</v>
      </c>
      <c r="G68" s="10">
        <v>2174.4499999999998</v>
      </c>
      <c r="H68" s="10">
        <v>32616.75</v>
      </c>
      <c r="J68">
        <v>45007</v>
      </c>
      <c r="K68" t="str">
        <v>West</v>
      </c>
      <c r="L68" t="str">
        <v>Gujarat</v>
      </c>
      <c r="M68" t="str">
        <v>Ahmedabad</v>
      </c>
      <c r="N68" t="str">
        <v>Stationery</v>
      </c>
      <c r="O68">
        <v>3</v>
      </c>
      <c r="P68">
        <v>2880.4</v>
      </c>
      <c r="Q68">
        <v>8641.2000000000007</v>
      </c>
      <c r="S68">
        <v>45199</v>
      </c>
      <c r="T68" t="str">
        <v>West</v>
      </c>
      <c r="U68" t="str">
        <v>Maharashtra</v>
      </c>
      <c r="V68" t="str">
        <v>Mumbai</v>
      </c>
      <c r="W68" t="str">
        <v>Stationery</v>
      </c>
      <c r="X68">
        <v>12</v>
      </c>
      <c r="Y68">
        <v>1352.89</v>
      </c>
      <c r="Z68">
        <v>16234.68</v>
      </c>
    </row>
    <row r="69" spans="1:26">
      <c r="A69" s="19">
        <v>45209</v>
      </c>
      <c r="B69" t="s">
        <v>1229</v>
      </c>
      <c r="C69" t="s">
        <v>1237</v>
      </c>
      <c r="D69" t="s">
        <v>1239</v>
      </c>
      <c r="E69" t="s">
        <v>128</v>
      </c>
      <c r="F69" s="10">
        <v>15</v>
      </c>
      <c r="G69" s="10">
        <v>2148.0100000000002</v>
      </c>
      <c r="H69" s="10">
        <v>32220.15</v>
      </c>
      <c r="J69">
        <v>44993</v>
      </c>
      <c r="K69" t="str">
        <v>West</v>
      </c>
      <c r="L69" t="str">
        <v>Gujarat</v>
      </c>
      <c r="M69" t="str">
        <v>Ahmedabad</v>
      </c>
      <c r="N69" t="str">
        <v>Stationery</v>
      </c>
      <c r="O69">
        <v>16</v>
      </c>
      <c r="P69">
        <v>355.63</v>
      </c>
      <c r="Q69">
        <v>5690.08</v>
      </c>
      <c r="S69">
        <v>45202</v>
      </c>
      <c r="T69" t="str">
        <v>West</v>
      </c>
      <c r="U69" t="str">
        <v>Maharashtra</v>
      </c>
      <c r="V69" t="str">
        <v>Mumbai</v>
      </c>
      <c r="W69" t="str">
        <v>Stationery</v>
      </c>
      <c r="X69">
        <v>11</v>
      </c>
      <c r="Y69">
        <v>1316.18</v>
      </c>
      <c r="Z69">
        <v>14477.98</v>
      </c>
    </row>
    <row r="70" spans="1:26">
      <c r="A70" s="19">
        <v>45150</v>
      </c>
      <c r="B70" t="s">
        <v>1229</v>
      </c>
      <c r="C70" t="s">
        <v>1230</v>
      </c>
      <c r="D70" t="s">
        <v>1169</v>
      </c>
      <c r="E70" t="s">
        <v>128</v>
      </c>
      <c r="F70" s="10">
        <v>13</v>
      </c>
      <c r="G70" s="10">
        <v>2475.98</v>
      </c>
      <c r="H70" s="10">
        <v>32187.74</v>
      </c>
      <c r="J70">
        <v>45071</v>
      </c>
      <c r="K70" t="str">
        <v>West</v>
      </c>
      <c r="L70" t="str">
        <v>Gujarat</v>
      </c>
      <c r="M70" t="str">
        <v>Ahmedabad</v>
      </c>
      <c r="N70" t="str">
        <v>Stationery</v>
      </c>
      <c r="O70">
        <v>2</v>
      </c>
      <c r="P70">
        <v>2238.46</v>
      </c>
      <c r="Q70">
        <v>4476.92</v>
      </c>
      <c r="S70">
        <v>45241</v>
      </c>
      <c r="T70" t="str">
        <v>West</v>
      </c>
      <c r="U70" t="str">
        <v>Maharashtra</v>
      </c>
      <c r="V70" t="str">
        <v>Mumbai</v>
      </c>
      <c r="W70" t="str">
        <v>Stationery</v>
      </c>
      <c r="X70">
        <v>3</v>
      </c>
      <c r="Y70">
        <v>4210.7700000000004</v>
      </c>
      <c r="Z70">
        <v>12632.31</v>
      </c>
    </row>
    <row r="71" spans="1:26">
      <c r="A71" s="19">
        <v>45175</v>
      </c>
      <c r="B71" t="s">
        <v>1229</v>
      </c>
      <c r="C71" t="s">
        <v>1230</v>
      </c>
      <c r="D71" t="s">
        <v>1246</v>
      </c>
      <c r="E71" t="s">
        <v>128</v>
      </c>
      <c r="F71" s="10">
        <v>10</v>
      </c>
      <c r="G71" s="10">
        <v>3205.57</v>
      </c>
      <c r="H71" s="10">
        <v>32055.7</v>
      </c>
      <c r="J71">
        <v>45226</v>
      </c>
      <c r="K71" t="str">
        <v>West</v>
      </c>
      <c r="L71" t="str">
        <v>Gujarat</v>
      </c>
      <c r="M71" t="str">
        <v>Ahmedabad</v>
      </c>
      <c r="N71" t="str">
        <v>Stationery</v>
      </c>
      <c r="O71">
        <v>11</v>
      </c>
      <c r="P71">
        <v>255.3</v>
      </c>
      <c r="Q71">
        <v>2808.3</v>
      </c>
      <c r="S71">
        <v>45242</v>
      </c>
      <c r="T71" t="str">
        <v>West</v>
      </c>
      <c r="U71" t="str">
        <v>Maharashtra</v>
      </c>
      <c r="V71" t="str">
        <v>Mumbai</v>
      </c>
      <c r="W71" t="str">
        <v>Stationery</v>
      </c>
      <c r="X71">
        <v>14</v>
      </c>
      <c r="Y71">
        <v>492.06</v>
      </c>
      <c r="Z71">
        <v>6888.84</v>
      </c>
    </row>
    <row r="72" spans="1:26">
      <c r="A72" s="19">
        <v>45286</v>
      </c>
      <c r="B72" t="s">
        <v>1229</v>
      </c>
      <c r="C72" t="s">
        <v>1230</v>
      </c>
      <c r="D72" t="s">
        <v>1246</v>
      </c>
      <c r="E72" t="s">
        <v>128</v>
      </c>
      <c r="F72" s="10">
        <v>14</v>
      </c>
      <c r="G72" s="10">
        <v>2260.17</v>
      </c>
      <c r="H72" s="10">
        <v>31642.38</v>
      </c>
      <c r="J72">
        <v>45062</v>
      </c>
      <c r="K72" t="str">
        <v>South</v>
      </c>
      <c r="L72" t="str">
        <v>Karnataka</v>
      </c>
      <c r="M72" t="str">
        <v>Bengaluru</v>
      </c>
      <c r="N72" t="str">
        <v>Clothing</v>
      </c>
      <c r="O72">
        <v>18</v>
      </c>
      <c r="P72">
        <v>3913.42</v>
      </c>
      <c r="Q72">
        <v>70441.56</v>
      </c>
      <c r="S72">
        <v>45208</v>
      </c>
      <c r="T72" t="str">
        <v>West</v>
      </c>
      <c r="U72" t="str">
        <v>Maharashtra</v>
      </c>
      <c r="V72" t="str">
        <v>Mumbai</v>
      </c>
      <c r="W72" t="str">
        <v>Stationery</v>
      </c>
      <c r="X72">
        <v>4</v>
      </c>
      <c r="Y72">
        <v>1640.54</v>
      </c>
      <c r="Z72">
        <v>6562.16</v>
      </c>
    </row>
    <row r="73" spans="1:26">
      <c r="A73" s="19">
        <v>45077</v>
      </c>
      <c r="B73" t="s">
        <v>1229</v>
      </c>
      <c r="C73" t="s">
        <v>1230</v>
      </c>
      <c r="D73" t="s">
        <v>1246</v>
      </c>
      <c r="E73" t="s">
        <v>128</v>
      </c>
      <c r="F73" s="10">
        <v>19</v>
      </c>
      <c r="G73" s="10">
        <v>1641.98</v>
      </c>
      <c r="H73" s="10">
        <v>31197.62</v>
      </c>
      <c r="J73">
        <v>45180</v>
      </c>
      <c r="K73" t="str">
        <v>South</v>
      </c>
      <c r="L73" t="str">
        <v>Karnataka</v>
      </c>
      <c r="M73" t="str">
        <v>Bengaluru</v>
      </c>
      <c r="N73" t="str">
        <v>Clothing</v>
      </c>
      <c r="O73">
        <v>17</v>
      </c>
      <c r="P73">
        <v>4088.77</v>
      </c>
      <c r="Q73">
        <v>69509.09</v>
      </c>
      <c r="S73">
        <v>45167</v>
      </c>
      <c r="T73" t="str">
        <v>West</v>
      </c>
      <c r="U73" t="str">
        <v>Maharashtra</v>
      </c>
      <c r="V73" t="str">
        <v>Mumbai</v>
      </c>
      <c r="W73" t="str">
        <v>Stationery</v>
      </c>
      <c r="X73">
        <v>2</v>
      </c>
      <c r="Y73">
        <v>816.12</v>
      </c>
      <c r="Z73">
        <v>1632.24</v>
      </c>
    </row>
    <row r="74" spans="1:26">
      <c r="A74" s="19">
        <v>45154</v>
      </c>
      <c r="B74" t="s">
        <v>1231</v>
      </c>
      <c r="C74" t="s">
        <v>1232</v>
      </c>
      <c r="D74" t="s">
        <v>1233</v>
      </c>
      <c r="E74" t="s">
        <v>128</v>
      </c>
      <c r="F74" s="10">
        <v>12</v>
      </c>
      <c r="G74" s="10">
        <v>2557.5700000000002</v>
      </c>
      <c r="H74" s="10">
        <v>30690.84</v>
      </c>
      <c r="J74">
        <v>44943</v>
      </c>
      <c r="K74" t="str">
        <v>South</v>
      </c>
      <c r="L74" t="str">
        <v>Karnataka</v>
      </c>
      <c r="M74" t="str">
        <v>Bengaluru</v>
      </c>
      <c r="N74" t="str">
        <v>Clothing</v>
      </c>
      <c r="O74">
        <v>14</v>
      </c>
      <c r="P74">
        <v>4200.9799999999996</v>
      </c>
      <c r="Q74">
        <v>58813.72</v>
      </c>
    </row>
    <row r="75" spans="1:26">
      <c r="A75" s="19">
        <v>45279</v>
      </c>
      <c r="B75" t="s">
        <v>1229</v>
      </c>
      <c r="C75" t="s">
        <v>1237</v>
      </c>
      <c r="D75" t="s">
        <v>1171</v>
      </c>
      <c r="E75" t="s">
        <v>128</v>
      </c>
      <c r="F75" s="10">
        <v>20</v>
      </c>
      <c r="G75" s="10">
        <v>1507.52</v>
      </c>
      <c r="H75" s="10">
        <v>30150.400000000001</v>
      </c>
      <c r="J75">
        <v>45056</v>
      </c>
      <c r="K75" t="str">
        <v>South</v>
      </c>
      <c r="L75" t="str">
        <v>Karnataka</v>
      </c>
      <c r="M75" t="str">
        <v>Bengaluru</v>
      </c>
      <c r="N75" t="str">
        <v>Clothing</v>
      </c>
      <c r="O75">
        <v>15</v>
      </c>
      <c r="P75">
        <v>3611.2</v>
      </c>
      <c r="Q75">
        <v>54168</v>
      </c>
    </row>
    <row r="76" spans="1:26">
      <c r="A76" s="19">
        <v>44992</v>
      </c>
      <c r="B76" t="s">
        <v>1229</v>
      </c>
      <c r="C76" t="s">
        <v>1237</v>
      </c>
      <c r="D76" t="s">
        <v>1173</v>
      </c>
      <c r="E76" t="s">
        <v>128</v>
      </c>
      <c r="F76" s="10">
        <v>17</v>
      </c>
      <c r="G76" s="10">
        <v>1759.91</v>
      </c>
      <c r="H76" s="10">
        <v>29918.47</v>
      </c>
      <c r="J76">
        <v>45171</v>
      </c>
      <c r="K76" t="str">
        <v>South</v>
      </c>
      <c r="L76" t="str">
        <v>Karnataka</v>
      </c>
      <c r="M76" t="str">
        <v>Bengaluru</v>
      </c>
      <c r="N76" t="str">
        <v>Clothing</v>
      </c>
      <c r="O76">
        <v>11</v>
      </c>
      <c r="P76">
        <v>4758.46</v>
      </c>
      <c r="Q76">
        <v>52343.06</v>
      </c>
    </row>
    <row r="77" spans="1:26">
      <c r="A77" s="19">
        <v>45003</v>
      </c>
      <c r="B77" t="s">
        <v>1242</v>
      </c>
      <c r="C77" t="s">
        <v>1243</v>
      </c>
      <c r="D77" t="s">
        <v>1245</v>
      </c>
      <c r="E77" t="s">
        <v>128</v>
      </c>
      <c r="F77" s="10">
        <v>6</v>
      </c>
      <c r="G77" s="10">
        <v>4984.92</v>
      </c>
      <c r="H77" s="10">
        <v>29909.52</v>
      </c>
      <c r="J77">
        <v>44987</v>
      </c>
      <c r="K77" t="str">
        <v>South</v>
      </c>
      <c r="L77" t="str">
        <v>Karnataka</v>
      </c>
      <c r="M77" t="str">
        <v>Bengaluru</v>
      </c>
      <c r="N77" t="str">
        <v>Clothing</v>
      </c>
      <c r="O77">
        <v>17</v>
      </c>
      <c r="P77">
        <v>2924.72</v>
      </c>
      <c r="Q77">
        <v>49720.24</v>
      </c>
    </row>
    <row r="78" spans="1:26">
      <c r="A78" s="19">
        <v>45253</v>
      </c>
      <c r="B78" t="s">
        <v>1229</v>
      </c>
      <c r="C78" t="s">
        <v>1237</v>
      </c>
      <c r="D78" t="s">
        <v>1239</v>
      </c>
      <c r="E78" t="s">
        <v>128</v>
      </c>
      <c r="F78" s="10">
        <v>6</v>
      </c>
      <c r="G78" s="10">
        <v>4908.9799999999996</v>
      </c>
      <c r="H78" s="10">
        <v>29453.88</v>
      </c>
      <c r="J78">
        <v>45261</v>
      </c>
      <c r="K78" t="str">
        <v>South</v>
      </c>
      <c r="L78" t="str">
        <v>Karnataka</v>
      </c>
      <c r="M78" t="str">
        <v>Bengaluru</v>
      </c>
      <c r="N78" t="str">
        <v>Clothing</v>
      </c>
      <c r="O78">
        <v>10</v>
      </c>
      <c r="P78">
        <v>3950.06</v>
      </c>
      <c r="Q78">
        <v>39500.6</v>
      </c>
    </row>
    <row r="79" spans="1:26">
      <c r="A79" s="19">
        <v>45012</v>
      </c>
      <c r="B79" t="s">
        <v>1231</v>
      </c>
      <c r="C79" t="s">
        <v>1235</v>
      </c>
      <c r="D79" t="s">
        <v>1241</v>
      </c>
      <c r="E79" t="s">
        <v>128</v>
      </c>
      <c r="F79" s="10">
        <v>6</v>
      </c>
      <c r="G79" s="10">
        <v>4894.41</v>
      </c>
      <c r="H79" s="10">
        <v>29366.46</v>
      </c>
      <c r="J79">
        <v>45012</v>
      </c>
      <c r="K79" t="str">
        <v>South</v>
      </c>
      <c r="L79" t="str">
        <v>Karnataka</v>
      </c>
      <c r="M79" t="str">
        <v>Bengaluru</v>
      </c>
      <c r="N79" t="str">
        <v>Clothing</v>
      </c>
      <c r="O79">
        <v>6</v>
      </c>
      <c r="P79">
        <v>4894.41</v>
      </c>
      <c r="Q79">
        <v>29366.46</v>
      </c>
    </row>
    <row r="80" spans="1:26">
      <c r="A80" s="19">
        <v>45180</v>
      </c>
      <c r="B80" t="s">
        <v>1229</v>
      </c>
      <c r="C80" t="s">
        <v>1237</v>
      </c>
      <c r="D80" t="s">
        <v>1239</v>
      </c>
      <c r="E80" t="s">
        <v>128</v>
      </c>
      <c r="F80" s="10">
        <v>10</v>
      </c>
      <c r="G80" s="10">
        <v>2853.88</v>
      </c>
      <c r="H80" s="10">
        <v>28538.799999999999</v>
      </c>
      <c r="J80">
        <v>45138</v>
      </c>
      <c r="K80" t="str">
        <v>South</v>
      </c>
      <c r="L80" t="str">
        <v>Karnataka</v>
      </c>
      <c r="M80" t="str">
        <v>Bengaluru</v>
      </c>
      <c r="N80" t="str">
        <v>Clothing</v>
      </c>
      <c r="O80">
        <v>13</v>
      </c>
      <c r="P80">
        <v>968.18</v>
      </c>
      <c r="Q80">
        <v>12586.34</v>
      </c>
    </row>
    <row r="81" spans="1:17">
      <c r="A81" s="19">
        <v>45042</v>
      </c>
      <c r="B81" t="s">
        <v>1231</v>
      </c>
      <c r="C81" t="s">
        <v>1235</v>
      </c>
      <c r="D81" t="s">
        <v>1238</v>
      </c>
      <c r="E81" t="s">
        <v>128</v>
      </c>
      <c r="F81" s="10">
        <v>18</v>
      </c>
      <c r="G81" s="10">
        <v>1576.88</v>
      </c>
      <c r="H81" s="10">
        <v>28383.84</v>
      </c>
      <c r="J81">
        <v>44989</v>
      </c>
      <c r="K81" t="str">
        <v>South</v>
      </c>
      <c r="L81" t="str">
        <v>Karnataka</v>
      </c>
      <c r="M81" t="str">
        <v>Bengaluru</v>
      </c>
      <c r="N81" t="str">
        <v>Clothing</v>
      </c>
      <c r="O81">
        <v>19</v>
      </c>
      <c r="P81">
        <v>636.20000000000005</v>
      </c>
      <c r="Q81">
        <v>12087.8</v>
      </c>
    </row>
    <row r="82" spans="1:17">
      <c r="A82" s="19">
        <v>44977</v>
      </c>
      <c r="B82" t="s">
        <v>1229</v>
      </c>
      <c r="C82" t="s">
        <v>1237</v>
      </c>
      <c r="D82" t="s">
        <v>1239</v>
      </c>
      <c r="E82" t="s">
        <v>128</v>
      </c>
      <c r="F82" s="10">
        <v>7</v>
      </c>
      <c r="G82" s="10">
        <v>4046.34</v>
      </c>
      <c r="H82" s="10">
        <v>28324.38</v>
      </c>
      <c r="J82">
        <v>44986</v>
      </c>
      <c r="K82" t="str">
        <v>South</v>
      </c>
      <c r="L82" t="str">
        <v>Karnataka</v>
      </c>
      <c r="M82" t="str">
        <v>Bengaluru</v>
      </c>
      <c r="N82" t="str">
        <v>Clothing</v>
      </c>
      <c r="O82">
        <v>20</v>
      </c>
      <c r="P82">
        <v>490.36</v>
      </c>
      <c r="Q82">
        <v>9807.2000000000007</v>
      </c>
    </row>
    <row r="83" spans="1:17">
      <c r="A83" s="19">
        <v>45148</v>
      </c>
      <c r="B83" t="s">
        <v>1242</v>
      </c>
      <c r="C83" t="s">
        <v>1243</v>
      </c>
      <c r="D83" t="s">
        <v>1244</v>
      </c>
      <c r="E83" t="s">
        <v>128</v>
      </c>
      <c r="F83" s="10">
        <v>17</v>
      </c>
      <c r="G83" s="10">
        <v>1645.97</v>
      </c>
      <c r="H83" s="10">
        <v>27981.49</v>
      </c>
      <c r="J83">
        <v>45055</v>
      </c>
      <c r="K83" t="str">
        <v>South</v>
      </c>
      <c r="L83" t="str">
        <v>Karnataka</v>
      </c>
      <c r="M83" t="str">
        <v>Bengaluru</v>
      </c>
      <c r="N83" t="str">
        <v>Clothing</v>
      </c>
      <c r="O83">
        <v>16</v>
      </c>
      <c r="P83">
        <v>502.59</v>
      </c>
      <c r="Q83">
        <v>8041.44</v>
      </c>
    </row>
    <row r="84" spans="1:17">
      <c r="A84" s="19">
        <v>45290</v>
      </c>
      <c r="B84" t="s">
        <v>1229</v>
      </c>
      <c r="C84" t="s">
        <v>1237</v>
      </c>
      <c r="D84" t="s">
        <v>1171</v>
      </c>
      <c r="E84" t="s">
        <v>128</v>
      </c>
      <c r="F84" s="10">
        <v>18</v>
      </c>
      <c r="G84" s="10">
        <v>1533.77</v>
      </c>
      <c r="H84" s="10">
        <v>27607.86</v>
      </c>
      <c r="J84">
        <v>45003</v>
      </c>
      <c r="K84" t="str">
        <v>South</v>
      </c>
      <c r="L84" t="str">
        <v>Karnataka</v>
      </c>
      <c r="M84" t="str">
        <v>Bengaluru</v>
      </c>
      <c r="N84" t="str">
        <v>Clothing</v>
      </c>
      <c r="O84">
        <v>12</v>
      </c>
      <c r="P84">
        <v>596.13</v>
      </c>
      <c r="Q84">
        <v>7153.56</v>
      </c>
    </row>
    <row r="85" spans="1:17">
      <c r="A85" s="19">
        <v>45047</v>
      </c>
      <c r="B85" t="s">
        <v>1229</v>
      </c>
      <c r="C85" t="s">
        <v>1237</v>
      </c>
      <c r="D85" t="s">
        <v>1173</v>
      </c>
      <c r="E85" t="s">
        <v>128</v>
      </c>
      <c r="F85" s="10">
        <v>7</v>
      </c>
      <c r="G85" s="10">
        <v>3931.73</v>
      </c>
      <c r="H85" s="10">
        <v>27522.11</v>
      </c>
      <c r="J85">
        <v>45260</v>
      </c>
      <c r="K85" t="str">
        <v>South</v>
      </c>
      <c r="L85" t="str">
        <v>Karnataka</v>
      </c>
      <c r="M85" t="str">
        <v>Bengaluru</v>
      </c>
      <c r="N85" t="str">
        <v>Clothing</v>
      </c>
      <c r="O85">
        <v>2</v>
      </c>
      <c r="P85">
        <v>2087.14</v>
      </c>
      <c r="Q85">
        <v>4174.28</v>
      </c>
    </row>
    <row r="86" spans="1:17">
      <c r="A86" s="19">
        <v>44929</v>
      </c>
      <c r="B86" t="s">
        <v>1229</v>
      </c>
      <c r="C86" t="s">
        <v>1230</v>
      </c>
      <c r="D86" t="s">
        <v>1246</v>
      </c>
      <c r="E86" t="s">
        <v>128</v>
      </c>
      <c r="F86" s="10">
        <v>12</v>
      </c>
      <c r="G86" s="10">
        <v>2232.4899999999998</v>
      </c>
      <c r="H86" s="10">
        <v>26789.88</v>
      </c>
      <c r="J86">
        <v>45038</v>
      </c>
      <c r="K86" t="str">
        <v>South</v>
      </c>
      <c r="L86" t="str">
        <v>Karnataka</v>
      </c>
      <c r="M86" t="str">
        <v>Bengaluru</v>
      </c>
      <c r="N86" t="str">
        <v>Clothing</v>
      </c>
      <c r="O86">
        <v>1</v>
      </c>
      <c r="P86">
        <v>3964.08</v>
      </c>
      <c r="Q86">
        <v>3964.08</v>
      </c>
    </row>
    <row r="87" spans="1:17">
      <c r="A87" s="19">
        <v>45047</v>
      </c>
      <c r="B87" t="s">
        <v>1231</v>
      </c>
      <c r="C87" t="s">
        <v>1235</v>
      </c>
      <c r="D87" t="s">
        <v>1238</v>
      </c>
      <c r="E87" t="s">
        <v>128</v>
      </c>
      <c r="F87" s="10">
        <v>15</v>
      </c>
      <c r="G87" s="10">
        <v>1712.05</v>
      </c>
      <c r="H87" s="10">
        <v>25680.75</v>
      </c>
      <c r="J87">
        <v>45166</v>
      </c>
      <c r="K87" t="str">
        <v>South</v>
      </c>
      <c r="L87" t="str">
        <v>Karnataka</v>
      </c>
      <c r="M87" t="str">
        <v>Bengaluru</v>
      </c>
      <c r="N87" t="str">
        <v>Clothing</v>
      </c>
      <c r="O87">
        <v>2</v>
      </c>
      <c r="P87">
        <v>1827.28</v>
      </c>
      <c r="Q87">
        <v>3654.56</v>
      </c>
    </row>
    <row r="88" spans="1:17">
      <c r="A88" s="19">
        <v>45289</v>
      </c>
      <c r="B88" t="s">
        <v>1231</v>
      </c>
      <c r="C88" t="s">
        <v>1235</v>
      </c>
      <c r="D88" t="s">
        <v>1238</v>
      </c>
      <c r="E88" t="s">
        <v>128</v>
      </c>
      <c r="F88" s="10">
        <v>13</v>
      </c>
      <c r="G88" s="10">
        <v>1929.55</v>
      </c>
      <c r="H88" s="10">
        <v>25084.15</v>
      </c>
      <c r="J88">
        <v>45155</v>
      </c>
      <c r="K88" t="str">
        <v>South</v>
      </c>
      <c r="L88" t="str">
        <v>Karnataka</v>
      </c>
      <c r="M88" t="str">
        <v>Bengaluru</v>
      </c>
      <c r="N88" t="str">
        <v>Clothing</v>
      </c>
      <c r="O88">
        <v>8</v>
      </c>
      <c r="P88">
        <v>244.6</v>
      </c>
      <c r="Q88">
        <v>1956.8</v>
      </c>
    </row>
    <row r="89" spans="1:17">
      <c r="A89" s="19">
        <v>45226</v>
      </c>
      <c r="B89" t="s">
        <v>1242</v>
      </c>
      <c r="C89" t="s">
        <v>1243</v>
      </c>
      <c r="D89" t="s">
        <v>1245</v>
      </c>
      <c r="E89" t="s">
        <v>128</v>
      </c>
      <c r="F89" s="10">
        <v>5</v>
      </c>
      <c r="G89" s="10">
        <v>4993.87</v>
      </c>
      <c r="H89" s="10">
        <v>24969.35</v>
      </c>
      <c r="J89">
        <v>45080</v>
      </c>
      <c r="K89" t="str">
        <v>South</v>
      </c>
      <c r="L89" t="str">
        <v>Karnataka</v>
      </c>
      <c r="M89" t="str">
        <v>Bengaluru</v>
      </c>
      <c r="N89" t="str">
        <v>Clothing</v>
      </c>
      <c r="O89">
        <v>9</v>
      </c>
      <c r="P89">
        <v>203.38</v>
      </c>
      <c r="Q89">
        <v>1830.42</v>
      </c>
    </row>
    <row r="90" spans="1:17">
      <c r="A90" s="19">
        <v>45257</v>
      </c>
      <c r="B90" t="s">
        <v>1231</v>
      </c>
      <c r="C90" t="s">
        <v>1235</v>
      </c>
      <c r="D90" t="s">
        <v>1236</v>
      </c>
      <c r="E90" t="s">
        <v>128</v>
      </c>
      <c r="F90" s="10">
        <v>8</v>
      </c>
      <c r="G90" s="10">
        <v>3120.6</v>
      </c>
      <c r="H90" s="10">
        <v>24964.799999999999</v>
      </c>
      <c r="J90">
        <v>45223</v>
      </c>
      <c r="K90" t="str">
        <v>South</v>
      </c>
      <c r="L90" t="str">
        <v>Karnataka</v>
      </c>
      <c r="M90" t="str">
        <v>Bengaluru</v>
      </c>
      <c r="N90" t="str">
        <v>Clothing</v>
      </c>
      <c r="O90">
        <v>3</v>
      </c>
      <c r="P90">
        <v>468.7</v>
      </c>
      <c r="Q90">
        <v>1406.1</v>
      </c>
    </row>
    <row r="91" spans="1:17">
      <c r="A91" s="19">
        <v>45208</v>
      </c>
      <c r="B91" t="s">
        <v>1231</v>
      </c>
      <c r="C91" t="s">
        <v>1235</v>
      </c>
      <c r="D91" t="s">
        <v>1238</v>
      </c>
      <c r="E91" t="s">
        <v>128</v>
      </c>
      <c r="F91" s="10">
        <v>9</v>
      </c>
      <c r="G91" s="10">
        <v>2770.27</v>
      </c>
      <c r="H91" s="10">
        <v>24932.43</v>
      </c>
      <c r="J91">
        <v>45052</v>
      </c>
      <c r="K91" t="str">
        <v>South</v>
      </c>
      <c r="L91" t="str">
        <v>Karnataka</v>
      </c>
      <c r="M91" t="str">
        <v>Bengaluru</v>
      </c>
      <c r="N91" t="str">
        <v>Clothing</v>
      </c>
      <c r="O91">
        <v>1</v>
      </c>
      <c r="P91">
        <v>1219.0999999999999</v>
      </c>
      <c r="Q91">
        <v>1219.0999999999999</v>
      </c>
    </row>
    <row r="92" spans="1:17">
      <c r="A92" s="19">
        <v>45149</v>
      </c>
      <c r="B92" t="s">
        <v>1231</v>
      </c>
      <c r="C92" t="s">
        <v>1232</v>
      </c>
      <c r="D92" t="s">
        <v>1240</v>
      </c>
      <c r="E92" t="s">
        <v>128</v>
      </c>
      <c r="F92" s="10">
        <v>19</v>
      </c>
      <c r="G92" s="10">
        <v>1309.6500000000001</v>
      </c>
      <c r="H92" s="10">
        <v>24883.35</v>
      </c>
      <c r="J92">
        <v>45127</v>
      </c>
      <c r="K92" t="str">
        <v>South</v>
      </c>
      <c r="L92" t="str">
        <v>Karnataka</v>
      </c>
      <c r="M92" t="str">
        <v>Bengaluru</v>
      </c>
      <c r="N92" t="str">
        <v>Electronics</v>
      </c>
      <c r="O92">
        <v>14</v>
      </c>
      <c r="P92">
        <v>4894.84</v>
      </c>
      <c r="Q92">
        <v>68527.759999999995</v>
      </c>
    </row>
    <row r="93" spans="1:17">
      <c r="A93" s="19">
        <v>45112</v>
      </c>
      <c r="B93" t="s">
        <v>1231</v>
      </c>
      <c r="C93" t="s">
        <v>1232</v>
      </c>
      <c r="D93" t="s">
        <v>1234</v>
      </c>
      <c r="E93" t="s">
        <v>128</v>
      </c>
      <c r="F93" s="10">
        <v>14</v>
      </c>
      <c r="G93" s="10">
        <v>1770.36</v>
      </c>
      <c r="H93" s="10">
        <v>24785.040000000001</v>
      </c>
      <c r="J93">
        <v>45222</v>
      </c>
      <c r="K93" t="str">
        <v>South</v>
      </c>
      <c r="L93" t="str">
        <v>Karnataka</v>
      </c>
      <c r="M93" t="str">
        <v>Bengaluru</v>
      </c>
      <c r="N93" t="str">
        <v>Electronics</v>
      </c>
      <c r="O93">
        <v>19</v>
      </c>
      <c r="P93">
        <v>2900.31</v>
      </c>
      <c r="Q93">
        <v>55105.89</v>
      </c>
    </row>
    <row r="94" spans="1:17">
      <c r="A94" s="19">
        <v>45134</v>
      </c>
      <c r="B94" t="s">
        <v>1242</v>
      </c>
      <c r="C94" t="s">
        <v>1243</v>
      </c>
      <c r="D94" t="s">
        <v>1245</v>
      </c>
      <c r="E94" t="s">
        <v>128</v>
      </c>
      <c r="F94" s="10">
        <v>6</v>
      </c>
      <c r="G94" s="10">
        <v>4100.9799999999996</v>
      </c>
      <c r="H94" s="10">
        <v>24605.88</v>
      </c>
      <c r="J94">
        <v>45029</v>
      </c>
      <c r="K94" t="str">
        <v>South</v>
      </c>
      <c r="L94" t="str">
        <v>Karnataka</v>
      </c>
      <c r="M94" t="str">
        <v>Bengaluru</v>
      </c>
      <c r="N94" t="str">
        <v>Electronics</v>
      </c>
      <c r="O94">
        <v>8</v>
      </c>
      <c r="P94">
        <v>4402.3599999999997</v>
      </c>
      <c r="Q94">
        <v>35218.879999999997</v>
      </c>
    </row>
    <row r="95" spans="1:17">
      <c r="A95" s="19">
        <v>44996</v>
      </c>
      <c r="B95" t="s">
        <v>1229</v>
      </c>
      <c r="C95" t="s">
        <v>1237</v>
      </c>
      <c r="D95" t="s">
        <v>1171</v>
      </c>
      <c r="E95" t="s">
        <v>128</v>
      </c>
      <c r="F95" s="10">
        <v>20</v>
      </c>
      <c r="G95" s="10">
        <v>1222.92</v>
      </c>
      <c r="H95" s="10">
        <v>24458.400000000001</v>
      </c>
      <c r="J95">
        <v>45206</v>
      </c>
      <c r="K95" t="str">
        <v>South</v>
      </c>
      <c r="L95" t="str">
        <v>Karnataka</v>
      </c>
      <c r="M95" t="str">
        <v>Bengaluru</v>
      </c>
      <c r="N95" t="str">
        <v>Electronics</v>
      </c>
      <c r="O95">
        <v>13</v>
      </c>
      <c r="P95">
        <v>2238.96</v>
      </c>
      <c r="Q95">
        <v>29106.48</v>
      </c>
    </row>
    <row r="96" spans="1:17">
      <c r="A96" s="19">
        <v>45228</v>
      </c>
      <c r="B96" t="s">
        <v>1242</v>
      </c>
      <c r="C96" t="s">
        <v>1243</v>
      </c>
      <c r="D96" t="s">
        <v>1247</v>
      </c>
      <c r="E96" t="s">
        <v>128</v>
      </c>
      <c r="F96" s="10">
        <v>7</v>
      </c>
      <c r="G96" s="10">
        <v>3415.15</v>
      </c>
      <c r="H96" s="10">
        <v>23906.05</v>
      </c>
      <c r="J96">
        <v>44960</v>
      </c>
      <c r="K96" t="str">
        <v>South</v>
      </c>
      <c r="L96" t="str">
        <v>Karnataka</v>
      </c>
      <c r="M96" t="str">
        <v>Bengaluru</v>
      </c>
      <c r="N96" t="str">
        <v>Electronics</v>
      </c>
      <c r="O96">
        <v>7</v>
      </c>
      <c r="P96">
        <v>1164.5999999999999</v>
      </c>
      <c r="Q96">
        <v>8152.2</v>
      </c>
    </row>
    <row r="97" spans="1:17">
      <c r="A97" s="19">
        <v>45273</v>
      </c>
      <c r="B97" t="s">
        <v>1229</v>
      </c>
      <c r="C97" t="s">
        <v>1237</v>
      </c>
      <c r="D97" t="s">
        <v>1171</v>
      </c>
      <c r="E97" t="s">
        <v>128</v>
      </c>
      <c r="F97" s="10">
        <v>11</v>
      </c>
      <c r="G97" s="10">
        <v>2097.48</v>
      </c>
      <c r="H97" s="10">
        <v>23072.28</v>
      </c>
      <c r="J97">
        <v>45268</v>
      </c>
      <c r="K97" t="str">
        <v>South</v>
      </c>
      <c r="L97" t="str">
        <v>Karnataka</v>
      </c>
      <c r="M97" t="str">
        <v>Bengaluru</v>
      </c>
      <c r="N97" t="str">
        <v>Electronics</v>
      </c>
      <c r="O97">
        <v>5</v>
      </c>
      <c r="P97">
        <v>1372.78</v>
      </c>
      <c r="Q97">
        <v>6863.9</v>
      </c>
    </row>
    <row r="98" spans="1:17">
      <c r="A98" s="19">
        <v>45214</v>
      </c>
      <c r="B98" t="s">
        <v>1229</v>
      </c>
      <c r="C98" t="s">
        <v>1237</v>
      </c>
      <c r="D98" t="s">
        <v>1173</v>
      </c>
      <c r="E98" t="s">
        <v>128</v>
      </c>
      <c r="F98" s="10">
        <v>17</v>
      </c>
      <c r="G98" s="10">
        <v>1307.24</v>
      </c>
      <c r="H98" s="10">
        <v>22223.08</v>
      </c>
      <c r="J98">
        <v>45159</v>
      </c>
      <c r="K98" t="str">
        <v>South</v>
      </c>
      <c r="L98" t="str">
        <v>Karnataka</v>
      </c>
      <c r="M98" t="str">
        <v>Bengaluru</v>
      </c>
      <c r="N98" t="str">
        <v>Electronics</v>
      </c>
      <c r="O98">
        <v>9</v>
      </c>
      <c r="P98">
        <v>515.97</v>
      </c>
      <c r="Q98">
        <v>4643.7299999999996</v>
      </c>
    </row>
    <row r="99" spans="1:17">
      <c r="A99" s="19">
        <v>45083</v>
      </c>
      <c r="B99" t="s">
        <v>1231</v>
      </c>
      <c r="C99" t="s">
        <v>1235</v>
      </c>
      <c r="D99" t="s">
        <v>1236</v>
      </c>
      <c r="E99" t="s">
        <v>128</v>
      </c>
      <c r="F99" s="10">
        <v>9</v>
      </c>
      <c r="G99" s="10">
        <v>2438.9899999999998</v>
      </c>
      <c r="H99" s="10">
        <v>21950.91</v>
      </c>
      <c r="J99">
        <v>45230</v>
      </c>
      <c r="K99" t="str">
        <v>South</v>
      </c>
      <c r="L99" t="str">
        <v>Karnataka</v>
      </c>
      <c r="M99" t="str">
        <v>Bengaluru</v>
      </c>
      <c r="N99" t="str">
        <v>Electronics</v>
      </c>
      <c r="O99">
        <v>2</v>
      </c>
      <c r="P99">
        <v>2287.09</v>
      </c>
      <c r="Q99">
        <v>4574.18</v>
      </c>
    </row>
    <row r="100" spans="1:17">
      <c r="A100" s="19">
        <v>44941</v>
      </c>
      <c r="B100" t="s">
        <v>1231</v>
      </c>
      <c r="C100" t="s">
        <v>1235</v>
      </c>
      <c r="D100" t="s">
        <v>1238</v>
      </c>
      <c r="E100" t="s">
        <v>128</v>
      </c>
      <c r="F100" s="10">
        <v>7</v>
      </c>
      <c r="G100" s="10">
        <v>3070.09</v>
      </c>
      <c r="H100" s="10">
        <v>21490.63</v>
      </c>
      <c r="J100">
        <v>44985</v>
      </c>
      <c r="K100" t="str">
        <v>South</v>
      </c>
      <c r="L100" t="str">
        <v>Karnataka</v>
      </c>
      <c r="M100" t="str">
        <v>Bengaluru</v>
      </c>
      <c r="N100" t="str">
        <v>Electronics</v>
      </c>
      <c r="O100">
        <v>8</v>
      </c>
      <c r="P100">
        <v>372.22</v>
      </c>
      <c r="Q100">
        <v>2977.76</v>
      </c>
    </row>
    <row r="101" spans="1:17">
      <c r="A101" s="19">
        <v>45186</v>
      </c>
      <c r="B101" t="s">
        <v>1242</v>
      </c>
      <c r="C101" t="s">
        <v>1243</v>
      </c>
      <c r="D101" t="s">
        <v>1245</v>
      </c>
      <c r="E101" t="s">
        <v>128</v>
      </c>
      <c r="F101" s="10">
        <v>7</v>
      </c>
      <c r="G101" s="10">
        <v>3063.53</v>
      </c>
      <c r="H101" s="10">
        <v>21444.71</v>
      </c>
      <c r="J101">
        <v>45104</v>
      </c>
      <c r="K101" t="str">
        <v>South</v>
      </c>
      <c r="L101" t="str">
        <v>Karnataka</v>
      </c>
      <c r="M101" t="str">
        <v>Bengaluru</v>
      </c>
      <c r="N101" t="str">
        <v>Electronics</v>
      </c>
      <c r="O101">
        <v>3</v>
      </c>
      <c r="P101">
        <v>772.21</v>
      </c>
      <c r="Q101">
        <v>2316.63</v>
      </c>
    </row>
    <row r="102" spans="1:17">
      <c r="A102" s="19">
        <v>45133</v>
      </c>
      <c r="B102" t="s">
        <v>1231</v>
      </c>
      <c r="C102" t="s">
        <v>1232</v>
      </c>
      <c r="D102" t="s">
        <v>1234</v>
      </c>
      <c r="E102" t="s">
        <v>128</v>
      </c>
      <c r="F102" s="10">
        <v>5</v>
      </c>
      <c r="G102" s="10">
        <v>4281.1499999999996</v>
      </c>
      <c r="H102" s="10">
        <v>21405.75</v>
      </c>
      <c r="J102">
        <v>45167</v>
      </c>
      <c r="K102" t="str">
        <v>South</v>
      </c>
      <c r="L102" t="str">
        <v>Karnataka</v>
      </c>
      <c r="M102" t="str">
        <v>Bengaluru</v>
      </c>
      <c r="N102" t="str">
        <v>Furniture</v>
      </c>
      <c r="O102">
        <v>13</v>
      </c>
      <c r="P102">
        <v>4650.74</v>
      </c>
      <c r="Q102">
        <v>60459.62</v>
      </c>
    </row>
    <row r="103" spans="1:17">
      <c r="A103" s="19">
        <v>45152</v>
      </c>
      <c r="B103" t="s">
        <v>1242</v>
      </c>
      <c r="C103" t="s">
        <v>1243</v>
      </c>
      <c r="D103" t="s">
        <v>1244</v>
      </c>
      <c r="E103" t="s">
        <v>128</v>
      </c>
      <c r="F103" s="10">
        <v>8</v>
      </c>
      <c r="G103" s="10">
        <v>2628.31</v>
      </c>
      <c r="H103" s="10">
        <v>21026.48</v>
      </c>
      <c r="J103">
        <v>45134</v>
      </c>
      <c r="K103" t="str">
        <v>South</v>
      </c>
      <c r="L103" t="str">
        <v>Karnataka</v>
      </c>
      <c r="M103" t="str">
        <v>Bengaluru</v>
      </c>
      <c r="N103" t="str">
        <v>Furniture</v>
      </c>
      <c r="O103">
        <v>19</v>
      </c>
      <c r="P103">
        <v>2848.96</v>
      </c>
      <c r="Q103">
        <v>54130.239999999998</v>
      </c>
    </row>
    <row r="104" spans="1:17">
      <c r="A104" s="19">
        <v>44987</v>
      </c>
      <c r="B104" t="s">
        <v>1229</v>
      </c>
      <c r="C104" t="s">
        <v>1230</v>
      </c>
      <c r="D104" t="s">
        <v>1248</v>
      </c>
      <c r="E104" t="s">
        <v>128</v>
      </c>
      <c r="F104" s="10">
        <v>18</v>
      </c>
      <c r="G104" s="10">
        <v>1164.29</v>
      </c>
      <c r="H104" s="10">
        <v>20957.22</v>
      </c>
      <c r="J104">
        <v>45258</v>
      </c>
      <c r="K104" t="str">
        <v>South</v>
      </c>
      <c r="L104" t="str">
        <v>Karnataka</v>
      </c>
      <c r="M104" t="str">
        <v>Bengaluru</v>
      </c>
      <c r="N104" t="str">
        <v>Furniture</v>
      </c>
      <c r="O104">
        <v>16</v>
      </c>
      <c r="P104">
        <v>2573.33</v>
      </c>
      <c r="Q104">
        <v>41173.279999999999</v>
      </c>
    </row>
    <row r="105" spans="1:17">
      <c r="A105" s="19">
        <v>45025</v>
      </c>
      <c r="B105" t="s">
        <v>1229</v>
      </c>
      <c r="C105" t="s">
        <v>1230</v>
      </c>
      <c r="D105" t="s">
        <v>1246</v>
      </c>
      <c r="E105" t="s">
        <v>128</v>
      </c>
      <c r="F105" s="10">
        <v>5</v>
      </c>
      <c r="G105" s="10">
        <v>4182.07</v>
      </c>
      <c r="H105" s="10">
        <v>20910.349999999999</v>
      </c>
      <c r="J105">
        <v>45210</v>
      </c>
      <c r="K105" t="str">
        <v>South</v>
      </c>
      <c r="L105" t="str">
        <v>Karnataka</v>
      </c>
      <c r="M105" t="str">
        <v>Bengaluru</v>
      </c>
      <c r="N105" t="str">
        <v>Furniture</v>
      </c>
      <c r="O105">
        <v>9</v>
      </c>
      <c r="P105">
        <v>3193.9</v>
      </c>
      <c r="Q105">
        <v>28745.1</v>
      </c>
    </row>
    <row r="106" spans="1:17">
      <c r="A106" s="19">
        <v>45185</v>
      </c>
      <c r="B106" t="s">
        <v>1231</v>
      </c>
      <c r="C106" t="s">
        <v>1232</v>
      </c>
      <c r="D106" t="s">
        <v>1234</v>
      </c>
      <c r="E106" t="s">
        <v>128</v>
      </c>
      <c r="F106" s="10">
        <v>4</v>
      </c>
      <c r="G106" s="10">
        <v>4961.01</v>
      </c>
      <c r="H106" s="10">
        <v>19844.04</v>
      </c>
      <c r="J106">
        <v>45225</v>
      </c>
      <c r="K106" t="str">
        <v>South</v>
      </c>
      <c r="L106" t="str">
        <v>Karnataka</v>
      </c>
      <c r="M106" t="str">
        <v>Bengaluru</v>
      </c>
      <c r="N106" t="str">
        <v>Furniture</v>
      </c>
      <c r="O106">
        <v>18</v>
      </c>
      <c r="P106">
        <v>1132.04</v>
      </c>
      <c r="Q106">
        <v>20376.72</v>
      </c>
    </row>
    <row r="107" spans="1:17">
      <c r="A107" s="19">
        <v>45182</v>
      </c>
      <c r="B107" t="s">
        <v>1229</v>
      </c>
      <c r="C107" t="s">
        <v>1237</v>
      </c>
      <c r="D107" t="s">
        <v>1239</v>
      </c>
      <c r="E107" t="s">
        <v>128</v>
      </c>
      <c r="F107" s="10">
        <v>6</v>
      </c>
      <c r="G107" s="10">
        <v>3279.45</v>
      </c>
      <c r="H107" s="10">
        <v>19676.7</v>
      </c>
      <c r="J107">
        <v>45124</v>
      </c>
      <c r="K107" t="str">
        <v>South</v>
      </c>
      <c r="L107" t="str">
        <v>Karnataka</v>
      </c>
      <c r="M107" t="str">
        <v>Bengaluru</v>
      </c>
      <c r="N107" t="str">
        <v>Furniture</v>
      </c>
      <c r="O107">
        <v>16</v>
      </c>
      <c r="P107">
        <v>971.39</v>
      </c>
      <c r="Q107">
        <v>15542.24</v>
      </c>
    </row>
    <row r="108" spans="1:17">
      <c r="A108" s="19">
        <v>44982</v>
      </c>
      <c r="B108" t="s">
        <v>1229</v>
      </c>
      <c r="C108" t="s">
        <v>1237</v>
      </c>
      <c r="D108" t="s">
        <v>1171</v>
      </c>
      <c r="E108" t="s">
        <v>128</v>
      </c>
      <c r="F108" s="10">
        <v>5</v>
      </c>
      <c r="G108" s="10">
        <v>3926.26</v>
      </c>
      <c r="H108" s="10">
        <v>19631.3</v>
      </c>
      <c r="J108">
        <v>45142</v>
      </c>
      <c r="K108" t="str">
        <v>South</v>
      </c>
      <c r="L108" t="str">
        <v>Karnataka</v>
      </c>
      <c r="M108" t="str">
        <v>Bengaluru</v>
      </c>
      <c r="N108" t="str">
        <v>Furniture</v>
      </c>
      <c r="O108">
        <v>3</v>
      </c>
      <c r="P108">
        <v>4876.51</v>
      </c>
      <c r="Q108">
        <v>14629.53</v>
      </c>
    </row>
    <row r="109" spans="1:17">
      <c r="A109" s="19">
        <v>45095</v>
      </c>
      <c r="B109" t="s">
        <v>1229</v>
      </c>
      <c r="C109" t="s">
        <v>1230</v>
      </c>
      <c r="D109" t="s">
        <v>1246</v>
      </c>
      <c r="E109" t="s">
        <v>128</v>
      </c>
      <c r="F109" s="10">
        <v>5</v>
      </c>
      <c r="G109" s="10">
        <v>3860.73</v>
      </c>
      <c r="H109" s="10">
        <v>19303.650000000001</v>
      </c>
      <c r="J109">
        <v>45107</v>
      </c>
      <c r="K109" t="str">
        <v>South</v>
      </c>
      <c r="L109" t="str">
        <v>Karnataka</v>
      </c>
      <c r="M109" t="str">
        <v>Bengaluru</v>
      </c>
      <c r="N109" t="str">
        <v>Furniture</v>
      </c>
      <c r="O109">
        <v>20</v>
      </c>
      <c r="P109">
        <v>603.49</v>
      </c>
      <c r="Q109">
        <v>12069.8</v>
      </c>
    </row>
    <row r="110" spans="1:17">
      <c r="A110" s="19">
        <v>45245</v>
      </c>
      <c r="B110" t="s">
        <v>1242</v>
      </c>
      <c r="C110" t="s">
        <v>1243</v>
      </c>
      <c r="D110" t="s">
        <v>1247</v>
      </c>
      <c r="E110" t="s">
        <v>128</v>
      </c>
      <c r="F110" s="10">
        <v>6</v>
      </c>
      <c r="G110" s="10">
        <v>3175.44</v>
      </c>
      <c r="H110" s="10">
        <v>19052.64</v>
      </c>
      <c r="J110">
        <v>44931</v>
      </c>
      <c r="K110" t="str">
        <v>South</v>
      </c>
      <c r="L110" t="str">
        <v>Karnataka</v>
      </c>
      <c r="M110" t="str">
        <v>Bengaluru</v>
      </c>
      <c r="N110" t="str">
        <v>Furniture</v>
      </c>
      <c r="O110">
        <v>13</v>
      </c>
      <c r="P110">
        <v>914.82</v>
      </c>
      <c r="Q110">
        <v>11892.66</v>
      </c>
    </row>
    <row r="111" spans="1:17">
      <c r="A111" s="19">
        <v>45026</v>
      </c>
      <c r="B111" t="s">
        <v>1231</v>
      </c>
      <c r="C111" t="s">
        <v>1232</v>
      </c>
      <c r="D111" t="s">
        <v>1234</v>
      </c>
      <c r="E111" t="s">
        <v>128</v>
      </c>
      <c r="F111" s="10">
        <v>5</v>
      </c>
      <c r="G111" s="10">
        <v>3786.28</v>
      </c>
      <c r="H111" s="10">
        <v>18931.400000000001</v>
      </c>
      <c r="J111">
        <v>45135</v>
      </c>
      <c r="K111" t="str">
        <v>South</v>
      </c>
      <c r="L111" t="str">
        <v>Karnataka</v>
      </c>
      <c r="M111" t="str">
        <v>Bengaluru</v>
      </c>
      <c r="N111" t="str">
        <v>Furniture</v>
      </c>
      <c r="O111">
        <v>6</v>
      </c>
      <c r="P111">
        <v>1872.18</v>
      </c>
      <c r="Q111">
        <v>11233.08</v>
      </c>
    </row>
    <row r="112" spans="1:17">
      <c r="A112" s="19">
        <v>45195</v>
      </c>
      <c r="B112" t="s">
        <v>1229</v>
      </c>
      <c r="C112" t="s">
        <v>1230</v>
      </c>
      <c r="D112" t="s">
        <v>1246</v>
      </c>
      <c r="E112" t="s">
        <v>128</v>
      </c>
      <c r="F112" s="10">
        <v>4</v>
      </c>
      <c r="G112" s="10">
        <v>4697.07</v>
      </c>
      <c r="H112" s="10">
        <v>18788.28</v>
      </c>
      <c r="J112">
        <v>45075</v>
      </c>
      <c r="K112" t="str">
        <v>South</v>
      </c>
      <c r="L112" t="str">
        <v>Karnataka</v>
      </c>
      <c r="M112" t="str">
        <v>Bengaluru</v>
      </c>
      <c r="N112" t="str">
        <v>Furniture</v>
      </c>
      <c r="O112">
        <v>4</v>
      </c>
      <c r="P112">
        <v>1993.97</v>
      </c>
      <c r="Q112">
        <v>7975.88</v>
      </c>
    </row>
    <row r="113" spans="1:17">
      <c r="A113" s="19">
        <v>45010</v>
      </c>
      <c r="B113" t="s">
        <v>1242</v>
      </c>
      <c r="C113" t="s">
        <v>1243</v>
      </c>
      <c r="D113" t="s">
        <v>1244</v>
      </c>
      <c r="E113" t="s">
        <v>128</v>
      </c>
      <c r="F113" s="10">
        <v>6</v>
      </c>
      <c r="G113" s="10">
        <v>3125.31</v>
      </c>
      <c r="H113" s="10">
        <v>18751.86</v>
      </c>
      <c r="J113">
        <v>45281</v>
      </c>
      <c r="K113" t="str">
        <v>South</v>
      </c>
      <c r="L113" t="str">
        <v>Karnataka</v>
      </c>
      <c r="M113" t="str">
        <v>Bengaluru</v>
      </c>
      <c r="N113" t="str">
        <v>Furniture</v>
      </c>
      <c r="O113">
        <v>4</v>
      </c>
      <c r="P113">
        <v>722.05</v>
      </c>
      <c r="Q113">
        <v>2888.2</v>
      </c>
    </row>
    <row r="114" spans="1:17">
      <c r="A114" s="19">
        <v>45081</v>
      </c>
      <c r="B114" t="s">
        <v>1231</v>
      </c>
      <c r="C114" t="s">
        <v>1232</v>
      </c>
      <c r="D114" t="s">
        <v>1240</v>
      </c>
      <c r="E114" t="s">
        <v>128</v>
      </c>
      <c r="F114" s="10">
        <v>11</v>
      </c>
      <c r="G114" s="10">
        <v>1703.12</v>
      </c>
      <c r="H114" s="10">
        <v>18734.32</v>
      </c>
      <c r="J114">
        <v>45274</v>
      </c>
      <c r="K114" t="str">
        <v>South</v>
      </c>
      <c r="L114" t="str">
        <v>Karnataka</v>
      </c>
      <c r="M114" t="str">
        <v>Bengaluru</v>
      </c>
      <c r="N114" t="str">
        <v>Furniture</v>
      </c>
      <c r="O114">
        <v>10</v>
      </c>
      <c r="P114">
        <v>222.55</v>
      </c>
      <c r="Q114">
        <v>2225.5</v>
      </c>
    </row>
    <row r="115" spans="1:17">
      <c r="A115" s="19">
        <v>44996</v>
      </c>
      <c r="B115" t="s">
        <v>1229</v>
      </c>
      <c r="C115" t="s">
        <v>1237</v>
      </c>
      <c r="D115" t="s">
        <v>1239</v>
      </c>
      <c r="E115" t="s">
        <v>128</v>
      </c>
      <c r="F115" s="10">
        <v>5</v>
      </c>
      <c r="G115" s="10">
        <v>3732.82</v>
      </c>
      <c r="H115" s="10">
        <v>18664.099999999999</v>
      </c>
      <c r="J115">
        <v>45275</v>
      </c>
      <c r="K115" t="str">
        <v>South</v>
      </c>
      <c r="L115" t="str">
        <v>Karnataka</v>
      </c>
      <c r="M115" t="str">
        <v>Bengaluru</v>
      </c>
      <c r="N115" t="str">
        <v>Groceries</v>
      </c>
      <c r="O115">
        <v>15</v>
      </c>
      <c r="P115">
        <v>4659.8</v>
      </c>
      <c r="Q115">
        <v>69897</v>
      </c>
    </row>
    <row r="116" spans="1:17">
      <c r="A116" s="19">
        <v>45179</v>
      </c>
      <c r="B116" t="s">
        <v>1229</v>
      </c>
      <c r="C116" t="s">
        <v>1237</v>
      </c>
      <c r="D116" t="s">
        <v>1239</v>
      </c>
      <c r="E116" t="s">
        <v>128</v>
      </c>
      <c r="F116" s="10">
        <v>7</v>
      </c>
      <c r="G116" s="10">
        <v>2384.5100000000002</v>
      </c>
      <c r="H116" s="10">
        <v>16691.57</v>
      </c>
      <c r="J116">
        <v>45200</v>
      </c>
      <c r="K116" t="str">
        <v>South</v>
      </c>
      <c r="L116" t="str">
        <v>Karnataka</v>
      </c>
      <c r="M116" t="str">
        <v>Bengaluru</v>
      </c>
      <c r="N116" t="str">
        <v>Groceries</v>
      </c>
      <c r="O116">
        <v>16</v>
      </c>
      <c r="P116">
        <v>4354.03</v>
      </c>
      <c r="Q116">
        <v>69664.479999999996</v>
      </c>
    </row>
    <row r="117" spans="1:17">
      <c r="A117" s="19">
        <v>44963</v>
      </c>
      <c r="B117" t="s">
        <v>1242</v>
      </c>
      <c r="C117" t="s">
        <v>1243</v>
      </c>
      <c r="D117" t="s">
        <v>1247</v>
      </c>
      <c r="E117" t="s">
        <v>128</v>
      </c>
      <c r="F117" s="10">
        <v>6</v>
      </c>
      <c r="G117" s="10">
        <v>2772.51</v>
      </c>
      <c r="H117" s="10">
        <v>16635.060000000001</v>
      </c>
      <c r="J117">
        <v>45026</v>
      </c>
      <c r="K117" t="str">
        <v>South</v>
      </c>
      <c r="L117" t="str">
        <v>Karnataka</v>
      </c>
      <c r="M117" t="str">
        <v>Bengaluru</v>
      </c>
      <c r="N117" t="str">
        <v>Groceries</v>
      </c>
      <c r="O117">
        <v>15</v>
      </c>
      <c r="P117">
        <v>4262.53</v>
      </c>
      <c r="Q117">
        <v>63937.95</v>
      </c>
    </row>
    <row r="118" spans="1:17">
      <c r="A118" s="19">
        <v>45229</v>
      </c>
      <c r="B118" t="s">
        <v>1229</v>
      </c>
      <c r="C118" t="s">
        <v>1237</v>
      </c>
      <c r="D118" t="s">
        <v>1171</v>
      </c>
      <c r="E118" t="s">
        <v>128</v>
      </c>
      <c r="F118" s="10">
        <v>5</v>
      </c>
      <c r="G118" s="10">
        <v>3288.58</v>
      </c>
      <c r="H118" s="10">
        <v>16442.900000000001</v>
      </c>
      <c r="J118">
        <v>44981</v>
      </c>
      <c r="K118" t="str">
        <v>South</v>
      </c>
      <c r="L118" t="str">
        <v>Karnataka</v>
      </c>
      <c r="M118" t="str">
        <v>Bengaluru</v>
      </c>
      <c r="N118" t="str">
        <v>Groceries</v>
      </c>
      <c r="O118">
        <v>16</v>
      </c>
      <c r="P118">
        <v>3931.95</v>
      </c>
      <c r="Q118">
        <v>62911.199999999997</v>
      </c>
    </row>
    <row r="119" spans="1:17">
      <c r="A119" s="19">
        <v>45222</v>
      </c>
      <c r="B119" t="s">
        <v>1231</v>
      </c>
      <c r="C119" t="s">
        <v>1232</v>
      </c>
      <c r="D119" t="s">
        <v>1240</v>
      </c>
      <c r="E119" t="s">
        <v>128</v>
      </c>
      <c r="F119" s="10">
        <v>18</v>
      </c>
      <c r="G119" s="10">
        <v>913.13</v>
      </c>
      <c r="H119" s="10">
        <v>16436.34</v>
      </c>
      <c r="J119">
        <v>45268</v>
      </c>
      <c r="K119" t="str">
        <v>South</v>
      </c>
      <c r="L119" t="str">
        <v>Karnataka</v>
      </c>
      <c r="M119" t="str">
        <v>Bengaluru</v>
      </c>
      <c r="N119" t="str">
        <v>Groceries</v>
      </c>
      <c r="O119">
        <v>16</v>
      </c>
      <c r="P119">
        <v>3895.18</v>
      </c>
      <c r="Q119">
        <v>62322.879999999997</v>
      </c>
    </row>
    <row r="120" spans="1:17">
      <c r="A120" s="19">
        <v>44992</v>
      </c>
      <c r="B120" t="s">
        <v>1229</v>
      </c>
      <c r="C120" t="s">
        <v>1230</v>
      </c>
      <c r="D120" t="s">
        <v>1246</v>
      </c>
      <c r="E120" t="s">
        <v>128</v>
      </c>
      <c r="F120" s="10">
        <v>16</v>
      </c>
      <c r="G120" s="10">
        <v>1025.8</v>
      </c>
      <c r="H120" s="10">
        <v>16412.8</v>
      </c>
      <c r="J120">
        <v>45105</v>
      </c>
      <c r="K120" t="str">
        <v>South</v>
      </c>
      <c r="L120" t="str">
        <v>Karnataka</v>
      </c>
      <c r="M120" t="str">
        <v>Bengaluru</v>
      </c>
      <c r="N120" t="str">
        <v>Groceries</v>
      </c>
      <c r="O120">
        <v>10</v>
      </c>
      <c r="P120">
        <v>4761.1899999999996</v>
      </c>
      <c r="Q120">
        <v>47611.9</v>
      </c>
    </row>
    <row r="121" spans="1:17">
      <c r="A121" s="19">
        <v>45265</v>
      </c>
      <c r="B121" t="s">
        <v>1229</v>
      </c>
      <c r="C121" t="s">
        <v>1237</v>
      </c>
      <c r="D121" t="s">
        <v>1239</v>
      </c>
      <c r="E121" t="s">
        <v>128</v>
      </c>
      <c r="F121" s="10">
        <v>4</v>
      </c>
      <c r="G121" s="10">
        <v>4020.65</v>
      </c>
      <c r="H121" s="10">
        <v>16082.6</v>
      </c>
      <c r="J121">
        <v>45122</v>
      </c>
      <c r="K121" t="str">
        <v>South</v>
      </c>
      <c r="L121" t="str">
        <v>Karnataka</v>
      </c>
      <c r="M121" t="str">
        <v>Bengaluru</v>
      </c>
      <c r="N121" t="str">
        <v>Groceries</v>
      </c>
      <c r="O121">
        <v>11</v>
      </c>
      <c r="P121">
        <v>3590.89</v>
      </c>
      <c r="Q121">
        <v>39499.79</v>
      </c>
    </row>
    <row r="122" spans="1:17">
      <c r="A122" s="19">
        <v>45037</v>
      </c>
      <c r="B122" t="s">
        <v>1242</v>
      </c>
      <c r="C122" t="s">
        <v>1243</v>
      </c>
      <c r="D122" t="s">
        <v>1244</v>
      </c>
      <c r="E122" t="s">
        <v>128</v>
      </c>
      <c r="F122" s="10">
        <v>5</v>
      </c>
      <c r="G122" s="10">
        <v>3181.48</v>
      </c>
      <c r="H122" s="10">
        <v>15907.4</v>
      </c>
      <c r="J122">
        <v>45114</v>
      </c>
      <c r="K122" t="str">
        <v>South</v>
      </c>
      <c r="L122" t="str">
        <v>Karnataka</v>
      </c>
      <c r="M122" t="str">
        <v>Bengaluru</v>
      </c>
      <c r="N122" t="str">
        <v>Groceries</v>
      </c>
      <c r="O122">
        <v>15</v>
      </c>
      <c r="P122">
        <v>2477.09</v>
      </c>
      <c r="Q122">
        <v>37156.35</v>
      </c>
    </row>
    <row r="123" spans="1:17">
      <c r="A123" s="19">
        <v>45128</v>
      </c>
      <c r="B123" t="s">
        <v>1229</v>
      </c>
      <c r="C123" t="s">
        <v>1237</v>
      </c>
      <c r="D123" t="s">
        <v>1171</v>
      </c>
      <c r="E123" t="s">
        <v>128</v>
      </c>
      <c r="F123" s="10">
        <v>5</v>
      </c>
      <c r="G123" s="10">
        <v>3156.9</v>
      </c>
      <c r="H123" s="10">
        <v>15784.5</v>
      </c>
      <c r="J123">
        <v>45072</v>
      </c>
      <c r="K123" t="str">
        <v>South</v>
      </c>
      <c r="L123" t="str">
        <v>Karnataka</v>
      </c>
      <c r="M123" t="str">
        <v>Bengaluru</v>
      </c>
      <c r="N123" t="str">
        <v>Groceries</v>
      </c>
      <c r="O123">
        <v>16</v>
      </c>
      <c r="P123">
        <v>2231.67</v>
      </c>
      <c r="Q123">
        <v>35706.720000000001</v>
      </c>
    </row>
    <row r="124" spans="1:17">
      <c r="A124" s="19">
        <v>45020</v>
      </c>
      <c r="B124" t="s">
        <v>1242</v>
      </c>
      <c r="C124" t="s">
        <v>1243</v>
      </c>
      <c r="D124" t="s">
        <v>1245</v>
      </c>
      <c r="E124" t="s">
        <v>128</v>
      </c>
      <c r="F124" s="10">
        <v>14</v>
      </c>
      <c r="G124" s="10">
        <v>1116.79</v>
      </c>
      <c r="H124" s="10">
        <v>15635.06</v>
      </c>
      <c r="J124">
        <v>45204</v>
      </c>
      <c r="K124" t="str">
        <v>South</v>
      </c>
      <c r="L124" t="str">
        <v>Karnataka</v>
      </c>
      <c r="M124" t="str">
        <v>Bengaluru</v>
      </c>
      <c r="N124" t="str">
        <v>Groceries</v>
      </c>
      <c r="O124">
        <v>10</v>
      </c>
      <c r="P124">
        <v>3540.6</v>
      </c>
      <c r="Q124">
        <v>35406</v>
      </c>
    </row>
    <row r="125" spans="1:17">
      <c r="A125" s="19">
        <v>45251</v>
      </c>
      <c r="B125" t="s">
        <v>1229</v>
      </c>
      <c r="C125" t="s">
        <v>1237</v>
      </c>
      <c r="D125" t="s">
        <v>1239</v>
      </c>
      <c r="E125" t="s">
        <v>128</v>
      </c>
      <c r="F125" s="10">
        <v>13</v>
      </c>
      <c r="G125" s="10">
        <v>1198.5</v>
      </c>
      <c r="H125" s="10">
        <v>15580.5</v>
      </c>
      <c r="J125">
        <v>45241</v>
      </c>
      <c r="K125" t="str">
        <v>South</v>
      </c>
      <c r="L125" t="str">
        <v>Karnataka</v>
      </c>
      <c r="M125" t="str">
        <v>Bengaluru</v>
      </c>
      <c r="N125" t="str">
        <v>Groceries</v>
      </c>
      <c r="O125">
        <v>10</v>
      </c>
      <c r="P125">
        <v>2539.6799999999998</v>
      </c>
      <c r="Q125">
        <v>25396.799999999999</v>
      </c>
    </row>
    <row r="126" spans="1:17">
      <c r="A126" s="19">
        <v>45110</v>
      </c>
      <c r="B126" t="s">
        <v>1231</v>
      </c>
      <c r="C126" t="s">
        <v>1232</v>
      </c>
      <c r="D126" t="s">
        <v>1240</v>
      </c>
      <c r="E126" t="s">
        <v>128</v>
      </c>
      <c r="F126" s="10">
        <v>3</v>
      </c>
      <c r="G126" s="10">
        <v>4999.6899999999996</v>
      </c>
      <c r="H126" s="10">
        <v>14999.07</v>
      </c>
      <c r="J126">
        <v>45111</v>
      </c>
      <c r="K126" t="str">
        <v>South</v>
      </c>
      <c r="L126" t="str">
        <v>Karnataka</v>
      </c>
      <c r="M126" t="str">
        <v>Bengaluru</v>
      </c>
      <c r="N126" t="str">
        <v>Groceries</v>
      </c>
      <c r="O126">
        <v>8</v>
      </c>
      <c r="P126">
        <v>2342.02</v>
      </c>
      <c r="Q126">
        <v>18736.16</v>
      </c>
    </row>
    <row r="127" spans="1:17">
      <c r="A127" s="19">
        <v>44962</v>
      </c>
      <c r="B127" t="s">
        <v>1231</v>
      </c>
      <c r="C127" t="s">
        <v>1232</v>
      </c>
      <c r="D127" t="s">
        <v>1234</v>
      </c>
      <c r="E127" t="s">
        <v>128</v>
      </c>
      <c r="F127" s="10">
        <v>6</v>
      </c>
      <c r="G127" s="10">
        <v>2463.6799999999998</v>
      </c>
      <c r="H127" s="10">
        <v>14782.08</v>
      </c>
      <c r="J127">
        <v>44958</v>
      </c>
      <c r="K127" t="str">
        <v>South</v>
      </c>
      <c r="L127" t="str">
        <v>Karnataka</v>
      </c>
      <c r="M127" t="str">
        <v>Bengaluru</v>
      </c>
      <c r="N127" t="str">
        <v>Groceries</v>
      </c>
      <c r="O127">
        <v>6</v>
      </c>
      <c r="P127">
        <v>3116.12</v>
      </c>
      <c r="Q127">
        <v>18696.72</v>
      </c>
    </row>
    <row r="128" spans="1:17">
      <c r="A128" s="19">
        <v>45274</v>
      </c>
      <c r="B128" t="s">
        <v>1231</v>
      </c>
      <c r="C128" t="s">
        <v>1235</v>
      </c>
      <c r="D128" t="s">
        <v>1238</v>
      </c>
      <c r="E128" t="s">
        <v>128</v>
      </c>
      <c r="F128" s="10">
        <v>8</v>
      </c>
      <c r="G128" s="10">
        <v>1794.45</v>
      </c>
      <c r="H128" s="10">
        <v>14355.6</v>
      </c>
      <c r="J128">
        <v>45220</v>
      </c>
      <c r="K128" t="str">
        <v>South</v>
      </c>
      <c r="L128" t="str">
        <v>Karnataka</v>
      </c>
      <c r="M128" t="str">
        <v>Bengaluru</v>
      </c>
      <c r="N128" t="str">
        <v>Groceries</v>
      </c>
      <c r="O128">
        <v>7</v>
      </c>
      <c r="P128">
        <v>2048.48</v>
      </c>
      <c r="Q128">
        <v>14339.36</v>
      </c>
    </row>
    <row r="129" spans="1:17">
      <c r="A129" s="19">
        <v>45016</v>
      </c>
      <c r="B129" t="s">
        <v>1242</v>
      </c>
      <c r="C129" t="s">
        <v>1243</v>
      </c>
      <c r="D129" t="s">
        <v>1245</v>
      </c>
      <c r="E129" t="s">
        <v>128</v>
      </c>
      <c r="F129" s="10">
        <v>5</v>
      </c>
      <c r="G129" s="10">
        <v>2846.34</v>
      </c>
      <c r="H129" s="10">
        <v>14231.7</v>
      </c>
      <c r="J129">
        <v>45181</v>
      </c>
      <c r="K129" t="str">
        <v>South</v>
      </c>
      <c r="L129" t="str">
        <v>Karnataka</v>
      </c>
      <c r="M129" t="str">
        <v>Bengaluru</v>
      </c>
      <c r="N129" t="str">
        <v>Groceries</v>
      </c>
      <c r="O129">
        <v>6</v>
      </c>
      <c r="P129">
        <v>2207.64</v>
      </c>
      <c r="Q129">
        <v>13245.84</v>
      </c>
    </row>
    <row r="130" spans="1:17">
      <c r="A130" s="19">
        <v>44929</v>
      </c>
      <c r="B130" t="s">
        <v>1229</v>
      </c>
      <c r="C130" t="s">
        <v>1230</v>
      </c>
      <c r="D130" t="s">
        <v>1169</v>
      </c>
      <c r="E130" t="s">
        <v>128</v>
      </c>
      <c r="F130" s="10">
        <v>12</v>
      </c>
      <c r="G130" s="10">
        <v>1169.8399999999999</v>
      </c>
      <c r="H130" s="10">
        <v>14038.08</v>
      </c>
      <c r="J130">
        <v>45257</v>
      </c>
      <c r="K130" t="str">
        <v>South</v>
      </c>
      <c r="L130" t="str">
        <v>Karnataka</v>
      </c>
      <c r="M130" t="str">
        <v>Bengaluru</v>
      </c>
      <c r="N130" t="str">
        <v>Groceries</v>
      </c>
      <c r="O130">
        <v>16</v>
      </c>
      <c r="P130">
        <v>795.17</v>
      </c>
      <c r="Q130">
        <v>12722.72</v>
      </c>
    </row>
    <row r="131" spans="1:17">
      <c r="A131" s="19">
        <v>44956</v>
      </c>
      <c r="B131" t="s">
        <v>1229</v>
      </c>
      <c r="C131" t="s">
        <v>1230</v>
      </c>
      <c r="D131" t="s">
        <v>1169</v>
      </c>
      <c r="E131" t="s">
        <v>128</v>
      </c>
      <c r="F131" s="10">
        <v>3</v>
      </c>
      <c r="G131" s="10">
        <v>4678.38</v>
      </c>
      <c r="H131" s="10">
        <v>14035.14</v>
      </c>
      <c r="J131">
        <v>45223</v>
      </c>
      <c r="K131" t="str">
        <v>South</v>
      </c>
      <c r="L131" t="str">
        <v>Karnataka</v>
      </c>
      <c r="M131" t="str">
        <v>Bengaluru</v>
      </c>
      <c r="N131" t="str">
        <v>Groceries</v>
      </c>
      <c r="O131">
        <v>11</v>
      </c>
      <c r="P131">
        <v>841.99</v>
      </c>
      <c r="Q131">
        <v>9261.89</v>
      </c>
    </row>
    <row r="132" spans="1:17">
      <c r="A132" s="19">
        <v>45003</v>
      </c>
      <c r="B132" t="s">
        <v>1231</v>
      </c>
      <c r="C132" t="s">
        <v>1232</v>
      </c>
      <c r="D132" t="s">
        <v>1240</v>
      </c>
      <c r="E132" t="s">
        <v>128</v>
      </c>
      <c r="F132" s="10">
        <v>16</v>
      </c>
      <c r="G132" s="10">
        <v>874.99</v>
      </c>
      <c r="H132" s="10">
        <v>13999.84</v>
      </c>
      <c r="J132">
        <v>45095</v>
      </c>
      <c r="K132" t="str">
        <v>South</v>
      </c>
      <c r="L132" t="str">
        <v>Karnataka</v>
      </c>
      <c r="M132" t="str">
        <v>Bengaluru</v>
      </c>
      <c r="N132" t="str">
        <v>Groceries</v>
      </c>
      <c r="O132">
        <v>2</v>
      </c>
      <c r="P132">
        <v>4032.05</v>
      </c>
      <c r="Q132">
        <v>8064.1</v>
      </c>
    </row>
    <row r="133" spans="1:17">
      <c r="A133" s="19">
        <v>45003</v>
      </c>
      <c r="B133" t="s">
        <v>1242</v>
      </c>
      <c r="C133" t="s">
        <v>1243</v>
      </c>
      <c r="D133" t="s">
        <v>1244</v>
      </c>
      <c r="E133" t="s">
        <v>128</v>
      </c>
      <c r="F133" s="10">
        <v>5</v>
      </c>
      <c r="G133" s="10">
        <v>2681.34</v>
      </c>
      <c r="H133" s="10">
        <v>13406.7</v>
      </c>
      <c r="J133">
        <v>45191</v>
      </c>
      <c r="K133" t="str">
        <v>South</v>
      </c>
      <c r="L133" t="str">
        <v>Karnataka</v>
      </c>
      <c r="M133" t="str">
        <v>Bengaluru</v>
      </c>
      <c r="N133" t="str">
        <v>Groceries</v>
      </c>
      <c r="O133">
        <v>12</v>
      </c>
      <c r="P133">
        <v>549.84</v>
      </c>
      <c r="Q133">
        <v>6598.08</v>
      </c>
    </row>
    <row r="134" spans="1:17">
      <c r="A134" s="19">
        <v>45284</v>
      </c>
      <c r="B134" t="s">
        <v>1231</v>
      </c>
      <c r="C134" t="s">
        <v>1232</v>
      </c>
      <c r="D134" t="s">
        <v>1240</v>
      </c>
      <c r="E134" t="s">
        <v>128</v>
      </c>
      <c r="F134" s="10">
        <v>8</v>
      </c>
      <c r="G134" s="10">
        <v>1670.31</v>
      </c>
      <c r="H134" s="10">
        <v>13362.48</v>
      </c>
      <c r="J134">
        <v>44974</v>
      </c>
      <c r="K134" t="str">
        <v>South</v>
      </c>
      <c r="L134" t="str">
        <v>Karnataka</v>
      </c>
      <c r="M134" t="str">
        <v>Bengaluru</v>
      </c>
      <c r="N134" t="str">
        <v>Groceries</v>
      </c>
      <c r="O134">
        <v>4</v>
      </c>
      <c r="P134">
        <v>1493.04</v>
      </c>
      <c r="Q134">
        <v>5972.16</v>
      </c>
    </row>
    <row r="135" spans="1:17">
      <c r="A135" s="19">
        <v>45023</v>
      </c>
      <c r="B135" t="s">
        <v>1231</v>
      </c>
      <c r="C135" t="s">
        <v>1235</v>
      </c>
      <c r="D135" t="s">
        <v>1236</v>
      </c>
      <c r="E135" t="s">
        <v>128</v>
      </c>
      <c r="F135" s="10">
        <v>7</v>
      </c>
      <c r="G135" s="10">
        <v>1849.17</v>
      </c>
      <c r="H135" s="10">
        <v>12944.19</v>
      </c>
      <c r="J135">
        <v>45140</v>
      </c>
      <c r="K135" t="str">
        <v>South</v>
      </c>
      <c r="L135" t="str">
        <v>Karnataka</v>
      </c>
      <c r="M135" t="str">
        <v>Bengaluru</v>
      </c>
      <c r="N135" t="str">
        <v>Groceries</v>
      </c>
      <c r="O135">
        <v>16</v>
      </c>
      <c r="P135">
        <v>317.82</v>
      </c>
      <c r="Q135">
        <v>5085.12</v>
      </c>
    </row>
    <row r="136" spans="1:17">
      <c r="A136" s="19">
        <v>45033</v>
      </c>
      <c r="B136" t="s">
        <v>1242</v>
      </c>
      <c r="C136" t="s">
        <v>1243</v>
      </c>
      <c r="D136" t="s">
        <v>1247</v>
      </c>
      <c r="E136" t="s">
        <v>128</v>
      </c>
      <c r="F136" s="10">
        <v>13</v>
      </c>
      <c r="G136" s="10">
        <v>993.43</v>
      </c>
      <c r="H136" s="10">
        <v>12914.59</v>
      </c>
      <c r="J136">
        <v>45239</v>
      </c>
      <c r="K136" t="str">
        <v>South</v>
      </c>
      <c r="L136" t="str">
        <v>Karnataka</v>
      </c>
      <c r="M136" t="str">
        <v>Bengaluru</v>
      </c>
      <c r="N136" t="str">
        <v>Stationery</v>
      </c>
      <c r="O136">
        <v>16</v>
      </c>
      <c r="P136">
        <v>3981.76</v>
      </c>
      <c r="Q136">
        <v>63708.160000000003</v>
      </c>
    </row>
    <row r="137" spans="1:17">
      <c r="A137" s="19">
        <v>45270</v>
      </c>
      <c r="B137" t="s">
        <v>1231</v>
      </c>
      <c r="C137" t="s">
        <v>1232</v>
      </c>
      <c r="D137" t="s">
        <v>1240</v>
      </c>
      <c r="E137" t="s">
        <v>128</v>
      </c>
      <c r="F137" s="10">
        <v>8</v>
      </c>
      <c r="G137" s="10">
        <v>1595.76</v>
      </c>
      <c r="H137" s="10">
        <v>12766.08</v>
      </c>
      <c r="J137">
        <v>45039</v>
      </c>
      <c r="K137" t="str">
        <v>South</v>
      </c>
      <c r="L137" t="str">
        <v>Karnataka</v>
      </c>
      <c r="M137" t="str">
        <v>Bengaluru</v>
      </c>
      <c r="N137" t="str">
        <v>Stationery</v>
      </c>
      <c r="O137">
        <v>15</v>
      </c>
      <c r="P137">
        <v>3285.68</v>
      </c>
      <c r="Q137">
        <v>49285.2</v>
      </c>
    </row>
    <row r="138" spans="1:17">
      <c r="A138" s="19">
        <v>45192</v>
      </c>
      <c r="B138" t="s">
        <v>1229</v>
      </c>
      <c r="C138" t="s">
        <v>1237</v>
      </c>
      <c r="D138" t="s">
        <v>1239</v>
      </c>
      <c r="E138" t="s">
        <v>128</v>
      </c>
      <c r="F138" s="10">
        <v>7</v>
      </c>
      <c r="G138" s="10">
        <v>1801.74</v>
      </c>
      <c r="H138" s="10">
        <v>12612.18</v>
      </c>
      <c r="J138">
        <v>45210</v>
      </c>
      <c r="K138" t="str">
        <v>South</v>
      </c>
      <c r="L138" t="str">
        <v>Karnataka</v>
      </c>
      <c r="M138" t="str">
        <v>Bengaluru</v>
      </c>
      <c r="N138" t="str">
        <v>Stationery</v>
      </c>
      <c r="O138">
        <v>11</v>
      </c>
      <c r="P138">
        <v>4066.2</v>
      </c>
      <c r="Q138">
        <v>44728.2</v>
      </c>
    </row>
    <row r="139" spans="1:17">
      <c r="A139" s="19">
        <v>45138</v>
      </c>
      <c r="B139" t="s">
        <v>1231</v>
      </c>
      <c r="C139" t="s">
        <v>1235</v>
      </c>
      <c r="D139" t="s">
        <v>1241</v>
      </c>
      <c r="E139" t="s">
        <v>128</v>
      </c>
      <c r="F139" s="10">
        <v>13</v>
      </c>
      <c r="G139" s="10">
        <v>968.18</v>
      </c>
      <c r="H139" s="10">
        <v>12586.34</v>
      </c>
      <c r="J139">
        <v>45217</v>
      </c>
      <c r="K139" t="str">
        <v>South</v>
      </c>
      <c r="L139" t="str">
        <v>Karnataka</v>
      </c>
      <c r="M139" t="str">
        <v>Bengaluru</v>
      </c>
      <c r="N139" t="str">
        <v>Stationery</v>
      </c>
      <c r="O139">
        <v>15</v>
      </c>
      <c r="P139">
        <v>2920.62</v>
      </c>
      <c r="Q139">
        <v>43809.3</v>
      </c>
    </row>
    <row r="140" spans="1:17">
      <c r="A140" s="19">
        <v>45129</v>
      </c>
      <c r="B140" t="s">
        <v>1242</v>
      </c>
      <c r="C140" t="s">
        <v>1243</v>
      </c>
      <c r="D140" t="s">
        <v>1245</v>
      </c>
      <c r="E140" t="s">
        <v>128</v>
      </c>
      <c r="F140" s="10">
        <v>5</v>
      </c>
      <c r="G140" s="10">
        <v>2463.9499999999998</v>
      </c>
      <c r="H140" s="10">
        <v>12319.75</v>
      </c>
      <c r="J140">
        <v>45166</v>
      </c>
      <c r="K140" t="str">
        <v>South</v>
      </c>
      <c r="L140" t="str">
        <v>Karnataka</v>
      </c>
      <c r="M140" t="str">
        <v>Bengaluru</v>
      </c>
      <c r="N140" t="str">
        <v>Stationery</v>
      </c>
      <c r="O140">
        <v>7</v>
      </c>
      <c r="P140">
        <v>4083.1</v>
      </c>
      <c r="Q140">
        <v>28581.7</v>
      </c>
    </row>
    <row r="141" spans="1:17">
      <c r="A141" s="19">
        <v>45059</v>
      </c>
      <c r="B141" t="s">
        <v>1229</v>
      </c>
      <c r="C141" t="s">
        <v>1230</v>
      </c>
      <c r="D141" t="s">
        <v>1246</v>
      </c>
      <c r="E141" t="s">
        <v>128</v>
      </c>
      <c r="F141" s="10">
        <v>3</v>
      </c>
      <c r="G141" s="10">
        <v>4059.76</v>
      </c>
      <c r="H141" s="10">
        <v>12179.28</v>
      </c>
      <c r="J141">
        <v>44995</v>
      </c>
      <c r="K141" t="str">
        <v>South</v>
      </c>
      <c r="L141" t="str">
        <v>Karnataka</v>
      </c>
      <c r="M141" t="str">
        <v>Bengaluru</v>
      </c>
      <c r="N141" t="str">
        <v>Stationery</v>
      </c>
      <c r="O141">
        <v>5</v>
      </c>
      <c r="P141">
        <v>4300.7</v>
      </c>
      <c r="Q141">
        <v>21503.5</v>
      </c>
    </row>
    <row r="142" spans="1:17">
      <c r="A142" s="19">
        <v>44989</v>
      </c>
      <c r="B142" t="s">
        <v>1231</v>
      </c>
      <c r="C142" t="s">
        <v>1235</v>
      </c>
      <c r="D142" t="s">
        <v>1241</v>
      </c>
      <c r="E142" t="s">
        <v>128</v>
      </c>
      <c r="F142" s="10">
        <v>19</v>
      </c>
      <c r="G142" s="10">
        <v>636.20000000000005</v>
      </c>
      <c r="H142" s="10">
        <v>12087.8</v>
      </c>
      <c r="J142">
        <v>44965</v>
      </c>
      <c r="K142" t="str">
        <v>South</v>
      </c>
      <c r="L142" t="str">
        <v>Karnataka</v>
      </c>
      <c r="M142" t="str">
        <v>Bengaluru</v>
      </c>
      <c r="N142" t="str">
        <v>Stationery</v>
      </c>
      <c r="O142">
        <v>6</v>
      </c>
      <c r="P142">
        <v>3277.95</v>
      </c>
      <c r="Q142">
        <v>19667.7</v>
      </c>
    </row>
    <row r="143" spans="1:17">
      <c r="A143" s="19">
        <v>45109</v>
      </c>
      <c r="B143" t="s">
        <v>1242</v>
      </c>
      <c r="C143" t="s">
        <v>1243</v>
      </c>
      <c r="D143" t="s">
        <v>1247</v>
      </c>
      <c r="E143" t="s">
        <v>128</v>
      </c>
      <c r="F143" s="10">
        <v>4</v>
      </c>
      <c r="G143" s="10">
        <v>2984.27</v>
      </c>
      <c r="H143" s="10">
        <v>11937.08</v>
      </c>
      <c r="J143">
        <v>44964</v>
      </c>
      <c r="K143" t="str">
        <v>South</v>
      </c>
      <c r="L143" t="str">
        <v>Karnataka</v>
      </c>
      <c r="M143" t="str">
        <v>Bengaluru</v>
      </c>
      <c r="N143" t="str">
        <v>Stationery</v>
      </c>
      <c r="O143">
        <v>4</v>
      </c>
      <c r="P143">
        <v>4337.09</v>
      </c>
      <c r="Q143">
        <v>17348.36</v>
      </c>
    </row>
    <row r="144" spans="1:17">
      <c r="A144" s="19">
        <v>44977</v>
      </c>
      <c r="B144" t="s">
        <v>1231</v>
      </c>
      <c r="C144" t="s">
        <v>1232</v>
      </c>
      <c r="D144" t="s">
        <v>1240</v>
      </c>
      <c r="E144" t="s">
        <v>128</v>
      </c>
      <c r="F144" s="10">
        <v>8</v>
      </c>
      <c r="G144" s="10">
        <v>1481.04</v>
      </c>
      <c r="H144" s="10">
        <v>11848.32</v>
      </c>
      <c r="J144">
        <v>44963</v>
      </c>
      <c r="K144" t="str">
        <v>South</v>
      </c>
      <c r="L144" t="str">
        <v>Karnataka</v>
      </c>
      <c r="M144" t="str">
        <v>Bengaluru</v>
      </c>
      <c r="N144" t="str">
        <v>Stationery</v>
      </c>
      <c r="O144">
        <v>8</v>
      </c>
      <c r="P144">
        <v>2112.66</v>
      </c>
      <c r="Q144">
        <v>16901.28</v>
      </c>
    </row>
    <row r="145" spans="1:17">
      <c r="A145" s="19">
        <v>45146</v>
      </c>
      <c r="B145" t="s">
        <v>1229</v>
      </c>
      <c r="C145" t="s">
        <v>1237</v>
      </c>
      <c r="D145" t="s">
        <v>1173</v>
      </c>
      <c r="E145" t="s">
        <v>128</v>
      </c>
      <c r="F145" s="10">
        <v>8</v>
      </c>
      <c r="G145" s="10">
        <v>1461.31</v>
      </c>
      <c r="H145" s="10">
        <v>11690.48</v>
      </c>
      <c r="J145">
        <v>45025</v>
      </c>
      <c r="K145" t="str">
        <v>South</v>
      </c>
      <c r="L145" t="str">
        <v>Karnataka</v>
      </c>
      <c r="M145" t="str">
        <v>Bengaluru</v>
      </c>
      <c r="N145" t="str">
        <v>Stationery</v>
      </c>
      <c r="O145">
        <v>8</v>
      </c>
      <c r="P145">
        <v>1968.58</v>
      </c>
      <c r="Q145">
        <v>15748.64</v>
      </c>
    </row>
    <row r="146" spans="1:17">
      <c r="A146" s="19">
        <v>44975</v>
      </c>
      <c r="B146" t="s">
        <v>1242</v>
      </c>
      <c r="C146" t="s">
        <v>1243</v>
      </c>
      <c r="D146" t="s">
        <v>1245</v>
      </c>
      <c r="E146" t="s">
        <v>128</v>
      </c>
      <c r="F146" s="10">
        <v>19</v>
      </c>
      <c r="G146" s="10">
        <v>609.63</v>
      </c>
      <c r="H146" s="10">
        <v>11582.97</v>
      </c>
      <c r="J146">
        <v>45002</v>
      </c>
      <c r="K146" t="str">
        <v>South</v>
      </c>
      <c r="L146" t="str">
        <v>Karnataka</v>
      </c>
      <c r="M146" t="str">
        <v>Bengaluru</v>
      </c>
      <c r="N146" t="str">
        <v>Stationery</v>
      </c>
      <c r="O146">
        <v>7</v>
      </c>
      <c r="P146">
        <v>1774.74</v>
      </c>
      <c r="Q146">
        <v>12423.18</v>
      </c>
    </row>
    <row r="147" spans="1:17">
      <c r="A147" s="19">
        <v>45084</v>
      </c>
      <c r="B147" t="s">
        <v>1231</v>
      </c>
      <c r="C147" t="s">
        <v>1232</v>
      </c>
      <c r="D147" t="s">
        <v>1233</v>
      </c>
      <c r="E147" t="s">
        <v>128</v>
      </c>
      <c r="F147" s="10">
        <v>13</v>
      </c>
      <c r="G147" s="10">
        <v>857.86</v>
      </c>
      <c r="H147" s="10">
        <v>11152.18</v>
      </c>
      <c r="J147">
        <v>45063</v>
      </c>
      <c r="K147" t="str">
        <v>South</v>
      </c>
      <c r="L147" t="str">
        <v>Karnataka</v>
      </c>
      <c r="M147" t="str">
        <v>Bengaluru</v>
      </c>
      <c r="N147" t="str">
        <v>Stationery</v>
      </c>
      <c r="O147">
        <v>2</v>
      </c>
      <c r="P147">
        <v>1063.3499999999999</v>
      </c>
      <c r="Q147">
        <v>2126.6999999999998</v>
      </c>
    </row>
    <row r="148" spans="1:17">
      <c r="A148" s="19">
        <v>45040</v>
      </c>
      <c r="B148" t="s">
        <v>1231</v>
      </c>
      <c r="C148" t="s">
        <v>1235</v>
      </c>
      <c r="D148" t="s">
        <v>1236</v>
      </c>
      <c r="E148" t="s">
        <v>128</v>
      </c>
      <c r="F148" s="10">
        <v>7</v>
      </c>
      <c r="G148" s="10">
        <v>1590.73</v>
      </c>
      <c r="H148" s="10">
        <v>11135.11</v>
      </c>
      <c r="J148">
        <v>44979</v>
      </c>
      <c r="K148" t="str">
        <v>South</v>
      </c>
      <c r="L148" t="str">
        <v>Karnataka</v>
      </c>
      <c r="M148" t="str">
        <v>Bengaluru</v>
      </c>
      <c r="N148" t="str">
        <v>Stationery</v>
      </c>
      <c r="O148">
        <v>2</v>
      </c>
      <c r="P148">
        <v>296.52999999999997</v>
      </c>
      <c r="Q148">
        <v>593.05999999999995</v>
      </c>
    </row>
    <row r="149" spans="1:17">
      <c r="A149" s="19">
        <v>44948</v>
      </c>
      <c r="B149" t="s">
        <v>1231</v>
      </c>
      <c r="C149" t="s">
        <v>1232</v>
      </c>
      <c r="D149" t="s">
        <v>1234</v>
      </c>
      <c r="E149" t="s">
        <v>128</v>
      </c>
      <c r="F149" s="10">
        <v>13</v>
      </c>
      <c r="G149" s="10">
        <v>818.58</v>
      </c>
      <c r="H149" s="10">
        <v>10641.54</v>
      </c>
      <c r="J149">
        <v>45081</v>
      </c>
      <c r="K149" t="str">
        <v>South</v>
      </c>
      <c r="L149" t="str">
        <v>Tamil Nadu</v>
      </c>
      <c r="M149" t="str">
        <v>Chennai</v>
      </c>
      <c r="N149" t="str">
        <v>Clothing</v>
      </c>
      <c r="O149">
        <v>20</v>
      </c>
      <c r="P149">
        <v>4398.47</v>
      </c>
      <c r="Q149">
        <v>87969.4</v>
      </c>
    </row>
    <row r="150" spans="1:17">
      <c r="A150" s="19">
        <v>45262</v>
      </c>
      <c r="B150" t="s">
        <v>1231</v>
      </c>
      <c r="C150" t="s">
        <v>1235</v>
      </c>
      <c r="D150" t="s">
        <v>1238</v>
      </c>
      <c r="E150" t="s">
        <v>128</v>
      </c>
      <c r="F150" s="10">
        <v>3</v>
      </c>
      <c r="G150" s="10">
        <v>3445.08</v>
      </c>
      <c r="H150" s="10">
        <v>10335.24</v>
      </c>
      <c r="J150">
        <v>45089</v>
      </c>
      <c r="K150" t="str">
        <v>South</v>
      </c>
      <c r="L150" t="str">
        <v>Tamil Nadu</v>
      </c>
      <c r="M150" t="str">
        <v>Chennai</v>
      </c>
      <c r="N150" t="str">
        <v>Clothing</v>
      </c>
      <c r="O150">
        <v>18</v>
      </c>
      <c r="P150">
        <v>4403.6899999999996</v>
      </c>
      <c r="Q150">
        <v>79266.42</v>
      </c>
    </row>
    <row r="151" spans="1:17">
      <c r="A151" s="19">
        <v>45143</v>
      </c>
      <c r="B151" t="s">
        <v>1242</v>
      </c>
      <c r="C151" t="s">
        <v>1243</v>
      </c>
      <c r="D151" t="s">
        <v>1245</v>
      </c>
      <c r="E151" t="s">
        <v>128</v>
      </c>
      <c r="F151" s="10">
        <v>3</v>
      </c>
      <c r="G151" s="10">
        <v>3366.66</v>
      </c>
      <c r="H151" s="10">
        <v>10099.98</v>
      </c>
      <c r="J151">
        <v>45016</v>
      </c>
      <c r="K151" t="str">
        <v>South</v>
      </c>
      <c r="L151" t="str">
        <v>Tamil Nadu</v>
      </c>
      <c r="M151" t="str">
        <v>Chennai</v>
      </c>
      <c r="N151" t="str">
        <v>Clothing</v>
      </c>
      <c r="O151">
        <v>17</v>
      </c>
      <c r="P151">
        <v>4515.21</v>
      </c>
      <c r="Q151">
        <v>76758.570000000007</v>
      </c>
    </row>
    <row r="152" spans="1:17">
      <c r="A152" s="19">
        <v>45212</v>
      </c>
      <c r="B152" t="s">
        <v>1231</v>
      </c>
      <c r="C152" t="s">
        <v>1235</v>
      </c>
      <c r="D152" t="s">
        <v>1236</v>
      </c>
      <c r="E152" t="s">
        <v>128</v>
      </c>
      <c r="F152" s="10">
        <v>12</v>
      </c>
      <c r="G152" s="10">
        <v>835.83</v>
      </c>
      <c r="H152" s="10">
        <v>10029.959999999999</v>
      </c>
      <c r="J152">
        <v>45118</v>
      </c>
      <c r="K152" t="str">
        <v>South</v>
      </c>
      <c r="L152" t="str">
        <v>Tamil Nadu</v>
      </c>
      <c r="M152" t="str">
        <v>Chennai</v>
      </c>
      <c r="N152" t="str">
        <v>Clothing</v>
      </c>
      <c r="O152">
        <v>13</v>
      </c>
      <c r="P152">
        <v>4021.84</v>
      </c>
      <c r="Q152">
        <v>52283.92</v>
      </c>
    </row>
    <row r="153" spans="1:17">
      <c r="A153" s="19">
        <v>45140</v>
      </c>
      <c r="B153" t="s">
        <v>1229</v>
      </c>
      <c r="C153" t="s">
        <v>1230</v>
      </c>
      <c r="D153" t="s">
        <v>1246</v>
      </c>
      <c r="E153" t="s">
        <v>128</v>
      </c>
      <c r="F153" s="10">
        <v>5</v>
      </c>
      <c r="G153" s="10">
        <v>1997.76</v>
      </c>
      <c r="H153" s="10">
        <v>9988.7999999999993</v>
      </c>
      <c r="J153">
        <v>45078</v>
      </c>
      <c r="K153" t="str">
        <v>South</v>
      </c>
      <c r="L153" t="str">
        <v>Tamil Nadu</v>
      </c>
      <c r="M153" t="str">
        <v>Chennai</v>
      </c>
      <c r="N153" t="str">
        <v>Clothing</v>
      </c>
      <c r="O153">
        <v>12</v>
      </c>
      <c r="P153">
        <v>3785.29</v>
      </c>
      <c r="Q153">
        <v>45423.48</v>
      </c>
    </row>
    <row r="154" spans="1:17">
      <c r="A154" s="19">
        <v>44986</v>
      </c>
      <c r="B154" t="s">
        <v>1231</v>
      </c>
      <c r="C154" t="s">
        <v>1235</v>
      </c>
      <c r="D154" t="s">
        <v>1241</v>
      </c>
      <c r="E154" t="s">
        <v>128</v>
      </c>
      <c r="F154" s="10">
        <v>20</v>
      </c>
      <c r="G154" s="10">
        <v>490.36</v>
      </c>
      <c r="H154" s="10">
        <v>9807.2000000000007</v>
      </c>
      <c r="J154">
        <v>45282</v>
      </c>
      <c r="K154" t="str">
        <v>South</v>
      </c>
      <c r="L154" t="str">
        <v>Tamil Nadu</v>
      </c>
      <c r="M154" t="str">
        <v>Chennai</v>
      </c>
      <c r="N154" t="str">
        <v>Clothing</v>
      </c>
      <c r="O154">
        <v>20</v>
      </c>
      <c r="P154">
        <v>2123.15</v>
      </c>
      <c r="Q154">
        <v>42463</v>
      </c>
    </row>
    <row r="155" spans="1:17">
      <c r="A155" s="19">
        <v>45052</v>
      </c>
      <c r="B155" t="s">
        <v>1231</v>
      </c>
      <c r="C155" t="s">
        <v>1232</v>
      </c>
      <c r="D155" t="s">
        <v>1234</v>
      </c>
      <c r="E155" t="s">
        <v>128</v>
      </c>
      <c r="F155" s="10">
        <v>4</v>
      </c>
      <c r="G155" s="10">
        <v>2425.52</v>
      </c>
      <c r="H155" s="10">
        <v>9702.08</v>
      </c>
      <c r="J155">
        <v>44988</v>
      </c>
      <c r="K155" t="str">
        <v>South</v>
      </c>
      <c r="L155" t="str">
        <v>Tamil Nadu</v>
      </c>
      <c r="M155" t="str">
        <v>Chennai</v>
      </c>
      <c r="N155" t="str">
        <v>Clothing</v>
      </c>
      <c r="O155">
        <v>16</v>
      </c>
      <c r="P155">
        <v>2640.08</v>
      </c>
      <c r="Q155">
        <v>42241.279999999999</v>
      </c>
    </row>
    <row r="156" spans="1:17">
      <c r="A156" s="19">
        <v>45206</v>
      </c>
      <c r="B156" t="s">
        <v>1229</v>
      </c>
      <c r="C156" t="s">
        <v>1230</v>
      </c>
      <c r="D156" t="s">
        <v>1248</v>
      </c>
      <c r="E156" t="s">
        <v>128</v>
      </c>
      <c r="F156" s="10">
        <v>2</v>
      </c>
      <c r="G156" s="10">
        <v>4664.91</v>
      </c>
      <c r="H156" s="10">
        <v>9329.82</v>
      </c>
      <c r="J156">
        <v>45154</v>
      </c>
      <c r="K156" t="str">
        <v>South</v>
      </c>
      <c r="L156" t="str">
        <v>Tamil Nadu</v>
      </c>
      <c r="M156" t="str">
        <v>Chennai</v>
      </c>
      <c r="N156" t="str">
        <v>Clothing</v>
      </c>
      <c r="O156">
        <v>12</v>
      </c>
      <c r="P156">
        <v>2557.5700000000002</v>
      </c>
      <c r="Q156">
        <v>30690.84</v>
      </c>
    </row>
    <row r="157" spans="1:17">
      <c r="A157" s="19">
        <v>45257</v>
      </c>
      <c r="B157" t="s">
        <v>1229</v>
      </c>
      <c r="C157" t="s">
        <v>1230</v>
      </c>
      <c r="D157" t="s">
        <v>1246</v>
      </c>
      <c r="E157" t="s">
        <v>128</v>
      </c>
      <c r="F157" s="10">
        <v>12</v>
      </c>
      <c r="G157" s="10">
        <v>749.68</v>
      </c>
      <c r="H157" s="10">
        <v>8996.16</v>
      </c>
      <c r="J157">
        <v>45084</v>
      </c>
      <c r="K157" t="str">
        <v>South</v>
      </c>
      <c r="L157" t="str">
        <v>Tamil Nadu</v>
      </c>
      <c r="M157" t="str">
        <v>Chennai</v>
      </c>
      <c r="N157" t="str">
        <v>Clothing</v>
      </c>
      <c r="O157">
        <v>13</v>
      </c>
      <c r="P157">
        <v>857.86</v>
      </c>
      <c r="Q157">
        <v>11152.18</v>
      </c>
    </row>
    <row r="158" spans="1:17">
      <c r="A158" s="19">
        <v>45067</v>
      </c>
      <c r="B158" t="s">
        <v>1231</v>
      </c>
      <c r="C158" t="s">
        <v>1235</v>
      </c>
      <c r="D158" t="s">
        <v>1238</v>
      </c>
      <c r="E158" t="s">
        <v>128</v>
      </c>
      <c r="F158" s="10">
        <v>5</v>
      </c>
      <c r="G158" s="10">
        <v>1757.01</v>
      </c>
      <c r="H158" s="10">
        <v>8785.0499999999993</v>
      </c>
      <c r="J158">
        <v>45060</v>
      </c>
      <c r="K158" t="str">
        <v>South</v>
      </c>
      <c r="L158" t="str">
        <v>Tamil Nadu</v>
      </c>
      <c r="M158" t="str">
        <v>Chennai</v>
      </c>
      <c r="N158" t="str">
        <v>Clothing</v>
      </c>
      <c r="O158">
        <v>3</v>
      </c>
      <c r="P158">
        <v>1205.6199999999999</v>
      </c>
      <c r="Q158">
        <v>3616.86</v>
      </c>
    </row>
    <row r="159" spans="1:17">
      <c r="A159" s="19">
        <v>45199</v>
      </c>
      <c r="B159" t="s">
        <v>1229</v>
      </c>
      <c r="C159" t="s">
        <v>1230</v>
      </c>
      <c r="D159" t="s">
        <v>1169</v>
      </c>
      <c r="E159" t="s">
        <v>128</v>
      </c>
      <c r="F159" s="10">
        <v>11</v>
      </c>
      <c r="G159" s="10">
        <v>793.45</v>
      </c>
      <c r="H159" s="10">
        <v>8727.9500000000007</v>
      </c>
      <c r="J159">
        <v>45231</v>
      </c>
      <c r="K159" t="str">
        <v>South</v>
      </c>
      <c r="L159" t="str">
        <v>Tamil Nadu</v>
      </c>
      <c r="M159" t="str">
        <v>Chennai</v>
      </c>
      <c r="N159" t="str">
        <v>Clothing</v>
      </c>
      <c r="O159">
        <v>1</v>
      </c>
      <c r="P159">
        <v>1520.97</v>
      </c>
      <c r="Q159">
        <v>1520.97</v>
      </c>
    </row>
    <row r="160" spans="1:17">
      <c r="A160" s="19">
        <v>44954</v>
      </c>
      <c r="B160" t="s">
        <v>1242</v>
      </c>
      <c r="C160" t="s">
        <v>1243</v>
      </c>
      <c r="D160" t="s">
        <v>1247</v>
      </c>
      <c r="E160" t="s">
        <v>128</v>
      </c>
      <c r="F160" s="10">
        <v>4</v>
      </c>
      <c r="G160" s="10">
        <v>2169.61</v>
      </c>
      <c r="H160" s="10">
        <v>8678.44</v>
      </c>
      <c r="J160">
        <v>45080</v>
      </c>
      <c r="K160" t="str">
        <v>South</v>
      </c>
      <c r="L160" t="str">
        <v>Tamil Nadu</v>
      </c>
      <c r="M160" t="str">
        <v>Chennai</v>
      </c>
      <c r="N160" t="str">
        <v>Clothing</v>
      </c>
      <c r="O160">
        <v>1</v>
      </c>
      <c r="P160">
        <v>696.38</v>
      </c>
      <c r="Q160">
        <v>696.38</v>
      </c>
    </row>
    <row r="161" spans="1:17">
      <c r="A161" s="19">
        <v>45144</v>
      </c>
      <c r="B161" t="s">
        <v>1231</v>
      </c>
      <c r="C161" t="s">
        <v>1235</v>
      </c>
      <c r="D161" t="s">
        <v>1238</v>
      </c>
      <c r="E161" t="s">
        <v>128</v>
      </c>
      <c r="F161" s="10">
        <v>10</v>
      </c>
      <c r="G161" s="10">
        <v>812.98</v>
      </c>
      <c r="H161" s="10">
        <v>8129.8</v>
      </c>
      <c r="J161">
        <v>45159</v>
      </c>
      <c r="K161" t="str">
        <v>South</v>
      </c>
      <c r="L161" t="str">
        <v>Tamil Nadu</v>
      </c>
      <c r="M161" t="str">
        <v>Chennai</v>
      </c>
      <c r="N161" t="str">
        <v>Clothing</v>
      </c>
      <c r="O161">
        <v>1</v>
      </c>
      <c r="P161">
        <v>421.27</v>
      </c>
      <c r="Q161">
        <v>421.27</v>
      </c>
    </row>
    <row r="162" spans="1:17">
      <c r="A162" s="19">
        <v>45055</v>
      </c>
      <c r="B162" t="s">
        <v>1231</v>
      </c>
      <c r="C162" t="s">
        <v>1235</v>
      </c>
      <c r="D162" t="s">
        <v>1241</v>
      </c>
      <c r="E162" t="s">
        <v>128</v>
      </c>
      <c r="F162" s="10">
        <v>16</v>
      </c>
      <c r="G162" s="10">
        <v>502.59</v>
      </c>
      <c r="H162" s="10">
        <v>8041.44</v>
      </c>
      <c r="J162">
        <v>45191</v>
      </c>
      <c r="K162" t="str">
        <v>South</v>
      </c>
      <c r="L162" t="str">
        <v>Tamil Nadu</v>
      </c>
      <c r="M162" t="str">
        <v>Chennai</v>
      </c>
      <c r="N162" t="str">
        <v>Electronics</v>
      </c>
      <c r="O162">
        <v>20</v>
      </c>
      <c r="P162">
        <v>4710.8500000000004</v>
      </c>
      <c r="Q162">
        <v>94217</v>
      </c>
    </row>
    <row r="163" spans="1:17">
      <c r="A163" s="19">
        <v>45203</v>
      </c>
      <c r="B163" t="s">
        <v>1231</v>
      </c>
      <c r="C163" t="s">
        <v>1232</v>
      </c>
      <c r="D163" t="s">
        <v>1234</v>
      </c>
      <c r="E163" t="s">
        <v>128</v>
      </c>
      <c r="F163" s="10">
        <v>17</v>
      </c>
      <c r="G163" s="10">
        <v>463.54</v>
      </c>
      <c r="H163" s="10">
        <v>7880.18</v>
      </c>
      <c r="J163">
        <v>44993</v>
      </c>
      <c r="K163" t="str">
        <v>South</v>
      </c>
      <c r="L163" t="str">
        <v>Tamil Nadu</v>
      </c>
      <c r="M163" t="str">
        <v>Chennai</v>
      </c>
      <c r="N163" t="str">
        <v>Electronics</v>
      </c>
      <c r="O163">
        <v>19</v>
      </c>
      <c r="P163">
        <v>4642.84</v>
      </c>
      <c r="Q163">
        <v>88213.96</v>
      </c>
    </row>
    <row r="164" spans="1:17">
      <c r="A164" s="19">
        <v>44960</v>
      </c>
      <c r="B164" t="s">
        <v>1242</v>
      </c>
      <c r="C164" t="s">
        <v>1243</v>
      </c>
      <c r="D164" t="s">
        <v>1247</v>
      </c>
      <c r="E164" t="s">
        <v>128</v>
      </c>
      <c r="F164" s="10">
        <v>4</v>
      </c>
      <c r="G164" s="10">
        <v>1938.6</v>
      </c>
      <c r="H164" s="10">
        <v>7754.4</v>
      </c>
      <c r="J164">
        <v>44989</v>
      </c>
      <c r="K164" t="str">
        <v>South</v>
      </c>
      <c r="L164" t="str">
        <v>Tamil Nadu</v>
      </c>
      <c r="M164" t="str">
        <v>Chennai</v>
      </c>
      <c r="N164" t="str">
        <v>Electronics</v>
      </c>
      <c r="O164">
        <v>13</v>
      </c>
      <c r="P164">
        <v>2693.09</v>
      </c>
      <c r="Q164">
        <v>35010.17</v>
      </c>
    </row>
    <row r="165" spans="1:17">
      <c r="A165" s="19">
        <v>44931</v>
      </c>
      <c r="B165" t="s">
        <v>1231</v>
      </c>
      <c r="C165" t="s">
        <v>1232</v>
      </c>
      <c r="D165" t="s">
        <v>1240</v>
      </c>
      <c r="E165" t="s">
        <v>128</v>
      </c>
      <c r="F165" s="10">
        <v>10</v>
      </c>
      <c r="G165" s="10">
        <v>772.21</v>
      </c>
      <c r="H165" s="10">
        <v>7722.1</v>
      </c>
      <c r="J165">
        <v>45285</v>
      </c>
      <c r="K165" t="str">
        <v>South</v>
      </c>
      <c r="L165" t="str">
        <v>Tamil Nadu</v>
      </c>
      <c r="M165" t="str">
        <v>Chennai</v>
      </c>
      <c r="N165" t="str">
        <v>Electronics</v>
      </c>
      <c r="O165">
        <v>18</v>
      </c>
      <c r="P165">
        <v>1279.4100000000001</v>
      </c>
      <c r="Q165">
        <v>23029.38</v>
      </c>
    </row>
    <row r="166" spans="1:17">
      <c r="A166" s="19">
        <v>45254</v>
      </c>
      <c r="B166" t="s">
        <v>1242</v>
      </c>
      <c r="C166" t="s">
        <v>1243</v>
      </c>
      <c r="D166" t="s">
        <v>1244</v>
      </c>
      <c r="E166" t="s">
        <v>128</v>
      </c>
      <c r="F166" s="10">
        <v>7</v>
      </c>
      <c r="G166" s="10">
        <v>1102.48</v>
      </c>
      <c r="H166" s="10">
        <v>7717.36</v>
      </c>
      <c r="J166">
        <v>44940</v>
      </c>
      <c r="K166" t="str">
        <v>South</v>
      </c>
      <c r="L166" t="str">
        <v>Tamil Nadu</v>
      </c>
      <c r="M166" t="str">
        <v>Chennai</v>
      </c>
      <c r="N166" t="str">
        <v>Electronics</v>
      </c>
      <c r="O166">
        <v>14</v>
      </c>
      <c r="P166">
        <v>1293.27</v>
      </c>
      <c r="Q166">
        <v>18105.78</v>
      </c>
    </row>
    <row r="167" spans="1:17">
      <c r="A167" s="19">
        <v>44993</v>
      </c>
      <c r="B167" t="s">
        <v>1229</v>
      </c>
      <c r="C167" t="s">
        <v>1230</v>
      </c>
      <c r="D167" t="s">
        <v>1248</v>
      </c>
      <c r="E167" t="s">
        <v>128</v>
      </c>
      <c r="F167" s="10">
        <v>2</v>
      </c>
      <c r="G167" s="10">
        <v>3825.5</v>
      </c>
      <c r="H167" s="10">
        <v>7651</v>
      </c>
      <c r="J167">
        <v>44986</v>
      </c>
      <c r="K167" t="str">
        <v>South</v>
      </c>
      <c r="L167" t="str">
        <v>Tamil Nadu</v>
      </c>
      <c r="M167" t="str">
        <v>Chennai</v>
      </c>
      <c r="N167" t="str">
        <v>Electronics</v>
      </c>
      <c r="O167">
        <v>3</v>
      </c>
      <c r="P167">
        <v>4132.17</v>
      </c>
      <c r="Q167">
        <v>12396.51</v>
      </c>
    </row>
    <row r="168" spans="1:17">
      <c r="A168" s="19">
        <v>44992</v>
      </c>
      <c r="B168" t="s">
        <v>1231</v>
      </c>
      <c r="C168" t="s">
        <v>1232</v>
      </c>
      <c r="D168" t="s">
        <v>1240</v>
      </c>
      <c r="E168" t="s">
        <v>128</v>
      </c>
      <c r="F168" s="10">
        <v>5</v>
      </c>
      <c r="G168" s="10">
        <v>1460.84</v>
      </c>
      <c r="H168" s="10">
        <v>7304.2</v>
      </c>
      <c r="J168">
        <v>45116</v>
      </c>
      <c r="K168" t="str">
        <v>South</v>
      </c>
      <c r="L168" t="str">
        <v>Tamil Nadu</v>
      </c>
      <c r="M168" t="str">
        <v>Chennai</v>
      </c>
      <c r="N168" t="str">
        <v>Electronics</v>
      </c>
      <c r="O168">
        <v>4</v>
      </c>
      <c r="P168">
        <v>3022.72</v>
      </c>
      <c r="Q168">
        <v>12090.88</v>
      </c>
    </row>
    <row r="169" spans="1:17">
      <c r="A169" s="19">
        <v>44949</v>
      </c>
      <c r="B169" t="s">
        <v>1229</v>
      </c>
      <c r="C169" t="s">
        <v>1237</v>
      </c>
      <c r="D169" t="s">
        <v>1171</v>
      </c>
      <c r="E169" t="s">
        <v>128</v>
      </c>
      <c r="F169" s="10">
        <v>9</v>
      </c>
      <c r="G169" s="10">
        <v>808.93</v>
      </c>
      <c r="H169" s="10">
        <v>7280.37</v>
      </c>
      <c r="J169">
        <v>45284</v>
      </c>
      <c r="K169" t="str">
        <v>South</v>
      </c>
      <c r="L169" t="str">
        <v>Tamil Nadu</v>
      </c>
      <c r="M169" t="str">
        <v>Chennai</v>
      </c>
      <c r="N169" t="str">
        <v>Electronics</v>
      </c>
      <c r="O169">
        <v>15</v>
      </c>
      <c r="P169">
        <v>170.6</v>
      </c>
      <c r="Q169">
        <v>2559</v>
      </c>
    </row>
    <row r="170" spans="1:17">
      <c r="A170" s="19">
        <v>45003</v>
      </c>
      <c r="B170" t="s">
        <v>1231</v>
      </c>
      <c r="C170" t="s">
        <v>1235</v>
      </c>
      <c r="D170" t="s">
        <v>1241</v>
      </c>
      <c r="E170" t="s">
        <v>128</v>
      </c>
      <c r="F170" s="10">
        <v>12</v>
      </c>
      <c r="G170" s="10">
        <v>596.13</v>
      </c>
      <c r="H170" s="10">
        <v>7153.56</v>
      </c>
      <c r="J170">
        <v>45164</v>
      </c>
      <c r="K170" t="str">
        <v>South</v>
      </c>
      <c r="L170" t="str">
        <v>Tamil Nadu</v>
      </c>
      <c r="M170" t="str">
        <v>Chennai</v>
      </c>
      <c r="N170" t="str">
        <v>Furniture</v>
      </c>
      <c r="O170">
        <v>10</v>
      </c>
      <c r="P170">
        <v>2349.2399999999998</v>
      </c>
      <c r="Q170">
        <v>23492.400000000001</v>
      </c>
    </row>
    <row r="171" spans="1:17">
      <c r="A171" s="19">
        <v>45014</v>
      </c>
      <c r="B171" t="s">
        <v>1229</v>
      </c>
      <c r="C171" t="s">
        <v>1237</v>
      </c>
      <c r="D171" t="s">
        <v>1173</v>
      </c>
      <c r="E171" t="s">
        <v>128</v>
      </c>
      <c r="F171" s="10">
        <v>12</v>
      </c>
      <c r="G171" s="10">
        <v>593.52</v>
      </c>
      <c r="H171" s="10">
        <v>7122.24</v>
      </c>
      <c r="J171">
        <v>45001</v>
      </c>
      <c r="K171" t="str">
        <v>South</v>
      </c>
      <c r="L171" t="str">
        <v>Tamil Nadu</v>
      </c>
      <c r="M171" t="str">
        <v>Chennai</v>
      </c>
      <c r="N171" t="str">
        <v>Furniture</v>
      </c>
      <c r="O171">
        <v>9</v>
      </c>
      <c r="P171">
        <v>1805.32</v>
      </c>
      <c r="Q171">
        <v>16247.88</v>
      </c>
    </row>
    <row r="172" spans="1:17">
      <c r="A172" s="19">
        <v>45282</v>
      </c>
      <c r="B172" t="s">
        <v>1242</v>
      </c>
      <c r="C172" t="s">
        <v>1243</v>
      </c>
      <c r="D172" t="s">
        <v>1245</v>
      </c>
      <c r="E172" t="s">
        <v>128</v>
      </c>
      <c r="F172" s="10">
        <v>12</v>
      </c>
      <c r="G172" s="10">
        <v>538.91</v>
      </c>
      <c r="H172" s="10">
        <v>6466.92</v>
      </c>
      <c r="J172">
        <v>45238</v>
      </c>
      <c r="K172" t="str">
        <v>South</v>
      </c>
      <c r="L172" t="str">
        <v>Tamil Nadu</v>
      </c>
      <c r="M172" t="str">
        <v>Chennai</v>
      </c>
      <c r="N172" t="str">
        <v>Furniture</v>
      </c>
      <c r="O172">
        <v>4</v>
      </c>
      <c r="P172">
        <v>4058.48</v>
      </c>
      <c r="Q172">
        <v>16233.92</v>
      </c>
    </row>
    <row r="173" spans="1:17">
      <c r="A173" s="19">
        <v>45038</v>
      </c>
      <c r="B173" t="s">
        <v>1229</v>
      </c>
      <c r="C173" t="s">
        <v>1230</v>
      </c>
      <c r="D173" t="s">
        <v>1248</v>
      </c>
      <c r="E173" t="s">
        <v>128</v>
      </c>
      <c r="F173" s="10">
        <v>6</v>
      </c>
      <c r="G173" s="10">
        <v>1016.27</v>
      </c>
      <c r="H173" s="10">
        <v>6097.62</v>
      </c>
      <c r="J173">
        <v>45208</v>
      </c>
      <c r="K173" t="str">
        <v>South</v>
      </c>
      <c r="L173" t="str">
        <v>Tamil Nadu</v>
      </c>
      <c r="M173" t="str">
        <v>Chennai</v>
      </c>
      <c r="N173" t="str">
        <v>Furniture</v>
      </c>
      <c r="O173">
        <v>3</v>
      </c>
      <c r="P173">
        <v>3533.3</v>
      </c>
      <c r="Q173">
        <v>10599.9</v>
      </c>
    </row>
    <row r="174" spans="1:17">
      <c r="A174" s="19">
        <v>45244</v>
      </c>
      <c r="B174" t="s">
        <v>1229</v>
      </c>
      <c r="C174" t="s">
        <v>1230</v>
      </c>
      <c r="D174" t="s">
        <v>1246</v>
      </c>
      <c r="E174" t="s">
        <v>128</v>
      </c>
      <c r="F174" s="10">
        <v>8</v>
      </c>
      <c r="G174" s="10">
        <v>758.58</v>
      </c>
      <c r="H174" s="10">
        <v>6068.64</v>
      </c>
      <c r="J174">
        <v>45227</v>
      </c>
      <c r="K174" t="str">
        <v>South</v>
      </c>
      <c r="L174" t="str">
        <v>Tamil Nadu</v>
      </c>
      <c r="M174" t="str">
        <v>Chennai</v>
      </c>
      <c r="N174" t="str">
        <v>Furniture</v>
      </c>
      <c r="O174">
        <v>3</v>
      </c>
      <c r="P174">
        <v>2756.83</v>
      </c>
      <c r="Q174">
        <v>8270.49</v>
      </c>
    </row>
    <row r="175" spans="1:17">
      <c r="A175" s="19">
        <v>45011</v>
      </c>
      <c r="B175" t="s">
        <v>1231</v>
      </c>
      <c r="C175" t="s">
        <v>1235</v>
      </c>
      <c r="D175" t="s">
        <v>1238</v>
      </c>
      <c r="E175" t="s">
        <v>128</v>
      </c>
      <c r="F175" s="10">
        <v>4</v>
      </c>
      <c r="G175" s="10">
        <v>1434.97</v>
      </c>
      <c r="H175" s="10">
        <v>5739.88</v>
      </c>
      <c r="J175">
        <v>44964</v>
      </c>
      <c r="K175" t="str">
        <v>South</v>
      </c>
      <c r="L175" t="str">
        <v>Tamil Nadu</v>
      </c>
      <c r="M175" t="str">
        <v>Chennai</v>
      </c>
      <c r="N175" t="str">
        <v>Furniture</v>
      </c>
      <c r="O175">
        <v>8</v>
      </c>
      <c r="P175">
        <v>562.98</v>
      </c>
      <c r="Q175">
        <v>4503.84</v>
      </c>
    </row>
    <row r="176" spans="1:17">
      <c r="A176" s="19">
        <v>44992</v>
      </c>
      <c r="B176" t="s">
        <v>1231</v>
      </c>
      <c r="C176" t="s">
        <v>1232</v>
      </c>
      <c r="D176" t="s">
        <v>1240</v>
      </c>
      <c r="E176" t="s">
        <v>128</v>
      </c>
      <c r="F176" s="10">
        <v>4</v>
      </c>
      <c r="G176" s="10">
        <v>1385.95</v>
      </c>
      <c r="H176" s="10">
        <v>5543.8</v>
      </c>
      <c r="J176">
        <v>45004</v>
      </c>
      <c r="K176" t="str">
        <v>South</v>
      </c>
      <c r="L176" t="str">
        <v>Tamil Nadu</v>
      </c>
      <c r="M176" t="str">
        <v>Chennai</v>
      </c>
      <c r="N176" t="str">
        <v>Furniture</v>
      </c>
      <c r="O176">
        <v>4</v>
      </c>
      <c r="P176">
        <v>366.33</v>
      </c>
      <c r="Q176">
        <v>1465.32</v>
      </c>
    </row>
    <row r="177" spans="1:17">
      <c r="A177" s="19">
        <v>45247</v>
      </c>
      <c r="B177" t="s">
        <v>1229</v>
      </c>
      <c r="C177" t="s">
        <v>1230</v>
      </c>
      <c r="D177" t="s">
        <v>1169</v>
      </c>
      <c r="E177" t="s">
        <v>128</v>
      </c>
      <c r="F177" s="10">
        <v>3</v>
      </c>
      <c r="G177" s="10">
        <v>1818.3</v>
      </c>
      <c r="H177" s="10">
        <v>5454.9</v>
      </c>
      <c r="J177">
        <v>45274</v>
      </c>
      <c r="K177" t="str">
        <v>South</v>
      </c>
      <c r="L177" t="str">
        <v>Tamil Nadu</v>
      </c>
      <c r="M177" t="str">
        <v>Chennai</v>
      </c>
      <c r="N177" t="str">
        <v>Furniture</v>
      </c>
      <c r="O177">
        <v>5</v>
      </c>
      <c r="P177">
        <v>278.31</v>
      </c>
      <c r="Q177">
        <v>1391.55</v>
      </c>
    </row>
    <row r="178" spans="1:17">
      <c r="A178" s="19">
        <v>45257</v>
      </c>
      <c r="B178" t="s">
        <v>1229</v>
      </c>
      <c r="C178" t="s">
        <v>1230</v>
      </c>
      <c r="D178" t="s">
        <v>1169</v>
      </c>
      <c r="E178" t="s">
        <v>128</v>
      </c>
      <c r="F178" s="10">
        <v>4</v>
      </c>
      <c r="G178" s="10">
        <v>1303.8800000000001</v>
      </c>
      <c r="H178" s="10">
        <v>5215.5200000000004</v>
      </c>
      <c r="J178">
        <v>45210</v>
      </c>
      <c r="K178" t="str">
        <v>South</v>
      </c>
      <c r="L178" t="str">
        <v>Tamil Nadu</v>
      </c>
      <c r="M178" t="str">
        <v>Chennai</v>
      </c>
      <c r="N178" t="str">
        <v>Groceries</v>
      </c>
      <c r="O178">
        <v>16</v>
      </c>
      <c r="P178">
        <v>3155.43</v>
      </c>
      <c r="Q178">
        <v>50486.879999999997</v>
      </c>
    </row>
    <row r="179" spans="1:17">
      <c r="A179" s="19">
        <v>45001</v>
      </c>
      <c r="B179" t="s">
        <v>1229</v>
      </c>
      <c r="C179" t="s">
        <v>1237</v>
      </c>
      <c r="D179" t="s">
        <v>1239</v>
      </c>
      <c r="E179" t="s">
        <v>128</v>
      </c>
      <c r="F179" s="10">
        <v>4</v>
      </c>
      <c r="G179" s="10">
        <v>1256.3399999999999</v>
      </c>
      <c r="H179" s="10">
        <v>5025.3599999999997</v>
      </c>
      <c r="J179">
        <v>44993</v>
      </c>
      <c r="K179" t="str">
        <v>South</v>
      </c>
      <c r="L179" t="str">
        <v>Tamil Nadu</v>
      </c>
      <c r="M179" t="str">
        <v>Chennai</v>
      </c>
      <c r="N179" t="str">
        <v>Groceries</v>
      </c>
      <c r="O179">
        <v>17</v>
      </c>
      <c r="P179">
        <v>2603.4899999999998</v>
      </c>
      <c r="Q179">
        <v>44259.33</v>
      </c>
    </row>
    <row r="180" spans="1:17">
      <c r="A180" s="19">
        <v>45135</v>
      </c>
      <c r="B180" t="s">
        <v>1242</v>
      </c>
      <c r="C180" t="s">
        <v>1243</v>
      </c>
      <c r="D180" t="s">
        <v>1244</v>
      </c>
      <c r="E180" t="s">
        <v>128</v>
      </c>
      <c r="F180" s="10">
        <v>18</v>
      </c>
      <c r="G180" s="10">
        <v>276.35000000000002</v>
      </c>
      <c r="H180" s="10">
        <v>4974.3</v>
      </c>
      <c r="J180">
        <v>45074</v>
      </c>
      <c r="K180" t="str">
        <v>South</v>
      </c>
      <c r="L180" t="str">
        <v>Tamil Nadu</v>
      </c>
      <c r="M180" t="str">
        <v>Chennai</v>
      </c>
      <c r="N180" t="str">
        <v>Groceries</v>
      </c>
      <c r="O180">
        <v>10</v>
      </c>
      <c r="P180">
        <v>4413.5</v>
      </c>
      <c r="Q180">
        <v>44135</v>
      </c>
    </row>
    <row r="181" spans="1:17">
      <c r="A181" s="19">
        <v>45150</v>
      </c>
      <c r="B181" t="s">
        <v>1242</v>
      </c>
      <c r="C181" t="s">
        <v>1243</v>
      </c>
      <c r="D181" t="s">
        <v>1247</v>
      </c>
      <c r="E181" t="s">
        <v>128</v>
      </c>
      <c r="F181" s="10">
        <v>15</v>
      </c>
      <c r="G181" s="10">
        <v>318.32</v>
      </c>
      <c r="H181" s="10">
        <v>4774.8</v>
      </c>
      <c r="J181">
        <v>45057</v>
      </c>
      <c r="K181" t="str">
        <v>South</v>
      </c>
      <c r="L181" t="str">
        <v>Tamil Nadu</v>
      </c>
      <c r="M181" t="str">
        <v>Chennai</v>
      </c>
      <c r="N181" t="str">
        <v>Groceries</v>
      </c>
      <c r="O181">
        <v>15</v>
      </c>
      <c r="P181">
        <v>2905.47</v>
      </c>
      <c r="Q181">
        <v>43582.05</v>
      </c>
    </row>
    <row r="182" spans="1:17">
      <c r="A182" s="19">
        <v>45083</v>
      </c>
      <c r="B182" t="s">
        <v>1229</v>
      </c>
      <c r="C182" t="s">
        <v>1237</v>
      </c>
      <c r="D182" t="s">
        <v>1239</v>
      </c>
      <c r="E182" t="s">
        <v>128</v>
      </c>
      <c r="F182" s="10">
        <v>1</v>
      </c>
      <c r="G182" s="10">
        <v>4681.07</v>
      </c>
      <c r="H182" s="10">
        <v>4681.07</v>
      </c>
      <c r="J182">
        <v>45278</v>
      </c>
      <c r="K182" t="str">
        <v>South</v>
      </c>
      <c r="L182" t="str">
        <v>Tamil Nadu</v>
      </c>
      <c r="M182" t="str">
        <v>Chennai</v>
      </c>
      <c r="N182" t="str">
        <v>Groceries</v>
      </c>
      <c r="O182">
        <v>9</v>
      </c>
      <c r="P182">
        <v>4638.57</v>
      </c>
      <c r="Q182">
        <v>41747.129999999997</v>
      </c>
    </row>
    <row r="183" spans="1:17">
      <c r="A183" s="19">
        <v>45261</v>
      </c>
      <c r="B183" t="s">
        <v>1229</v>
      </c>
      <c r="C183" t="s">
        <v>1230</v>
      </c>
      <c r="D183" t="s">
        <v>1246</v>
      </c>
      <c r="E183" t="s">
        <v>128</v>
      </c>
      <c r="F183" s="10">
        <v>1</v>
      </c>
      <c r="G183" s="10">
        <v>4557.0600000000004</v>
      </c>
      <c r="H183" s="10">
        <v>4557.0600000000004</v>
      </c>
      <c r="J183">
        <v>45195</v>
      </c>
      <c r="K183" t="str">
        <v>South</v>
      </c>
      <c r="L183" t="str">
        <v>Tamil Nadu</v>
      </c>
      <c r="M183" t="str">
        <v>Chennai</v>
      </c>
      <c r="N183" t="str">
        <v>Groceries</v>
      </c>
      <c r="O183">
        <v>5</v>
      </c>
      <c r="P183">
        <v>4499.88</v>
      </c>
      <c r="Q183">
        <v>22499.4</v>
      </c>
    </row>
    <row r="184" spans="1:17">
      <c r="A184" s="19">
        <v>45226</v>
      </c>
      <c r="B184" t="s">
        <v>1231</v>
      </c>
      <c r="C184" t="s">
        <v>1232</v>
      </c>
      <c r="D184" t="s">
        <v>1234</v>
      </c>
      <c r="E184" t="s">
        <v>128</v>
      </c>
      <c r="F184" s="10">
        <v>1</v>
      </c>
      <c r="G184" s="10">
        <v>4443.22</v>
      </c>
      <c r="H184" s="10">
        <v>4443.22</v>
      </c>
      <c r="J184">
        <v>44965</v>
      </c>
      <c r="K184" t="str">
        <v>South</v>
      </c>
      <c r="L184" t="str">
        <v>Tamil Nadu</v>
      </c>
      <c r="M184" t="str">
        <v>Chennai</v>
      </c>
      <c r="N184" t="str">
        <v>Groceries</v>
      </c>
      <c r="O184">
        <v>12</v>
      </c>
      <c r="P184">
        <v>1608.11</v>
      </c>
      <c r="Q184">
        <v>19297.32</v>
      </c>
    </row>
    <row r="185" spans="1:17">
      <c r="A185" s="19">
        <v>45260</v>
      </c>
      <c r="B185" t="s">
        <v>1231</v>
      </c>
      <c r="C185" t="s">
        <v>1235</v>
      </c>
      <c r="D185" t="s">
        <v>1241</v>
      </c>
      <c r="E185" t="s">
        <v>128</v>
      </c>
      <c r="F185" s="10">
        <v>2</v>
      </c>
      <c r="G185" s="10">
        <v>2087.14</v>
      </c>
      <c r="H185" s="10">
        <v>4174.28</v>
      </c>
      <c r="J185">
        <v>45213</v>
      </c>
      <c r="K185" t="str">
        <v>South</v>
      </c>
      <c r="L185" t="str">
        <v>Tamil Nadu</v>
      </c>
      <c r="M185" t="str">
        <v>Chennai</v>
      </c>
      <c r="N185" t="str">
        <v>Groceries</v>
      </c>
      <c r="O185">
        <v>5</v>
      </c>
      <c r="P185">
        <v>1445.72</v>
      </c>
      <c r="Q185">
        <v>7228.6</v>
      </c>
    </row>
    <row r="186" spans="1:17">
      <c r="A186" s="19">
        <v>45038</v>
      </c>
      <c r="B186" t="s">
        <v>1231</v>
      </c>
      <c r="C186" t="s">
        <v>1235</v>
      </c>
      <c r="D186" t="s">
        <v>1241</v>
      </c>
      <c r="E186" t="s">
        <v>128</v>
      </c>
      <c r="F186" s="10">
        <v>1</v>
      </c>
      <c r="G186" s="10">
        <v>3964.08</v>
      </c>
      <c r="H186" s="10">
        <v>3964.08</v>
      </c>
      <c r="J186">
        <v>45159</v>
      </c>
      <c r="K186" t="str">
        <v>South</v>
      </c>
      <c r="L186" t="str">
        <v>Tamil Nadu</v>
      </c>
      <c r="M186" t="str">
        <v>Chennai</v>
      </c>
      <c r="N186" t="str">
        <v>Groceries</v>
      </c>
      <c r="O186">
        <v>7</v>
      </c>
      <c r="P186">
        <v>711.35</v>
      </c>
      <c r="Q186">
        <v>4979.45</v>
      </c>
    </row>
    <row r="187" spans="1:17">
      <c r="A187" s="19">
        <v>45024</v>
      </c>
      <c r="B187" t="s">
        <v>1229</v>
      </c>
      <c r="C187" t="s">
        <v>1237</v>
      </c>
      <c r="D187" t="s">
        <v>1171</v>
      </c>
      <c r="E187" t="s">
        <v>128</v>
      </c>
      <c r="F187" s="10">
        <v>1</v>
      </c>
      <c r="G187" s="10">
        <v>3847.65</v>
      </c>
      <c r="H187" s="10">
        <v>3847.65</v>
      </c>
      <c r="J187">
        <v>44932</v>
      </c>
      <c r="K187" t="str">
        <v>South</v>
      </c>
      <c r="L187" t="str">
        <v>Tamil Nadu</v>
      </c>
      <c r="M187" t="str">
        <v>Chennai</v>
      </c>
      <c r="N187" t="str">
        <v>Groceries</v>
      </c>
      <c r="O187">
        <v>2</v>
      </c>
      <c r="P187">
        <v>779.35</v>
      </c>
      <c r="Q187">
        <v>1558.7</v>
      </c>
    </row>
    <row r="188" spans="1:17">
      <c r="A188" s="19">
        <v>44964</v>
      </c>
      <c r="B188" t="s">
        <v>1229</v>
      </c>
      <c r="C188" t="s">
        <v>1237</v>
      </c>
      <c r="D188" t="s">
        <v>1239</v>
      </c>
      <c r="E188" t="s">
        <v>128</v>
      </c>
      <c r="F188" s="10">
        <v>11</v>
      </c>
      <c r="G188" s="10">
        <v>335.31</v>
      </c>
      <c r="H188" s="10">
        <v>3688.41</v>
      </c>
      <c r="J188">
        <v>45156</v>
      </c>
      <c r="K188" t="str">
        <v>South</v>
      </c>
      <c r="L188" t="str">
        <v>Tamil Nadu</v>
      </c>
      <c r="M188" t="str">
        <v>Chennai</v>
      </c>
      <c r="N188" t="str">
        <v>Groceries</v>
      </c>
      <c r="O188">
        <v>1</v>
      </c>
      <c r="P188">
        <v>1094.8800000000001</v>
      </c>
      <c r="Q188">
        <v>1094.8800000000001</v>
      </c>
    </row>
    <row r="189" spans="1:17">
      <c r="A189" s="19">
        <v>45214</v>
      </c>
      <c r="B189" t="s">
        <v>1229</v>
      </c>
      <c r="C189" t="s">
        <v>1230</v>
      </c>
      <c r="D189" t="s">
        <v>1169</v>
      </c>
      <c r="E189" t="s">
        <v>128</v>
      </c>
      <c r="F189" s="10">
        <v>1</v>
      </c>
      <c r="G189" s="10">
        <v>3658.84</v>
      </c>
      <c r="H189" s="10">
        <v>3658.84</v>
      </c>
      <c r="J189">
        <v>44949</v>
      </c>
      <c r="K189" t="str">
        <v>South</v>
      </c>
      <c r="L189" t="str">
        <v>Tamil Nadu</v>
      </c>
      <c r="M189" t="str">
        <v>Chennai</v>
      </c>
      <c r="N189" t="str">
        <v>Groceries</v>
      </c>
      <c r="O189">
        <v>1</v>
      </c>
      <c r="P189">
        <v>267.32</v>
      </c>
      <c r="Q189">
        <v>267.32</v>
      </c>
    </row>
    <row r="190" spans="1:17">
      <c r="A190" s="19">
        <v>45166</v>
      </c>
      <c r="B190" t="s">
        <v>1231</v>
      </c>
      <c r="C190" t="s">
        <v>1235</v>
      </c>
      <c r="D190" t="s">
        <v>1241</v>
      </c>
      <c r="E190" t="s">
        <v>128</v>
      </c>
      <c r="F190" s="10">
        <v>2</v>
      </c>
      <c r="G190" s="10">
        <v>1827.28</v>
      </c>
      <c r="H190" s="10">
        <v>3654.56</v>
      </c>
      <c r="J190">
        <v>45086</v>
      </c>
      <c r="K190" t="str">
        <v>South</v>
      </c>
      <c r="L190" t="str">
        <v>Tamil Nadu</v>
      </c>
      <c r="M190" t="str">
        <v>Chennai</v>
      </c>
      <c r="N190" t="str">
        <v>Stationery</v>
      </c>
      <c r="O190">
        <v>18</v>
      </c>
      <c r="P190">
        <v>4103.6099999999997</v>
      </c>
      <c r="Q190">
        <v>73864.98</v>
      </c>
    </row>
    <row r="191" spans="1:17">
      <c r="A191" s="19">
        <v>45060</v>
      </c>
      <c r="B191" t="s">
        <v>1231</v>
      </c>
      <c r="C191" t="s">
        <v>1232</v>
      </c>
      <c r="D191" t="s">
        <v>1233</v>
      </c>
      <c r="E191" t="s">
        <v>128</v>
      </c>
      <c r="F191" s="10">
        <v>3</v>
      </c>
      <c r="G191" s="10">
        <v>1205.6199999999999</v>
      </c>
      <c r="H191" s="10">
        <v>3616.86</v>
      </c>
      <c r="J191">
        <v>45239</v>
      </c>
      <c r="K191" t="str">
        <v>South</v>
      </c>
      <c r="L191" t="str">
        <v>Tamil Nadu</v>
      </c>
      <c r="M191" t="str">
        <v>Chennai</v>
      </c>
      <c r="N191" t="str">
        <v>Stationery</v>
      </c>
      <c r="O191">
        <v>15</v>
      </c>
      <c r="P191">
        <v>3909.42</v>
      </c>
      <c r="Q191">
        <v>58641.3</v>
      </c>
    </row>
    <row r="192" spans="1:17">
      <c r="A192" s="19">
        <v>45207</v>
      </c>
      <c r="B192" t="s">
        <v>1229</v>
      </c>
      <c r="C192" t="s">
        <v>1237</v>
      </c>
      <c r="D192" t="s">
        <v>1173</v>
      </c>
      <c r="E192" t="s">
        <v>128</v>
      </c>
      <c r="F192" s="10">
        <v>19</v>
      </c>
      <c r="G192" s="10">
        <v>182.01</v>
      </c>
      <c r="H192" s="10">
        <v>3458.19</v>
      </c>
      <c r="J192">
        <v>45089</v>
      </c>
      <c r="K192" t="str">
        <v>South</v>
      </c>
      <c r="L192" t="str">
        <v>Tamil Nadu</v>
      </c>
      <c r="M192" t="str">
        <v>Chennai</v>
      </c>
      <c r="N192" t="str">
        <v>Stationery</v>
      </c>
      <c r="O192">
        <v>13</v>
      </c>
      <c r="P192">
        <v>3551.21</v>
      </c>
      <c r="Q192">
        <v>46165.73</v>
      </c>
    </row>
    <row r="193" spans="1:17">
      <c r="A193" s="19">
        <v>45136</v>
      </c>
      <c r="B193" t="s">
        <v>1229</v>
      </c>
      <c r="C193" t="s">
        <v>1237</v>
      </c>
      <c r="D193" t="s">
        <v>1239</v>
      </c>
      <c r="E193" t="s">
        <v>128</v>
      </c>
      <c r="F193" s="10">
        <v>12</v>
      </c>
      <c r="G193" s="10">
        <v>283.86</v>
      </c>
      <c r="H193" s="10">
        <v>3406.32</v>
      </c>
      <c r="J193">
        <v>45212</v>
      </c>
      <c r="K193" t="str">
        <v>South</v>
      </c>
      <c r="L193" t="str">
        <v>Tamil Nadu</v>
      </c>
      <c r="M193" t="str">
        <v>Chennai</v>
      </c>
      <c r="N193" t="str">
        <v>Stationery</v>
      </c>
      <c r="O193">
        <v>16</v>
      </c>
      <c r="P193">
        <v>2682.3</v>
      </c>
      <c r="Q193">
        <v>42916.800000000003</v>
      </c>
    </row>
    <row r="194" spans="1:17">
      <c r="A194" s="19">
        <v>45215</v>
      </c>
      <c r="B194" t="s">
        <v>1229</v>
      </c>
      <c r="C194" t="s">
        <v>1230</v>
      </c>
      <c r="D194" t="s">
        <v>1246</v>
      </c>
      <c r="E194" t="s">
        <v>128</v>
      </c>
      <c r="F194" s="10">
        <v>2</v>
      </c>
      <c r="G194" s="10">
        <v>1673.1</v>
      </c>
      <c r="H194" s="10">
        <v>3346.2</v>
      </c>
      <c r="J194">
        <v>45132</v>
      </c>
      <c r="K194" t="str">
        <v>South</v>
      </c>
      <c r="L194" t="str">
        <v>Tamil Nadu</v>
      </c>
      <c r="M194" t="str">
        <v>Chennai</v>
      </c>
      <c r="N194" t="str">
        <v>Stationery</v>
      </c>
      <c r="O194">
        <v>12</v>
      </c>
      <c r="P194">
        <v>2821.2</v>
      </c>
      <c r="Q194">
        <v>33854.400000000001</v>
      </c>
    </row>
    <row r="195" spans="1:17">
      <c r="A195" s="19">
        <v>45058</v>
      </c>
      <c r="B195" t="s">
        <v>1242</v>
      </c>
      <c r="C195" t="s">
        <v>1243</v>
      </c>
      <c r="D195" t="s">
        <v>1247</v>
      </c>
      <c r="E195" t="s">
        <v>128</v>
      </c>
      <c r="F195" s="10">
        <v>16</v>
      </c>
      <c r="G195" s="10">
        <v>199.87</v>
      </c>
      <c r="H195" s="10">
        <v>3197.92</v>
      </c>
      <c r="J195">
        <v>45062</v>
      </c>
      <c r="K195" t="str">
        <v>South</v>
      </c>
      <c r="L195" t="str">
        <v>Tamil Nadu</v>
      </c>
      <c r="M195" t="str">
        <v>Chennai</v>
      </c>
      <c r="N195" t="str">
        <v>Stationery</v>
      </c>
      <c r="O195">
        <v>5</v>
      </c>
      <c r="P195">
        <v>4619.16</v>
      </c>
      <c r="Q195">
        <v>23095.8</v>
      </c>
    </row>
    <row r="196" spans="1:17">
      <c r="A196" s="19">
        <v>45033</v>
      </c>
      <c r="B196" t="s">
        <v>1231</v>
      </c>
      <c r="C196" t="s">
        <v>1235</v>
      </c>
      <c r="D196" t="s">
        <v>1238</v>
      </c>
      <c r="E196" t="s">
        <v>128</v>
      </c>
      <c r="F196" s="10">
        <v>1</v>
      </c>
      <c r="G196" s="10">
        <v>3042.8</v>
      </c>
      <c r="H196" s="10">
        <v>3042.8</v>
      </c>
      <c r="J196">
        <v>44942</v>
      </c>
      <c r="K196" t="str">
        <v>South</v>
      </c>
      <c r="L196" t="str">
        <v>Tamil Nadu</v>
      </c>
      <c r="M196" t="str">
        <v>Chennai</v>
      </c>
      <c r="N196" t="str">
        <v>Stationery</v>
      </c>
      <c r="O196">
        <v>18</v>
      </c>
      <c r="P196">
        <v>1134.8800000000001</v>
      </c>
      <c r="Q196">
        <v>20427.84</v>
      </c>
    </row>
    <row r="197" spans="1:17">
      <c r="A197" s="19">
        <v>45194</v>
      </c>
      <c r="B197" t="s">
        <v>1229</v>
      </c>
      <c r="C197" t="s">
        <v>1237</v>
      </c>
      <c r="D197" t="s">
        <v>1239</v>
      </c>
      <c r="E197" t="s">
        <v>128</v>
      </c>
      <c r="F197" s="10">
        <v>7</v>
      </c>
      <c r="G197" s="10">
        <v>392.9</v>
      </c>
      <c r="H197" s="10">
        <v>2750.3</v>
      </c>
      <c r="J197">
        <v>45015</v>
      </c>
      <c r="K197" t="str">
        <v>South</v>
      </c>
      <c r="L197" t="str">
        <v>Tamil Nadu</v>
      </c>
      <c r="M197" t="str">
        <v>Chennai</v>
      </c>
      <c r="N197" t="str">
        <v>Stationery</v>
      </c>
      <c r="O197">
        <v>6</v>
      </c>
      <c r="P197">
        <v>1979</v>
      </c>
      <c r="Q197">
        <v>11874</v>
      </c>
    </row>
    <row r="198" spans="1:17">
      <c r="A198" s="19">
        <v>45119</v>
      </c>
      <c r="B198" t="s">
        <v>1229</v>
      </c>
      <c r="C198" t="s">
        <v>1230</v>
      </c>
      <c r="D198" t="s">
        <v>1169</v>
      </c>
      <c r="E198" t="s">
        <v>128</v>
      </c>
      <c r="F198" s="10">
        <v>1</v>
      </c>
      <c r="G198" s="10">
        <v>2716.98</v>
      </c>
      <c r="H198" s="10">
        <v>2716.98</v>
      </c>
      <c r="J198">
        <v>45104</v>
      </c>
      <c r="K198" t="str">
        <v>South</v>
      </c>
      <c r="L198" t="str">
        <v>Tamil Nadu</v>
      </c>
      <c r="M198" t="str">
        <v>Chennai</v>
      </c>
      <c r="N198" t="str">
        <v>Stationery</v>
      </c>
      <c r="O198">
        <v>14</v>
      </c>
      <c r="P198">
        <v>771.61</v>
      </c>
      <c r="Q198">
        <v>10802.54</v>
      </c>
    </row>
    <row r="199" spans="1:17">
      <c r="A199" s="19">
        <v>45227</v>
      </c>
      <c r="B199" t="s">
        <v>1242</v>
      </c>
      <c r="C199" t="s">
        <v>1243</v>
      </c>
      <c r="D199" t="s">
        <v>1247</v>
      </c>
      <c r="E199" t="s">
        <v>128</v>
      </c>
      <c r="F199" s="10">
        <v>12</v>
      </c>
      <c r="G199" s="10">
        <v>225.88</v>
      </c>
      <c r="H199" s="10">
        <v>2710.56</v>
      </c>
      <c r="J199">
        <v>45132</v>
      </c>
      <c r="K199" t="str">
        <v>South</v>
      </c>
      <c r="L199" t="str">
        <v>Tamil Nadu</v>
      </c>
      <c r="M199" t="str">
        <v>Chennai</v>
      </c>
      <c r="N199" t="str">
        <v>Stationery</v>
      </c>
      <c r="O199">
        <v>5</v>
      </c>
      <c r="P199">
        <v>1346.45</v>
      </c>
      <c r="Q199">
        <v>6732.25</v>
      </c>
    </row>
    <row r="200" spans="1:17">
      <c r="A200" s="19">
        <v>45030</v>
      </c>
      <c r="B200" t="s">
        <v>1229</v>
      </c>
      <c r="C200" t="s">
        <v>1237</v>
      </c>
      <c r="D200" t="s">
        <v>1173</v>
      </c>
      <c r="E200" t="s">
        <v>128</v>
      </c>
      <c r="F200" s="10">
        <v>1</v>
      </c>
      <c r="G200" s="10">
        <v>2517.3200000000002</v>
      </c>
      <c r="H200" s="10">
        <v>2517.3200000000002</v>
      </c>
      <c r="J200">
        <v>44932</v>
      </c>
      <c r="K200" t="str">
        <v>South</v>
      </c>
      <c r="L200" t="str">
        <v>Tamil Nadu</v>
      </c>
      <c r="M200" t="str">
        <v>Chennai</v>
      </c>
      <c r="N200" t="str">
        <v>Stationery</v>
      </c>
      <c r="O200">
        <v>2</v>
      </c>
      <c r="P200">
        <v>1582.65</v>
      </c>
      <c r="Q200">
        <v>3165.3</v>
      </c>
    </row>
    <row r="201" spans="1:17">
      <c r="A201" s="19">
        <v>44972</v>
      </c>
      <c r="B201" t="s">
        <v>1242</v>
      </c>
      <c r="C201" t="s">
        <v>1243</v>
      </c>
      <c r="D201" t="s">
        <v>1247</v>
      </c>
      <c r="E201" t="s">
        <v>128</v>
      </c>
      <c r="F201" s="10">
        <v>1</v>
      </c>
      <c r="G201" s="10">
        <v>2466.0100000000002</v>
      </c>
      <c r="H201" s="10">
        <v>2466.0100000000002</v>
      </c>
      <c r="J201">
        <v>45200</v>
      </c>
      <c r="K201" t="str">
        <v>South</v>
      </c>
      <c r="L201" t="str">
        <v>Tamil Nadu</v>
      </c>
      <c r="M201" t="str">
        <v>Chennai</v>
      </c>
      <c r="N201" t="str">
        <v>Stationery</v>
      </c>
      <c r="O201">
        <v>4</v>
      </c>
      <c r="P201">
        <v>637.89</v>
      </c>
      <c r="Q201">
        <v>2551.56</v>
      </c>
    </row>
    <row r="202" spans="1:17">
      <c r="A202" s="19">
        <v>45232</v>
      </c>
      <c r="B202" t="s">
        <v>1231</v>
      </c>
      <c r="C202" t="s">
        <v>1235</v>
      </c>
      <c r="D202" t="s">
        <v>1236</v>
      </c>
      <c r="E202" t="s">
        <v>128</v>
      </c>
      <c r="F202" s="10">
        <v>9</v>
      </c>
      <c r="G202" s="10">
        <v>228.49</v>
      </c>
      <c r="H202" s="10">
        <v>2056.41</v>
      </c>
      <c r="J202" t="str">
        <v>Sale Date</v>
      </c>
      <c r="K202" t="str">
        <v>Region</v>
      </c>
      <c r="L202" t="str">
        <v>State</v>
      </c>
      <c r="M202" t="str">
        <v>City</v>
      </c>
      <c r="N202" t="str">
        <v>Product</v>
      </c>
      <c r="O202" t="str">
        <v>Quantity</v>
      </c>
      <c r="P202" t="str">
        <v>Price per Unit</v>
      </c>
      <c r="Q202" t="str">
        <v>Sales Amount</v>
      </c>
    </row>
    <row r="203" spans="1:17">
      <c r="A203" s="19">
        <v>45155</v>
      </c>
      <c r="B203" t="s">
        <v>1231</v>
      </c>
      <c r="C203" t="s">
        <v>1235</v>
      </c>
      <c r="D203" t="s">
        <v>1241</v>
      </c>
      <c r="E203" t="s">
        <v>128</v>
      </c>
      <c r="F203" s="10">
        <v>8</v>
      </c>
      <c r="G203" s="10">
        <v>244.6</v>
      </c>
      <c r="H203" s="10">
        <v>1956.8</v>
      </c>
      <c r="J203">
        <v>45183</v>
      </c>
      <c r="K203" t="str">
        <v>South</v>
      </c>
      <c r="L203" t="str">
        <v>Tamil Nadu</v>
      </c>
      <c r="M203" t="str">
        <v>Coimbatore</v>
      </c>
      <c r="N203" t="str">
        <v>Clothing</v>
      </c>
      <c r="O203">
        <v>18</v>
      </c>
      <c r="P203">
        <v>4422.21</v>
      </c>
      <c r="Q203">
        <v>79599.78</v>
      </c>
    </row>
    <row r="204" spans="1:17">
      <c r="A204" s="19">
        <v>45080</v>
      </c>
      <c r="B204" t="s">
        <v>1231</v>
      </c>
      <c r="C204" t="s">
        <v>1235</v>
      </c>
      <c r="D204" t="s">
        <v>1241</v>
      </c>
      <c r="E204" t="s">
        <v>128</v>
      </c>
      <c r="F204" s="10">
        <v>9</v>
      </c>
      <c r="G204" s="10">
        <v>203.38</v>
      </c>
      <c r="H204" s="10">
        <v>1830.42</v>
      </c>
      <c r="J204">
        <v>45286</v>
      </c>
      <c r="K204" t="str">
        <v>South</v>
      </c>
      <c r="L204" t="str">
        <v>Tamil Nadu</v>
      </c>
      <c r="M204" t="str">
        <v>Coimbatore</v>
      </c>
      <c r="N204" t="str">
        <v>Clothing</v>
      </c>
      <c r="O204">
        <v>20</v>
      </c>
      <c r="P204">
        <v>3751.01</v>
      </c>
      <c r="Q204">
        <v>75020.2</v>
      </c>
    </row>
    <row r="205" spans="1:17">
      <c r="A205" s="19">
        <v>45106</v>
      </c>
      <c r="B205" t="s">
        <v>1242</v>
      </c>
      <c r="C205" t="s">
        <v>1243</v>
      </c>
      <c r="D205" t="s">
        <v>1244</v>
      </c>
      <c r="E205" t="s">
        <v>128</v>
      </c>
      <c r="F205" s="10">
        <v>1</v>
      </c>
      <c r="G205" s="10">
        <v>1793.18</v>
      </c>
      <c r="H205" s="10">
        <v>1793.18</v>
      </c>
      <c r="J205">
        <v>45128</v>
      </c>
      <c r="K205" t="str">
        <v>South</v>
      </c>
      <c r="L205" t="str">
        <v>Tamil Nadu</v>
      </c>
      <c r="M205" t="str">
        <v>Coimbatore</v>
      </c>
      <c r="N205" t="str">
        <v>Clothing</v>
      </c>
      <c r="O205">
        <v>15</v>
      </c>
      <c r="P205">
        <v>4579.29</v>
      </c>
      <c r="Q205">
        <v>68689.350000000006</v>
      </c>
    </row>
    <row r="206" spans="1:17">
      <c r="A206" s="19">
        <v>45186</v>
      </c>
      <c r="B206" t="s">
        <v>1242</v>
      </c>
      <c r="C206" t="s">
        <v>1243</v>
      </c>
      <c r="D206" t="s">
        <v>1245</v>
      </c>
      <c r="E206" t="s">
        <v>128</v>
      </c>
      <c r="F206" s="10">
        <v>7</v>
      </c>
      <c r="G206" s="10">
        <v>252.75</v>
      </c>
      <c r="H206" s="10">
        <v>1769.25</v>
      </c>
      <c r="J206">
        <v>45131</v>
      </c>
      <c r="K206" t="str">
        <v>South</v>
      </c>
      <c r="L206" t="str">
        <v>Tamil Nadu</v>
      </c>
      <c r="M206" t="str">
        <v>Coimbatore</v>
      </c>
      <c r="N206" t="str">
        <v>Clothing</v>
      </c>
      <c r="O206">
        <v>20</v>
      </c>
      <c r="P206">
        <v>3331.04</v>
      </c>
      <c r="Q206">
        <v>66620.800000000003</v>
      </c>
    </row>
    <row r="207" spans="1:17">
      <c r="A207" s="19">
        <v>45197</v>
      </c>
      <c r="B207" t="s">
        <v>1231</v>
      </c>
      <c r="C207" t="s">
        <v>1232</v>
      </c>
      <c r="D207" t="s">
        <v>1240</v>
      </c>
      <c r="E207" t="s">
        <v>128</v>
      </c>
      <c r="F207" s="10">
        <v>11</v>
      </c>
      <c r="G207" s="10">
        <v>146.47</v>
      </c>
      <c r="H207" s="10">
        <v>1611.17</v>
      </c>
      <c r="J207">
        <v>45048</v>
      </c>
      <c r="K207" t="str">
        <v>South</v>
      </c>
      <c r="L207" t="str">
        <v>Tamil Nadu</v>
      </c>
      <c r="M207" t="str">
        <v>Coimbatore</v>
      </c>
      <c r="N207" t="str">
        <v>Clothing</v>
      </c>
      <c r="O207">
        <v>16</v>
      </c>
      <c r="P207">
        <v>3586.87</v>
      </c>
      <c r="Q207">
        <v>57389.919999999998</v>
      </c>
    </row>
    <row r="208" spans="1:17">
      <c r="A208" s="19">
        <v>45132</v>
      </c>
      <c r="B208" t="s">
        <v>1231</v>
      </c>
      <c r="C208" t="s">
        <v>1235</v>
      </c>
      <c r="D208" t="s">
        <v>1238</v>
      </c>
      <c r="E208" t="s">
        <v>128</v>
      </c>
      <c r="F208" s="10">
        <v>10</v>
      </c>
      <c r="G208" s="10">
        <v>159.27000000000001</v>
      </c>
      <c r="H208" s="10">
        <v>1592.7</v>
      </c>
      <c r="J208">
        <v>45097</v>
      </c>
      <c r="K208" t="str">
        <v>South</v>
      </c>
      <c r="L208" t="str">
        <v>Tamil Nadu</v>
      </c>
      <c r="M208" t="str">
        <v>Coimbatore</v>
      </c>
      <c r="N208" t="str">
        <v>Clothing</v>
      </c>
      <c r="O208">
        <v>19</v>
      </c>
      <c r="P208">
        <v>2304.92</v>
      </c>
      <c r="Q208">
        <v>43793.48</v>
      </c>
    </row>
    <row r="209" spans="1:17">
      <c r="A209" s="19">
        <v>45231</v>
      </c>
      <c r="B209" t="s">
        <v>1231</v>
      </c>
      <c r="C209" t="s">
        <v>1232</v>
      </c>
      <c r="D209" t="s">
        <v>1233</v>
      </c>
      <c r="E209" t="s">
        <v>128</v>
      </c>
      <c r="F209" s="10">
        <v>1</v>
      </c>
      <c r="G209" s="10">
        <v>1520.97</v>
      </c>
      <c r="H209" s="10">
        <v>1520.97</v>
      </c>
      <c r="J209">
        <v>45112</v>
      </c>
      <c r="K209" t="str">
        <v>South</v>
      </c>
      <c r="L209" t="str">
        <v>Tamil Nadu</v>
      </c>
      <c r="M209" t="str">
        <v>Coimbatore</v>
      </c>
      <c r="N209" t="str">
        <v>Clothing</v>
      </c>
      <c r="O209">
        <v>14</v>
      </c>
      <c r="P209">
        <v>1770.36</v>
      </c>
      <c r="Q209">
        <v>24785.040000000001</v>
      </c>
    </row>
    <row r="210" spans="1:17">
      <c r="A210" s="19">
        <v>45223</v>
      </c>
      <c r="B210" t="s">
        <v>1231</v>
      </c>
      <c r="C210" t="s">
        <v>1235</v>
      </c>
      <c r="D210" t="s">
        <v>1241</v>
      </c>
      <c r="E210" t="s">
        <v>128</v>
      </c>
      <c r="F210" s="10">
        <v>3</v>
      </c>
      <c r="G210" s="10">
        <v>468.7</v>
      </c>
      <c r="H210" s="10">
        <v>1406.1</v>
      </c>
      <c r="J210">
        <v>45133</v>
      </c>
      <c r="K210" t="str">
        <v>South</v>
      </c>
      <c r="L210" t="str">
        <v>Tamil Nadu</v>
      </c>
      <c r="M210" t="str">
        <v>Coimbatore</v>
      </c>
      <c r="N210" t="str">
        <v>Clothing</v>
      </c>
      <c r="O210">
        <v>5</v>
      </c>
      <c r="P210">
        <v>4281.1499999999996</v>
      </c>
      <c r="Q210">
        <v>21405.75</v>
      </c>
    </row>
    <row r="211" spans="1:17">
      <c r="A211" s="19">
        <v>45052</v>
      </c>
      <c r="B211" t="s">
        <v>1231</v>
      </c>
      <c r="C211" t="s">
        <v>1235</v>
      </c>
      <c r="D211" t="s">
        <v>1241</v>
      </c>
      <c r="E211" t="s">
        <v>128</v>
      </c>
      <c r="F211" s="10">
        <v>1</v>
      </c>
      <c r="G211" s="10">
        <v>1219.0999999999999</v>
      </c>
      <c r="H211" s="10">
        <v>1219.0999999999999</v>
      </c>
      <c r="J211">
        <v>45185</v>
      </c>
      <c r="K211" t="str">
        <v>South</v>
      </c>
      <c r="L211" t="str">
        <v>Tamil Nadu</v>
      </c>
      <c r="M211" t="str">
        <v>Coimbatore</v>
      </c>
      <c r="N211" t="str">
        <v>Clothing</v>
      </c>
      <c r="O211">
        <v>4</v>
      </c>
      <c r="P211">
        <v>4961.01</v>
      </c>
      <c r="Q211">
        <v>19844.04</v>
      </c>
    </row>
    <row r="212" spans="1:17">
      <c r="A212" s="19">
        <v>45126</v>
      </c>
      <c r="B212" t="s">
        <v>1231</v>
      </c>
      <c r="C212" t="s">
        <v>1235</v>
      </c>
      <c r="D212" t="s">
        <v>1238</v>
      </c>
      <c r="E212" t="s">
        <v>128</v>
      </c>
      <c r="F212" s="10">
        <v>4</v>
      </c>
      <c r="G212" s="10">
        <v>277.45</v>
      </c>
      <c r="H212" s="10">
        <v>1109.8</v>
      </c>
      <c r="J212">
        <v>45026</v>
      </c>
      <c r="K212" t="str">
        <v>South</v>
      </c>
      <c r="L212" t="str">
        <v>Tamil Nadu</v>
      </c>
      <c r="M212" t="str">
        <v>Coimbatore</v>
      </c>
      <c r="N212" t="str">
        <v>Clothing</v>
      </c>
      <c r="O212">
        <v>5</v>
      </c>
      <c r="P212">
        <v>3786.28</v>
      </c>
      <c r="Q212">
        <v>18931.400000000001</v>
      </c>
    </row>
    <row r="213" spans="1:17">
      <c r="A213" s="19">
        <v>45032</v>
      </c>
      <c r="B213" t="s">
        <v>1242</v>
      </c>
      <c r="C213" t="s">
        <v>1243</v>
      </c>
      <c r="D213" t="s">
        <v>1244</v>
      </c>
      <c r="E213" t="s">
        <v>128</v>
      </c>
      <c r="F213" s="10">
        <v>2</v>
      </c>
      <c r="G213" s="10">
        <v>528.62</v>
      </c>
      <c r="H213" s="10">
        <v>1057.24</v>
      </c>
      <c r="J213">
        <v>44962</v>
      </c>
      <c r="K213" t="str">
        <v>South</v>
      </c>
      <c r="L213" t="str">
        <v>Tamil Nadu</v>
      </c>
      <c r="M213" t="str">
        <v>Coimbatore</v>
      </c>
      <c r="N213" t="str">
        <v>Clothing</v>
      </c>
      <c r="O213">
        <v>6</v>
      </c>
      <c r="P213">
        <v>2463.6799999999998</v>
      </c>
      <c r="Q213">
        <v>14782.08</v>
      </c>
    </row>
    <row r="214" spans="1:17">
      <c r="A214" s="19">
        <v>45080</v>
      </c>
      <c r="B214" t="s">
        <v>1231</v>
      </c>
      <c r="C214" t="s">
        <v>1232</v>
      </c>
      <c r="D214" t="s">
        <v>1233</v>
      </c>
      <c r="E214" t="s">
        <v>128</v>
      </c>
      <c r="F214" s="10">
        <v>1</v>
      </c>
      <c r="G214" s="10">
        <v>696.38</v>
      </c>
      <c r="H214" s="10">
        <v>696.38</v>
      </c>
      <c r="J214">
        <v>44948</v>
      </c>
      <c r="K214" t="str">
        <v>South</v>
      </c>
      <c r="L214" t="str">
        <v>Tamil Nadu</v>
      </c>
      <c r="M214" t="str">
        <v>Coimbatore</v>
      </c>
      <c r="N214" t="str">
        <v>Clothing</v>
      </c>
      <c r="O214">
        <v>13</v>
      </c>
      <c r="P214">
        <v>818.58</v>
      </c>
      <c r="Q214">
        <v>10641.54</v>
      </c>
    </row>
    <row r="215" spans="1:17">
      <c r="A215" s="19">
        <v>45008</v>
      </c>
      <c r="B215" t="s">
        <v>1242</v>
      </c>
      <c r="C215" t="s">
        <v>1243</v>
      </c>
      <c r="D215" t="s">
        <v>1245</v>
      </c>
      <c r="E215" t="s">
        <v>128</v>
      </c>
      <c r="F215" s="10">
        <v>2</v>
      </c>
      <c r="G215" s="10">
        <v>233.75</v>
      </c>
      <c r="H215" s="10">
        <v>467.5</v>
      </c>
      <c r="J215">
        <v>45052</v>
      </c>
      <c r="K215" t="str">
        <v>South</v>
      </c>
      <c r="L215" t="str">
        <v>Tamil Nadu</v>
      </c>
      <c r="M215" t="str">
        <v>Coimbatore</v>
      </c>
      <c r="N215" t="str">
        <v>Clothing</v>
      </c>
      <c r="O215">
        <v>4</v>
      </c>
      <c r="P215">
        <v>2425.52</v>
      </c>
      <c r="Q215">
        <v>9702.08</v>
      </c>
    </row>
    <row r="216" spans="1:17">
      <c r="A216" s="19">
        <v>45267</v>
      </c>
      <c r="B216" t="s">
        <v>1242</v>
      </c>
      <c r="C216" t="s">
        <v>1243</v>
      </c>
      <c r="D216" t="s">
        <v>1245</v>
      </c>
      <c r="E216" t="s">
        <v>128</v>
      </c>
      <c r="F216" s="10">
        <v>3</v>
      </c>
      <c r="G216" s="10">
        <v>144.38999999999999</v>
      </c>
      <c r="H216" s="10">
        <v>433.17</v>
      </c>
      <c r="J216">
        <v>45203</v>
      </c>
      <c r="K216" t="str">
        <v>South</v>
      </c>
      <c r="L216" t="str">
        <v>Tamil Nadu</v>
      </c>
      <c r="M216" t="str">
        <v>Coimbatore</v>
      </c>
      <c r="N216" t="str">
        <v>Clothing</v>
      </c>
      <c r="O216">
        <v>17</v>
      </c>
      <c r="P216">
        <v>463.54</v>
      </c>
      <c r="Q216">
        <v>7880.18</v>
      </c>
    </row>
    <row r="217" spans="1:17">
      <c r="A217" s="19">
        <v>45159</v>
      </c>
      <c r="B217" t="s">
        <v>1231</v>
      </c>
      <c r="C217" t="s">
        <v>1232</v>
      </c>
      <c r="D217" t="s">
        <v>1233</v>
      </c>
      <c r="E217" t="s">
        <v>128</v>
      </c>
      <c r="F217" s="10">
        <v>1</v>
      </c>
      <c r="G217" s="10">
        <v>421.27</v>
      </c>
      <c r="H217" s="10">
        <v>421.27</v>
      </c>
      <c r="J217">
        <v>45226</v>
      </c>
      <c r="K217" t="str">
        <v>South</v>
      </c>
      <c r="L217" t="str">
        <v>Tamil Nadu</v>
      </c>
      <c r="M217" t="str">
        <v>Coimbatore</v>
      </c>
      <c r="N217" t="str">
        <v>Clothing</v>
      </c>
      <c r="O217">
        <v>1</v>
      </c>
      <c r="P217">
        <v>4443.22</v>
      </c>
      <c r="Q217">
        <v>4443.22</v>
      </c>
    </row>
    <row r="218" spans="1:17">
      <c r="A218" s="19">
        <v>45180</v>
      </c>
      <c r="B218" t="s">
        <v>1229</v>
      </c>
      <c r="C218" t="s">
        <v>1237</v>
      </c>
      <c r="D218" t="s">
        <v>1239</v>
      </c>
      <c r="E218" t="s">
        <v>128</v>
      </c>
      <c r="F218" s="10">
        <v>3</v>
      </c>
      <c r="G218" s="10">
        <v>116.58</v>
      </c>
      <c r="H218" s="10">
        <v>349.74</v>
      </c>
      <c r="J218">
        <v>45161</v>
      </c>
      <c r="K218" t="str">
        <v>South</v>
      </c>
      <c r="L218" t="str">
        <v>Tamil Nadu</v>
      </c>
      <c r="M218" t="str">
        <v>Coimbatore</v>
      </c>
      <c r="N218" t="str">
        <v>Electronics</v>
      </c>
      <c r="O218">
        <v>19</v>
      </c>
      <c r="P218">
        <v>3336.46</v>
      </c>
      <c r="Q218">
        <v>63392.74</v>
      </c>
    </row>
    <row r="219" spans="1:17">
      <c r="A219" s="19">
        <v>45191</v>
      </c>
      <c r="B219" t="s">
        <v>1231</v>
      </c>
      <c r="C219" t="s">
        <v>1232</v>
      </c>
      <c r="D219" t="s">
        <v>1233</v>
      </c>
      <c r="E219" t="s">
        <v>120</v>
      </c>
      <c r="F219" s="10">
        <v>20</v>
      </c>
      <c r="G219" s="10">
        <v>4710.8500000000004</v>
      </c>
      <c r="H219" s="10">
        <v>94217</v>
      </c>
      <c r="J219">
        <v>45074</v>
      </c>
      <c r="K219" t="str">
        <v>South</v>
      </c>
      <c r="L219" t="str">
        <v>Tamil Nadu</v>
      </c>
      <c r="M219" t="str">
        <v>Coimbatore</v>
      </c>
      <c r="N219" t="str">
        <v>Electronics</v>
      </c>
      <c r="O219">
        <v>20</v>
      </c>
      <c r="P219">
        <v>2860.96</v>
      </c>
      <c r="Q219">
        <v>57219.199999999997</v>
      </c>
    </row>
    <row r="220" spans="1:17">
      <c r="A220" s="19">
        <v>45040</v>
      </c>
      <c r="B220" t="s">
        <v>1229</v>
      </c>
      <c r="C220" t="s">
        <v>1237</v>
      </c>
      <c r="D220" t="s">
        <v>1239</v>
      </c>
      <c r="E220" t="s">
        <v>120</v>
      </c>
      <c r="F220" s="10">
        <v>19</v>
      </c>
      <c r="G220" s="10">
        <v>4943.6899999999996</v>
      </c>
      <c r="H220" s="10">
        <v>93930.11</v>
      </c>
      <c r="J220">
        <v>45133</v>
      </c>
      <c r="K220" t="str">
        <v>South</v>
      </c>
      <c r="L220" t="str">
        <v>Tamil Nadu</v>
      </c>
      <c r="M220" t="str">
        <v>Coimbatore</v>
      </c>
      <c r="N220" t="str">
        <v>Electronics</v>
      </c>
      <c r="O220">
        <v>20</v>
      </c>
      <c r="P220">
        <v>2446.31</v>
      </c>
      <c r="Q220">
        <v>48926.2</v>
      </c>
    </row>
    <row r="221" spans="1:17">
      <c r="A221" s="19">
        <v>44993</v>
      </c>
      <c r="B221" t="s">
        <v>1231</v>
      </c>
      <c r="C221" t="s">
        <v>1232</v>
      </c>
      <c r="D221" t="s">
        <v>1233</v>
      </c>
      <c r="E221" t="s">
        <v>120</v>
      </c>
      <c r="F221" s="10">
        <v>19</v>
      </c>
      <c r="G221" s="10">
        <v>4642.84</v>
      </c>
      <c r="H221" s="10">
        <v>88213.96</v>
      </c>
      <c r="J221">
        <v>45015</v>
      </c>
      <c r="K221" t="str">
        <v>South</v>
      </c>
      <c r="L221" t="str">
        <v>Tamil Nadu</v>
      </c>
      <c r="M221" t="str">
        <v>Coimbatore</v>
      </c>
      <c r="N221" t="str">
        <v>Electronics</v>
      </c>
      <c r="O221">
        <v>17</v>
      </c>
      <c r="P221">
        <v>2664.62</v>
      </c>
      <c r="Q221">
        <v>45298.54</v>
      </c>
    </row>
    <row r="222" spans="1:17">
      <c r="A222" s="19">
        <v>45016</v>
      </c>
      <c r="B222" t="s">
        <v>1231</v>
      </c>
      <c r="C222" t="s">
        <v>1235</v>
      </c>
      <c r="D222" t="s">
        <v>1238</v>
      </c>
      <c r="E222" t="s">
        <v>120</v>
      </c>
      <c r="F222" s="10">
        <v>18</v>
      </c>
      <c r="G222" s="10">
        <v>4450.2299999999996</v>
      </c>
      <c r="H222" s="10">
        <v>80104.14</v>
      </c>
      <c r="J222">
        <v>45265</v>
      </c>
      <c r="K222" t="str">
        <v>South</v>
      </c>
      <c r="L222" t="str">
        <v>Tamil Nadu</v>
      </c>
      <c r="M222" t="str">
        <v>Coimbatore</v>
      </c>
      <c r="N222" t="str">
        <v>Electronics</v>
      </c>
      <c r="O222">
        <v>13</v>
      </c>
      <c r="P222">
        <v>3190.8</v>
      </c>
      <c r="Q222">
        <v>41480.400000000001</v>
      </c>
    </row>
    <row r="223" spans="1:17">
      <c r="A223" s="19">
        <v>45270</v>
      </c>
      <c r="B223" t="s">
        <v>1231</v>
      </c>
      <c r="C223" t="s">
        <v>1235</v>
      </c>
      <c r="D223" t="s">
        <v>1236</v>
      </c>
      <c r="E223" t="s">
        <v>120</v>
      </c>
      <c r="F223" s="10">
        <v>16</v>
      </c>
      <c r="G223" s="10">
        <v>4999.8999999999996</v>
      </c>
      <c r="H223" s="10">
        <v>79998.399999999994</v>
      </c>
      <c r="J223">
        <v>45291</v>
      </c>
      <c r="K223" t="str">
        <v>South</v>
      </c>
      <c r="L223" t="str">
        <v>Tamil Nadu</v>
      </c>
      <c r="M223" t="str">
        <v>Coimbatore</v>
      </c>
      <c r="N223" t="str">
        <v>Electronics</v>
      </c>
      <c r="O223">
        <v>13</v>
      </c>
      <c r="P223">
        <v>1647.87</v>
      </c>
      <c r="Q223">
        <v>21422.31</v>
      </c>
    </row>
    <row r="224" spans="1:17">
      <c r="A224" s="19">
        <v>45203</v>
      </c>
      <c r="B224" t="s">
        <v>1242</v>
      </c>
      <c r="C224" t="s">
        <v>1243</v>
      </c>
      <c r="D224" t="s">
        <v>1245</v>
      </c>
      <c r="E224" t="s">
        <v>120</v>
      </c>
      <c r="F224" s="10">
        <v>16</v>
      </c>
      <c r="G224" s="10">
        <v>4860.07</v>
      </c>
      <c r="H224" s="10">
        <v>77761.119999999995</v>
      </c>
      <c r="J224">
        <v>45038</v>
      </c>
      <c r="K224" t="str">
        <v>South</v>
      </c>
      <c r="L224" t="str">
        <v>Tamil Nadu</v>
      </c>
      <c r="M224" t="str">
        <v>Coimbatore</v>
      </c>
      <c r="N224" t="str">
        <v>Electronics</v>
      </c>
      <c r="O224">
        <v>4</v>
      </c>
      <c r="P224">
        <v>4782.74</v>
      </c>
      <c r="Q224">
        <v>19130.96</v>
      </c>
    </row>
    <row r="225" spans="1:17">
      <c r="A225" s="19">
        <v>45201</v>
      </c>
      <c r="B225" t="s">
        <v>1231</v>
      </c>
      <c r="C225" t="s">
        <v>1235</v>
      </c>
      <c r="D225" t="s">
        <v>1238</v>
      </c>
      <c r="E225" t="s">
        <v>120</v>
      </c>
      <c r="F225" s="10">
        <v>16</v>
      </c>
      <c r="G225" s="10">
        <v>4720.2299999999996</v>
      </c>
      <c r="H225" s="10">
        <v>75523.679999999993</v>
      </c>
      <c r="J225">
        <v>45174</v>
      </c>
      <c r="K225" t="str">
        <v>South</v>
      </c>
      <c r="L225" t="str">
        <v>Tamil Nadu</v>
      </c>
      <c r="M225" t="str">
        <v>Coimbatore</v>
      </c>
      <c r="N225" t="str">
        <v>Electronics</v>
      </c>
      <c r="O225">
        <v>20</v>
      </c>
      <c r="P225">
        <v>774.07</v>
      </c>
      <c r="Q225">
        <v>15481.4</v>
      </c>
    </row>
    <row r="226" spans="1:17">
      <c r="A226" s="19">
        <v>45139</v>
      </c>
      <c r="B226" t="s">
        <v>1231</v>
      </c>
      <c r="C226" t="s">
        <v>1235</v>
      </c>
      <c r="D226" t="s">
        <v>1238</v>
      </c>
      <c r="E226" t="s">
        <v>120</v>
      </c>
      <c r="F226" s="10">
        <v>20</v>
      </c>
      <c r="G226" s="10">
        <v>3728.46</v>
      </c>
      <c r="H226" s="10">
        <v>74569.2</v>
      </c>
      <c r="J226">
        <v>45229</v>
      </c>
      <c r="K226" t="str">
        <v>South</v>
      </c>
      <c r="L226" t="str">
        <v>Tamil Nadu</v>
      </c>
      <c r="M226" t="str">
        <v>Coimbatore</v>
      </c>
      <c r="N226" t="str">
        <v>Electronics</v>
      </c>
      <c r="O226">
        <v>7</v>
      </c>
      <c r="P226">
        <v>1316.13</v>
      </c>
      <c r="Q226">
        <v>9212.91</v>
      </c>
    </row>
    <row r="227" spans="1:17">
      <c r="A227" s="19">
        <v>45025</v>
      </c>
      <c r="B227" t="s">
        <v>1229</v>
      </c>
      <c r="C227" t="s">
        <v>1230</v>
      </c>
      <c r="D227" t="s">
        <v>1169</v>
      </c>
      <c r="E227" t="s">
        <v>120</v>
      </c>
      <c r="F227" s="10">
        <v>18</v>
      </c>
      <c r="G227" s="10">
        <v>3982.89</v>
      </c>
      <c r="H227" s="10">
        <v>71692.02</v>
      </c>
      <c r="J227">
        <v>45231</v>
      </c>
      <c r="K227" t="str">
        <v>South</v>
      </c>
      <c r="L227" t="str">
        <v>Tamil Nadu</v>
      </c>
      <c r="M227" t="str">
        <v>Coimbatore</v>
      </c>
      <c r="N227" t="str">
        <v>Electronics</v>
      </c>
      <c r="O227">
        <v>18</v>
      </c>
      <c r="P227">
        <v>262.12</v>
      </c>
      <c r="Q227">
        <v>4718.16</v>
      </c>
    </row>
    <row r="228" spans="1:17">
      <c r="A228" s="19">
        <v>45279</v>
      </c>
      <c r="B228" t="s">
        <v>1229</v>
      </c>
      <c r="C228" t="s">
        <v>1237</v>
      </c>
      <c r="D228" t="s">
        <v>1171</v>
      </c>
      <c r="E228" t="s">
        <v>120</v>
      </c>
      <c r="F228" s="10">
        <v>19</v>
      </c>
      <c r="G228" s="10">
        <v>3718.59</v>
      </c>
      <c r="H228" s="10">
        <v>70653.210000000006</v>
      </c>
      <c r="J228">
        <v>45120</v>
      </c>
      <c r="K228" t="str">
        <v>South</v>
      </c>
      <c r="L228" t="str">
        <v>Tamil Nadu</v>
      </c>
      <c r="M228" t="str">
        <v>Coimbatore</v>
      </c>
      <c r="N228" t="str">
        <v>Electronics</v>
      </c>
      <c r="O228">
        <v>9</v>
      </c>
      <c r="P228">
        <v>491.64</v>
      </c>
      <c r="Q228">
        <v>4424.76</v>
      </c>
    </row>
    <row r="229" spans="1:17">
      <c r="A229" s="19">
        <v>45178</v>
      </c>
      <c r="B229" t="s">
        <v>1242</v>
      </c>
      <c r="C229" t="s">
        <v>1243</v>
      </c>
      <c r="D229" t="s">
        <v>1245</v>
      </c>
      <c r="E229" t="s">
        <v>120</v>
      </c>
      <c r="F229" s="10">
        <v>15</v>
      </c>
      <c r="G229" s="10">
        <v>4667.42</v>
      </c>
      <c r="H229" s="10">
        <v>70011.3</v>
      </c>
      <c r="J229">
        <v>45183</v>
      </c>
      <c r="K229" t="str">
        <v>South</v>
      </c>
      <c r="L229" t="str">
        <v>Tamil Nadu</v>
      </c>
      <c r="M229" t="str">
        <v>Coimbatore</v>
      </c>
      <c r="N229" t="str">
        <v>Electronics</v>
      </c>
      <c r="O229">
        <v>2</v>
      </c>
      <c r="P229">
        <v>1983.93</v>
      </c>
      <c r="Q229">
        <v>3967.86</v>
      </c>
    </row>
    <row r="230" spans="1:17">
      <c r="A230" s="19">
        <v>44961</v>
      </c>
      <c r="B230" t="s">
        <v>1229</v>
      </c>
      <c r="C230" t="s">
        <v>1237</v>
      </c>
      <c r="D230" t="s">
        <v>1171</v>
      </c>
      <c r="E230" t="s">
        <v>120</v>
      </c>
      <c r="F230" s="10">
        <v>17</v>
      </c>
      <c r="G230" s="10">
        <v>4100.2700000000004</v>
      </c>
      <c r="H230" s="10">
        <v>69704.59</v>
      </c>
      <c r="J230">
        <v>45127</v>
      </c>
      <c r="K230" t="str">
        <v>South</v>
      </c>
      <c r="L230" t="str">
        <v>Tamil Nadu</v>
      </c>
      <c r="M230" t="str">
        <v>Coimbatore</v>
      </c>
      <c r="N230" t="str">
        <v>Electronics</v>
      </c>
      <c r="O230">
        <v>7</v>
      </c>
      <c r="P230">
        <v>222.61</v>
      </c>
      <c r="Q230">
        <v>1558.27</v>
      </c>
    </row>
    <row r="231" spans="1:17">
      <c r="A231" s="19">
        <v>45159</v>
      </c>
      <c r="B231" t="s">
        <v>1242</v>
      </c>
      <c r="C231" t="s">
        <v>1243</v>
      </c>
      <c r="D231" t="s">
        <v>1244</v>
      </c>
      <c r="E231" t="s">
        <v>120</v>
      </c>
      <c r="F231" s="10">
        <v>20</v>
      </c>
      <c r="G231" s="10">
        <v>3438.25</v>
      </c>
      <c r="H231" s="10">
        <v>68765</v>
      </c>
      <c r="J231">
        <v>45114</v>
      </c>
      <c r="K231" t="str">
        <v>South</v>
      </c>
      <c r="L231" t="str">
        <v>Tamil Nadu</v>
      </c>
      <c r="M231" t="str">
        <v>Coimbatore</v>
      </c>
      <c r="N231" t="str">
        <v>Electronics</v>
      </c>
      <c r="O231">
        <v>1</v>
      </c>
      <c r="P231">
        <v>1355.14</v>
      </c>
      <c r="Q231">
        <v>1355.14</v>
      </c>
    </row>
    <row r="232" spans="1:17">
      <c r="A232" s="19">
        <v>45127</v>
      </c>
      <c r="B232" t="s">
        <v>1231</v>
      </c>
      <c r="C232" t="s">
        <v>1235</v>
      </c>
      <c r="D232" t="s">
        <v>1241</v>
      </c>
      <c r="E232" t="s">
        <v>120</v>
      </c>
      <c r="F232" s="10">
        <v>14</v>
      </c>
      <c r="G232" s="10">
        <v>4894.84</v>
      </c>
      <c r="H232" s="10">
        <v>68527.759999999995</v>
      </c>
      <c r="J232">
        <v>45166</v>
      </c>
      <c r="K232" t="str">
        <v>South</v>
      </c>
      <c r="L232" t="str">
        <v>Tamil Nadu</v>
      </c>
      <c r="M232" t="str">
        <v>Coimbatore</v>
      </c>
      <c r="N232" t="str">
        <v>Furniture</v>
      </c>
      <c r="O232">
        <v>19</v>
      </c>
      <c r="P232">
        <v>3074.32</v>
      </c>
      <c r="Q232">
        <v>58412.08</v>
      </c>
    </row>
    <row r="233" spans="1:17">
      <c r="A233" s="19">
        <v>45193</v>
      </c>
      <c r="B233" t="s">
        <v>1231</v>
      </c>
      <c r="C233" t="s">
        <v>1232</v>
      </c>
      <c r="D233" t="s">
        <v>1240</v>
      </c>
      <c r="E233" t="s">
        <v>120</v>
      </c>
      <c r="F233" s="10">
        <v>17</v>
      </c>
      <c r="G233" s="10">
        <v>3933.92</v>
      </c>
      <c r="H233" s="10">
        <v>66876.639999999999</v>
      </c>
      <c r="J233">
        <v>45199</v>
      </c>
      <c r="K233" t="str">
        <v>South</v>
      </c>
      <c r="L233" t="str">
        <v>Tamil Nadu</v>
      </c>
      <c r="M233" t="str">
        <v>Coimbatore</v>
      </c>
      <c r="N233" t="str">
        <v>Furniture</v>
      </c>
      <c r="O233">
        <v>10</v>
      </c>
      <c r="P233">
        <v>4496.3900000000003</v>
      </c>
      <c r="Q233">
        <v>44963.9</v>
      </c>
    </row>
    <row r="234" spans="1:17">
      <c r="A234" s="19">
        <v>45055</v>
      </c>
      <c r="B234" t="s">
        <v>1229</v>
      </c>
      <c r="C234" t="s">
        <v>1237</v>
      </c>
      <c r="D234" t="s">
        <v>1239</v>
      </c>
      <c r="E234" t="s">
        <v>120</v>
      </c>
      <c r="F234" s="10">
        <v>19</v>
      </c>
      <c r="G234" s="10">
        <v>3374.33</v>
      </c>
      <c r="H234" s="10">
        <v>64112.27</v>
      </c>
      <c r="J234">
        <v>45193</v>
      </c>
      <c r="K234" t="str">
        <v>South</v>
      </c>
      <c r="L234" t="str">
        <v>Tamil Nadu</v>
      </c>
      <c r="M234" t="str">
        <v>Coimbatore</v>
      </c>
      <c r="N234" t="str">
        <v>Furniture</v>
      </c>
      <c r="O234">
        <v>16</v>
      </c>
      <c r="P234">
        <v>2793.48</v>
      </c>
      <c r="Q234">
        <v>44695.68</v>
      </c>
    </row>
    <row r="235" spans="1:17">
      <c r="A235" s="19">
        <v>44942</v>
      </c>
      <c r="B235" t="s">
        <v>1229</v>
      </c>
      <c r="C235" t="s">
        <v>1230</v>
      </c>
      <c r="D235" t="s">
        <v>1169</v>
      </c>
      <c r="E235" t="s">
        <v>120</v>
      </c>
      <c r="F235" s="10">
        <v>18</v>
      </c>
      <c r="G235" s="10">
        <v>3561.06</v>
      </c>
      <c r="H235" s="10">
        <v>64099.08</v>
      </c>
      <c r="J235">
        <v>44946</v>
      </c>
      <c r="K235" t="str">
        <v>South</v>
      </c>
      <c r="L235" t="str">
        <v>Tamil Nadu</v>
      </c>
      <c r="M235" t="str">
        <v>Coimbatore</v>
      </c>
      <c r="N235" t="str">
        <v>Furniture</v>
      </c>
      <c r="O235">
        <v>14</v>
      </c>
      <c r="P235">
        <v>1507.19</v>
      </c>
      <c r="Q235">
        <v>21100.66</v>
      </c>
    </row>
    <row r="236" spans="1:17">
      <c r="A236" s="19">
        <v>45161</v>
      </c>
      <c r="B236" t="s">
        <v>1231</v>
      </c>
      <c r="C236" t="s">
        <v>1232</v>
      </c>
      <c r="D236" t="s">
        <v>1234</v>
      </c>
      <c r="E236" t="s">
        <v>120</v>
      </c>
      <c r="F236" s="10">
        <v>19</v>
      </c>
      <c r="G236" s="10">
        <v>3336.46</v>
      </c>
      <c r="H236" s="10">
        <v>63392.74</v>
      </c>
      <c r="J236">
        <v>45286</v>
      </c>
      <c r="K236" t="str">
        <v>South</v>
      </c>
      <c r="L236" t="str">
        <v>Tamil Nadu</v>
      </c>
      <c r="M236" t="str">
        <v>Coimbatore</v>
      </c>
      <c r="N236" t="str">
        <v>Furniture</v>
      </c>
      <c r="O236">
        <v>7</v>
      </c>
      <c r="P236">
        <v>2557.77</v>
      </c>
      <c r="Q236">
        <v>17904.39</v>
      </c>
    </row>
    <row r="237" spans="1:17">
      <c r="A237" s="19">
        <v>45266</v>
      </c>
      <c r="B237" t="s">
        <v>1231</v>
      </c>
      <c r="C237" t="s">
        <v>1235</v>
      </c>
      <c r="D237" t="s">
        <v>1236</v>
      </c>
      <c r="E237" t="s">
        <v>120</v>
      </c>
      <c r="F237" s="10">
        <v>16</v>
      </c>
      <c r="G237" s="10">
        <v>3897.57</v>
      </c>
      <c r="H237" s="10">
        <v>62361.120000000003</v>
      </c>
      <c r="J237">
        <v>45254</v>
      </c>
      <c r="K237" t="str">
        <v>South</v>
      </c>
      <c r="L237" t="str">
        <v>Tamil Nadu</v>
      </c>
      <c r="M237" t="str">
        <v>Coimbatore</v>
      </c>
      <c r="N237" t="str">
        <v>Furniture</v>
      </c>
      <c r="O237">
        <v>5</v>
      </c>
      <c r="P237">
        <v>2481.2199999999998</v>
      </c>
      <c r="Q237">
        <v>12406.1</v>
      </c>
    </row>
    <row r="238" spans="1:17">
      <c r="A238" s="19">
        <v>45095</v>
      </c>
      <c r="B238" t="s">
        <v>1229</v>
      </c>
      <c r="C238" t="s">
        <v>1237</v>
      </c>
      <c r="D238" t="s">
        <v>1171</v>
      </c>
      <c r="E238" t="s">
        <v>120</v>
      </c>
      <c r="F238" s="10">
        <v>14</v>
      </c>
      <c r="G238" s="10">
        <v>4428</v>
      </c>
      <c r="H238" s="10">
        <v>61992</v>
      </c>
      <c r="J238">
        <v>45284</v>
      </c>
      <c r="K238" t="str">
        <v>South</v>
      </c>
      <c r="L238" t="str">
        <v>Tamil Nadu</v>
      </c>
      <c r="M238" t="str">
        <v>Coimbatore</v>
      </c>
      <c r="N238" t="str">
        <v>Furniture</v>
      </c>
      <c r="O238">
        <v>9</v>
      </c>
      <c r="P238">
        <v>1302.45</v>
      </c>
      <c r="Q238">
        <v>11722.05</v>
      </c>
    </row>
    <row r="239" spans="1:17">
      <c r="A239" s="19">
        <v>45033</v>
      </c>
      <c r="B239" t="s">
        <v>1242</v>
      </c>
      <c r="C239" t="s">
        <v>1243</v>
      </c>
      <c r="D239" t="s">
        <v>1247</v>
      </c>
      <c r="E239" t="s">
        <v>120</v>
      </c>
      <c r="F239" s="10">
        <v>13</v>
      </c>
      <c r="G239" s="10">
        <v>4542.74</v>
      </c>
      <c r="H239" s="10">
        <v>59055.62</v>
      </c>
      <c r="J239">
        <v>45173</v>
      </c>
      <c r="K239" t="str">
        <v>South</v>
      </c>
      <c r="L239" t="str">
        <v>Tamil Nadu</v>
      </c>
      <c r="M239" t="str">
        <v>Coimbatore</v>
      </c>
      <c r="N239" t="str">
        <v>Furniture</v>
      </c>
      <c r="O239">
        <v>8</v>
      </c>
      <c r="P239">
        <v>1410.46</v>
      </c>
      <c r="Q239">
        <v>11283.68</v>
      </c>
    </row>
    <row r="240" spans="1:17">
      <c r="A240" s="19">
        <v>44935</v>
      </c>
      <c r="B240" t="s">
        <v>1242</v>
      </c>
      <c r="C240" t="s">
        <v>1243</v>
      </c>
      <c r="D240" t="s">
        <v>1245</v>
      </c>
      <c r="E240" t="s">
        <v>120</v>
      </c>
      <c r="F240" s="10">
        <v>16</v>
      </c>
      <c r="G240" s="10">
        <v>3625.28</v>
      </c>
      <c r="H240" s="10">
        <v>58004.480000000003</v>
      </c>
      <c r="J240">
        <v>45108</v>
      </c>
      <c r="K240" t="str">
        <v>South</v>
      </c>
      <c r="L240" t="str">
        <v>Tamil Nadu</v>
      </c>
      <c r="M240" t="str">
        <v>Coimbatore</v>
      </c>
      <c r="N240" t="str">
        <v>Furniture</v>
      </c>
      <c r="O240">
        <v>2</v>
      </c>
      <c r="P240">
        <v>4997.2299999999996</v>
      </c>
      <c r="Q240">
        <v>9994.4599999999991</v>
      </c>
    </row>
    <row r="241" spans="1:17">
      <c r="A241" s="19">
        <v>45074</v>
      </c>
      <c r="B241" t="s">
        <v>1231</v>
      </c>
      <c r="C241" t="s">
        <v>1232</v>
      </c>
      <c r="D241" t="s">
        <v>1234</v>
      </c>
      <c r="E241" t="s">
        <v>120</v>
      </c>
      <c r="F241" s="10">
        <v>20</v>
      </c>
      <c r="G241" s="10">
        <v>2860.96</v>
      </c>
      <c r="H241" s="10">
        <v>57219.199999999997</v>
      </c>
      <c r="J241">
        <v>44961</v>
      </c>
      <c r="K241" t="str">
        <v>South</v>
      </c>
      <c r="L241" t="str">
        <v>Tamil Nadu</v>
      </c>
      <c r="M241" t="str">
        <v>Coimbatore</v>
      </c>
      <c r="N241" t="str">
        <v>Furniture</v>
      </c>
      <c r="O241">
        <v>3</v>
      </c>
      <c r="P241">
        <v>3007.45</v>
      </c>
      <c r="Q241">
        <v>9022.35</v>
      </c>
    </row>
    <row r="242" spans="1:17">
      <c r="A242" s="19">
        <v>45245</v>
      </c>
      <c r="B242" t="s">
        <v>1229</v>
      </c>
      <c r="C242" t="s">
        <v>1237</v>
      </c>
      <c r="D242" t="s">
        <v>1239</v>
      </c>
      <c r="E242" t="s">
        <v>120</v>
      </c>
      <c r="F242" s="10">
        <v>12</v>
      </c>
      <c r="G242" s="10">
        <v>4713.26</v>
      </c>
      <c r="H242" s="10">
        <v>56559.12</v>
      </c>
      <c r="J242">
        <v>45219</v>
      </c>
      <c r="K242" t="str">
        <v>South</v>
      </c>
      <c r="L242" t="str">
        <v>Tamil Nadu</v>
      </c>
      <c r="M242" t="str">
        <v>Coimbatore</v>
      </c>
      <c r="N242" t="str">
        <v>Furniture</v>
      </c>
      <c r="O242">
        <v>3</v>
      </c>
      <c r="P242">
        <v>2444.6</v>
      </c>
      <c r="Q242">
        <v>7333.8</v>
      </c>
    </row>
    <row r="243" spans="1:17">
      <c r="A243" s="19">
        <v>45247</v>
      </c>
      <c r="B243" t="s">
        <v>1242</v>
      </c>
      <c r="C243" t="s">
        <v>1243</v>
      </c>
      <c r="D243" t="s">
        <v>1245</v>
      </c>
      <c r="E243" t="s">
        <v>120</v>
      </c>
      <c r="F243" s="10">
        <v>13</v>
      </c>
      <c r="G243" s="10">
        <v>4339.46</v>
      </c>
      <c r="H243" s="10">
        <v>56412.98</v>
      </c>
      <c r="J243">
        <v>44985</v>
      </c>
      <c r="K243" t="str">
        <v>South</v>
      </c>
      <c r="L243" t="str">
        <v>Tamil Nadu</v>
      </c>
      <c r="M243" t="str">
        <v>Coimbatore</v>
      </c>
      <c r="N243" t="str">
        <v>Furniture</v>
      </c>
      <c r="O243">
        <v>5</v>
      </c>
      <c r="P243">
        <v>1319.46</v>
      </c>
      <c r="Q243">
        <v>6597.3</v>
      </c>
    </row>
    <row r="244" spans="1:17">
      <c r="A244" s="19">
        <v>45222</v>
      </c>
      <c r="B244" t="s">
        <v>1231</v>
      </c>
      <c r="C244" t="s">
        <v>1235</v>
      </c>
      <c r="D244" t="s">
        <v>1241</v>
      </c>
      <c r="E244" t="s">
        <v>120</v>
      </c>
      <c r="F244" s="10">
        <v>19</v>
      </c>
      <c r="G244" s="10">
        <v>2900.31</v>
      </c>
      <c r="H244" s="10">
        <v>55105.89</v>
      </c>
      <c r="J244">
        <v>45021</v>
      </c>
      <c r="K244" t="str">
        <v>South</v>
      </c>
      <c r="L244" t="str">
        <v>Tamil Nadu</v>
      </c>
      <c r="M244" t="str">
        <v>Coimbatore</v>
      </c>
      <c r="N244" t="str">
        <v>Furniture</v>
      </c>
      <c r="O244">
        <v>9</v>
      </c>
      <c r="P244">
        <v>704.39</v>
      </c>
      <c r="Q244">
        <v>6339.51</v>
      </c>
    </row>
    <row r="245" spans="1:17">
      <c r="A245" s="19">
        <v>45198</v>
      </c>
      <c r="B245" t="s">
        <v>1242</v>
      </c>
      <c r="C245" t="s">
        <v>1243</v>
      </c>
      <c r="D245" t="s">
        <v>1245</v>
      </c>
      <c r="E245" t="s">
        <v>120</v>
      </c>
      <c r="F245" s="10">
        <v>13</v>
      </c>
      <c r="G245" s="10">
        <v>4084.32</v>
      </c>
      <c r="H245" s="10">
        <v>53096.160000000003</v>
      </c>
      <c r="J245">
        <v>45031</v>
      </c>
      <c r="K245" t="str">
        <v>South</v>
      </c>
      <c r="L245" t="str">
        <v>Tamil Nadu</v>
      </c>
      <c r="M245" t="str">
        <v>Coimbatore</v>
      </c>
      <c r="N245" t="str">
        <v>Furniture</v>
      </c>
      <c r="O245">
        <v>8</v>
      </c>
      <c r="P245">
        <v>592.82000000000005</v>
      </c>
      <c r="Q245">
        <v>4742.5600000000004</v>
      </c>
    </row>
    <row r="246" spans="1:17">
      <c r="A246" s="19">
        <v>45065</v>
      </c>
      <c r="B246" t="s">
        <v>1229</v>
      </c>
      <c r="C246" t="s">
        <v>1230</v>
      </c>
      <c r="D246" t="s">
        <v>1246</v>
      </c>
      <c r="E246" t="s">
        <v>120</v>
      </c>
      <c r="F246" s="10">
        <v>13</v>
      </c>
      <c r="G246" s="10">
        <v>4076.94</v>
      </c>
      <c r="H246" s="10">
        <v>53000.22</v>
      </c>
      <c r="J246">
        <v>45167</v>
      </c>
      <c r="K246" t="str">
        <v>South</v>
      </c>
      <c r="L246" t="str">
        <v>Tamil Nadu</v>
      </c>
      <c r="M246" t="str">
        <v>Coimbatore</v>
      </c>
      <c r="N246" t="str">
        <v>Furniture</v>
      </c>
      <c r="O246">
        <v>1</v>
      </c>
      <c r="P246">
        <v>3734.74</v>
      </c>
      <c r="Q246">
        <v>3734.74</v>
      </c>
    </row>
    <row r="247" spans="1:17">
      <c r="A247" s="19">
        <v>44998</v>
      </c>
      <c r="B247" t="s">
        <v>1229</v>
      </c>
      <c r="C247" t="s">
        <v>1237</v>
      </c>
      <c r="D247" t="s">
        <v>1173</v>
      </c>
      <c r="E247" t="s">
        <v>120</v>
      </c>
      <c r="F247" s="10">
        <v>11</v>
      </c>
      <c r="G247" s="10">
        <v>4681.04</v>
      </c>
      <c r="H247" s="10">
        <v>51491.44</v>
      </c>
      <c r="J247">
        <v>45101</v>
      </c>
      <c r="K247" t="str">
        <v>South</v>
      </c>
      <c r="L247" t="str">
        <v>Tamil Nadu</v>
      </c>
      <c r="M247" t="str">
        <v>Coimbatore</v>
      </c>
      <c r="N247" t="str">
        <v>Furniture</v>
      </c>
      <c r="O247">
        <v>14</v>
      </c>
      <c r="P247">
        <v>264.60000000000002</v>
      </c>
      <c r="Q247">
        <v>3704.4</v>
      </c>
    </row>
    <row r="248" spans="1:17">
      <c r="A248" s="19">
        <v>45272</v>
      </c>
      <c r="B248" t="s">
        <v>1231</v>
      </c>
      <c r="C248" t="s">
        <v>1235</v>
      </c>
      <c r="D248" t="s">
        <v>1236</v>
      </c>
      <c r="E248" t="s">
        <v>120</v>
      </c>
      <c r="F248" s="10">
        <v>18</v>
      </c>
      <c r="G248" s="10">
        <v>2784.49</v>
      </c>
      <c r="H248" s="10">
        <v>50120.82</v>
      </c>
      <c r="J248">
        <v>45214</v>
      </c>
      <c r="K248" t="str">
        <v>South</v>
      </c>
      <c r="L248" t="str">
        <v>Tamil Nadu</v>
      </c>
      <c r="M248" t="str">
        <v>Coimbatore</v>
      </c>
      <c r="N248" t="str">
        <v>Furniture</v>
      </c>
      <c r="O248">
        <v>3</v>
      </c>
      <c r="P248">
        <v>1046.06</v>
      </c>
      <c r="Q248">
        <v>3138.18</v>
      </c>
    </row>
    <row r="249" spans="1:17">
      <c r="A249" s="19">
        <v>44957</v>
      </c>
      <c r="B249" t="s">
        <v>1231</v>
      </c>
      <c r="C249" t="s">
        <v>1235</v>
      </c>
      <c r="D249" t="s">
        <v>1236</v>
      </c>
      <c r="E249" t="s">
        <v>120</v>
      </c>
      <c r="F249" s="10">
        <v>15</v>
      </c>
      <c r="G249" s="10">
        <v>3270.81</v>
      </c>
      <c r="H249" s="10">
        <v>49062.15</v>
      </c>
      <c r="J249">
        <v>45029</v>
      </c>
      <c r="K249" t="str">
        <v>South</v>
      </c>
      <c r="L249" t="str">
        <v>Tamil Nadu</v>
      </c>
      <c r="M249" t="str">
        <v>Coimbatore</v>
      </c>
      <c r="N249" t="str">
        <v>Furniture</v>
      </c>
      <c r="O249">
        <v>1</v>
      </c>
      <c r="P249">
        <v>632.39</v>
      </c>
      <c r="Q249">
        <v>632.39</v>
      </c>
    </row>
    <row r="250" spans="1:17">
      <c r="A250" s="19">
        <v>45133</v>
      </c>
      <c r="B250" t="s">
        <v>1231</v>
      </c>
      <c r="C250" t="s">
        <v>1232</v>
      </c>
      <c r="D250" t="s">
        <v>1234</v>
      </c>
      <c r="E250" t="s">
        <v>120</v>
      </c>
      <c r="F250" s="10">
        <v>20</v>
      </c>
      <c r="G250" s="10">
        <v>2446.31</v>
      </c>
      <c r="H250" s="10">
        <v>48926.2</v>
      </c>
      <c r="J250">
        <v>45114</v>
      </c>
      <c r="K250" t="str">
        <v>South</v>
      </c>
      <c r="L250" t="str">
        <v>Tamil Nadu</v>
      </c>
      <c r="M250" t="str">
        <v>Coimbatore</v>
      </c>
      <c r="N250" t="str">
        <v>Groceries</v>
      </c>
      <c r="O250">
        <v>20</v>
      </c>
      <c r="P250">
        <v>3891.28</v>
      </c>
      <c r="Q250">
        <v>77825.600000000006</v>
      </c>
    </row>
    <row r="251" spans="1:17">
      <c r="A251" s="19">
        <v>45107</v>
      </c>
      <c r="B251" t="s">
        <v>1242</v>
      </c>
      <c r="C251" t="s">
        <v>1243</v>
      </c>
      <c r="D251" t="s">
        <v>1244</v>
      </c>
      <c r="E251" t="s">
        <v>120</v>
      </c>
      <c r="F251" s="10">
        <v>12</v>
      </c>
      <c r="G251" s="10">
        <v>3981.34</v>
      </c>
      <c r="H251" s="10">
        <v>47776.08</v>
      </c>
      <c r="J251">
        <v>44986</v>
      </c>
      <c r="K251" t="str">
        <v>South</v>
      </c>
      <c r="L251" t="str">
        <v>Tamil Nadu</v>
      </c>
      <c r="M251" t="str">
        <v>Coimbatore</v>
      </c>
      <c r="N251" t="str">
        <v>Groceries</v>
      </c>
      <c r="O251">
        <v>12</v>
      </c>
      <c r="P251">
        <v>4403.8500000000004</v>
      </c>
      <c r="Q251">
        <v>52846.2</v>
      </c>
    </row>
    <row r="252" spans="1:17">
      <c r="A252" s="19">
        <v>45188</v>
      </c>
      <c r="B252" t="s">
        <v>1229</v>
      </c>
      <c r="C252" t="s">
        <v>1230</v>
      </c>
      <c r="D252" t="s">
        <v>1246</v>
      </c>
      <c r="E252" t="s">
        <v>120</v>
      </c>
      <c r="F252" s="10">
        <v>19</v>
      </c>
      <c r="G252" s="10">
        <v>2493.0300000000002</v>
      </c>
      <c r="H252" s="10">
        <v>47367.57</v>
      </c>
      <c r="J252">
        <v>45214</v>
      </c>
      <c r="K252" t="str">
        <v>South</v>
      </c>
      <c r="L252" t="str">
        <v>Tamil Nadu</v>
      </c>
      <c r="M252" t="str">
        <v>Coimbatore</v>
      </c>
      <c r="N252" t="str">
        <v>Groceries</v>
      </c>
      <c r="O252">
        <v>20</v>
      </c>
      <c r="P252">
        <v>2487.65</v>
      </c>
      <c r="Q252">
        <v>49753</v>
      </c>
    </row>
    <row r="253" spans="1:17">
      <c r="A253" s="19">
        <v>44968</v>
      </c>
      <c r="B253" t="s">
        <v>1229</v>
      </c>
      <c r="C253" t="s">
        <v>1237</v>
      </c>
      <c r="D253" t="s">
        <v>1171</v>
      </c>
      <c r="E253" t="s">
        <v>120</v>
      </c>
      <c r="F253" s="10">
        <v>16</v>
      </c>
      <c r="G253" s="10">
        <v>2954.32</v>
      </c>
      <c r="H253" s="10">
        <v>47269.120000000003</v>
      </c>
      <c r="J253">
        <v>45161</v>
      </c>
      <c r="K253" t="str">
        <v>South</v>
      </c>
      <c r="L253" t="str">
        <v>Tamil Nadu</v>
      </c>
      <c r="M253" t="str">
        <v>Coimbatore</v>
      </c>
      <c r="N253" t="str">
        <v>Groceries</v>
      </c>
      <c r="O253">
        <v>12</v>
      </c>
      <c r="P253">
        <v>3932.48</v>
      </c>
      <c r="Q253">
        <v>47189.760000000002</v>
      </c>
    </row>
    <row r="254" spans="1:17">
      <c r="A254" s="19">
        <v>45015</v>
      </c>
      <c r="B254" t="s">
        <v>1231</v>
      </c>
      <c r="C254" t="s">
        <v>1232</v>
      </c>
      <c r="D254" t="s">
        <v>1234</v>
      </c>
      <c r="E254" t="s">
        <v>120</v>
      </c>
      <c r="F254" s="10">
        <v>17</v>
      </c>
      <c r="G254" s="10">
        <v>2664.62</v>
      </c>
      <c r="H254" s="10">
        <v>45298.54</v>
      </c>
      <c r="J254">
        <v>45112</v>
      </c>
      <c r="K254" t="str">
        <v>South</v>
      </c>
      <c r="L254" t="str">
        <v>Tamil Nadu</v>
      </c>
      <c r="M254" t="str">
        <v>Coimbatore</v>
      </c>
      <c r="N254" t="str">
        <v>Groceries</v>
      </c>
      <c r="O254">
        <v>14</v>
      </c>
      <c r="P254">
        <v>2808.58</v>
      </c>
      <c r="Q254">
        <v>39320.120000000003</v>
      </c>
    </row>
    <row r="255" spans="1:17">
      <c r="A255" s="19">
        <v>45118</v>
      </c>
      <c r="B255" t="s">
        <v>1229</v>
      </c>
      <c r="C255" t="s">
        <v>1230</v>
      </c>
      <c r="D255" t="s">
        <v>1246</v>
      </c>
      <c r="E255" t="s">
        <v>120</v>
      </c>
      <c r="F255" s="10">
        <v>15</v>
      </c>
      <c r="G255" s="10">
        <v>3005.08</v>
      </c>
      <c r="H255" s="10">
        <v>45076.2</v>
      </c>
      <c r="J255">
        <v>44993</v>
      </c>
      <c r="K255" t="str">
        <v>South</v>
      </c>
      <c r="L255" t="str">
        <v>Tamil Nadu</v>
      </c>
      <c r="M255" t="str">
        <v>Coimbatore</v>
      </c>
      <c r="N255" t="str">
        <v>Groceries</v>
      </c>
      <c r="O255">
        <v>11</v>
      </c>
      <c r="P255">
        <v>3561.4</v>
      </c>
      <c r="Q255">
        <v>39175.4</v>
      </c>
    </row>
    <row r="256" spans="1:17">
      <c r="A256" s="19">
        <v>45289</v>
      </c>
      <c r="B256" t="s">
        <v>1229</v>
      </c>
      <c r="C256" t="s">
        <v>1237</v>
      </c>
      <c r="D256" t="s">
        <v>1239</v>
      </c>
      <c r="E256" t="s">
        <v>120</v>
      </c>
      <c r="F256" s="10">
        <v>18</v>
      </c>
      <c r="G256" s="10">
        <v>2494.9499999999998</v>
      </c>
      <c r="H256" s="10">
        <v>44909.1</v>
      </c>
      <c r="J256">
        <v>45118</v>
      </c>
      <c r="K256" t="str">
        <v>South</v>
      </c>
      <c r="L256" t="str">
        <v>Tamil Nadu</v>
      </c>
      <c r="M256" t="str">
        <v>Coimbatore</v>
      </c>
      <c r="N256" t="str">
        <v>Groceries</v>
      </c>
      <c r="O256">
        <v>10</v>
      </c>
      <c r="P256">
        <v>3122.59</v>
      </c>
      <c r="Q256">
        <v>31225.9</v>
      </c>
    </row>
    <row r="257" spans="1:17">
      <c r="A257" s="19">
        <v>45004</v>
      </c>
      <c r="B257" t="s">
        <v>1229</v>
      </c>
      <c r="C257" t="s">
        <v>1237</v>
      </c>
      <c r="D257" t="s">
        <v>1239</v>
      </c>
      <c r="E257" t="s">
        <v>120</v>
      </c>
      <c r="F257" s="10">
        <v>9</v>
      </c>
      <c r="G257" s="10">
        <v>4953.3999999999996</v>
      </c>
      <c r="H257" s="10">
        <v>44580.6</v>
      </c>
      <c r="J257">
        <v>45113</v>
      </c>
      <c r="K257" t="str">
        <v>South</v>
      </c>
      <c r="L257" t="str">
        <v>Tamil Nadu</v>
      </c>
      <c r="M257" t="str">
        <v>Coimbatore</v>
      </c>
      <c r="N257" t="str">
        <v>Groceries</v>
      </c>
      <c r="O257">
        <v>9</v>
      </c>
      <c r="P257">
        <v>3395.02</v>
      </c>
      <c r="Q257">
        <v>30555.18</v>
      </c>
    </row>
    <row r="258" spans="1:17">
      <c r="A258" s="19">
        <v>45119</v>
      </c>
      <c r="B258" t="s">
        <v>1229</v>
      </c>
      <c r="C258" t="s">
        <v>1237</v>
      </c>
      <c r="D258" t="s">
        <v>1171</v>
      </c>
      <c r="E258" t="s">
        <v>120</v>
      </c>
      <c r="F258" s="10">
        <v>9</v>
      </c>
      <c r="G258" s="10">
        <v>4757.53</v>
      </c>
      <c r="H258" s="10">
        <v>42817.77</v>
      </c>
      <c r="J258">
        <v>44978</v>
      </c>
      <c r="K258" t="str">
        <v>South</v>
      </c>
      <c r="L258" t="str">
        <v>Tamil Nadu</v>
      </c>
      <c r="M258" t="str">
        <v>Coimbatore</v>
      </c>
      <c r="N258" t="str">
        <v>Groceries</v>
      </c>
      <c r="O258">
        <v>4</v>
      </c>
      <c r="P258">
        <v>4878.16</v>
      </c>
      <c r="Q258">
        <v>19512.64</v>
      </c>
    </row>
    <row r="259" spans="1:17">
      <c r="A259" s="19">
        <v>45212</v>
      </c>
      <c r="B259" t="s">
        <v>1229</v>
      </c>
      <c r="C259" t="s">
        <v>1230</v>
      </c>
      <c r="D259" t="s">
        <v>1248</v>
      </c>
      <c r="E259" t="s">
        <v>120</v>
      </c>
      <c r="F259" s="10">
        <v>20</v>
      </c>
      <c r="G259" s="10">
        <v>2133.5300000000002</v>
      </c>
      <c r="H259" s="10">
        <v>42670.6</v>
      </c>
      <c r="J259">
        <v>45052</v>
      </c>
      <c r="K259" t="str">
        <v>South</v>
      </c>
      <c r="L259" t="str">
        <v>Tamil Nadu</v>
      </c>
      <c r="M259" t="str">
        <v>Coimbatore</v>
      </c>
      <c r="N259" t="str">
        <v>Groceries</v>
      </c>
      <c r="O259">
        <v>19</v>
      </c>
      <c r="P259">
        <v>548.70000000000005</v>
      </c>
      <c r="Q259">
        <v>10425.299999999999</v>
      </c>
    </row>
    <row r="260" spans="1:17">
      <c r="A260" s="19">
        <v>45265</v>
      </c>
      <c r="B260" t="s">
        <v>1231</v>
      </c>
      <c r="C260" t="s">
        <v>1232</v>
      </c>
      <c r="D260" t="s">
        <v>1234</v>
      </c>
      <c r="E260" t="s">
        <v>120</v>
      </c>
      <c r="F260" s="10">
        <v>13</v>
      </c>
      <c r="G260" s="10">
        <v>3190.8</v>
      </c>
      <c r="H260" s="10">
        <v>41480.400000000001</v>
      </c>
      <c r="J260">
        <v>45168</v>
      </c>
      <c r="K260" t="str">
        <v>South</v>
      </c>
      <c r="L260" t="str">
        <v>Tamil Nadu</v>
      </c>
      <c r="M260" t="str">
        <v>Coimbatore</v>
      </c>
      <c r="N260" t="str">
        <v>Groceries</v>
      </c>
      <c r="O260">
        <v>11</v>
      </c>
      <c r="P260">
        <v>920.95</v>
      </c>
      <c r="Q260">
        <v>10130.450000000001</v>
      </c>
    </row>
    <row r="261" spans="1:17">
      <c r="A261" s="19">
        <v>44967</v>
      </c>
      <c r="B261" t="s">
        <v>1229</v>
      </c>
      <c r="C261" t="s">
        <v>1230</v>
      </c>
      <c r="D261" t="s">
        <v>1246</v>
      </c>
      <c r="E261" t="s">
        <v>120</v>
      </c>
      <c r="F261" s="10">
        <v>12</v>
      </c>
      <c r="G261" s="10">
        <v>3443.54</v>
      </c>
      <c r="H261" s="10">
        <v>41322.480000000003</v>
      </c>
      <c r="J261">
        <v>45010</v>
      </c>
      <c r="K261" t="str">
        <v>South</v>
      </c>
      <c r="L261" t="str">
        <v>Tamil Nadu</v>
      </c>
      <c r="M261" t="str">
        <v>Coimbatore</v>
      </c>
      <c r="N261" t="str">
        <v>Groceries</v>
      </c>
      <c r="O261">
        <v>17</v>
      </c>
      <c r="P261">
        <v>578.88</v>
      </c>
      <c r="Q261">
        <v>9840.9599999999991</v>
      </c>
    </row>
    <row r="262" spans="1:17">
      <c r="A262" s="19">
        <v>45048</v>
      </c>
      <c r="B262" t="s">
        <v>1231</v>
      </c>
      <c r="C262" t="s">
        <v>1235</v>
      </c>
      <c r="D262" t="s">
        <v>1236</v>
      </c>
      <c r="E262" t="s">
        <v>120</v>
      </c>
      <c r="F262" s="10">
        <v>12</v>
      </c>
      <c r="G262" s="10">
        <v>3358.78</v>
      </c>
      <c r="H262" s="10">
        <v>40305.360000000001</v>
      </c>
      <c r="J262">
        <v>45105</v>
      </c>
      <c r="K262" t="str">
        <v>South</v>
      </c>
      <c r="L262" t="str">
        <v>Tamil Nadu</v>
      </c>
      <c r="M262" t="str">
        <v>Coimbatore</v>
      </c>
      <c r="N262" t="str">
        <v>Groceries</v>
      </c>
      <c r="O262">
        <v>7</v>
      </c>
      <c r="P262">
        <v>705.03</v>
      </c>
      <c r="Q262">
        <v>4935.21</v>
      </c>
    </row>
    <row r="263" spans="1:17">
      <c r="A263" s="19">
        <v>44950</v>
      </c>
      <c r="B263" t="s">
        <v>1242</v>
      </c>
      <c r="C263" t="s">
        <v>1243</v>
      </c>
      <c r="D263" t="s">
        <v>1245</v>
      </c>
      <c r="E263" t="s">
        <v>120</v>
      </c>
      <c r="F263" s="10">
        <v>8</v>
      </c>
      <c r="G263" s="10">
        <v>4986.3100000000004</v>
      </c>
      <c r="H263" s="10">
        <v>39890.480000000003</v>
      </c>
      <c r="J263">
        <v>45004</v>
      </c>
      <c r="K263" t="str">
        <v>South</v>
      </c>
      <c r="L263" t="str">
        <v>Tamil Nadu</v>
      </c>
      <c r="M263" t="str">
        <v>Coimbatore</v>
      </c>
      <c r="N263" t="str">
        <v>Groceries</v>
      </c>
      <c r="O263">
        <v>6</v>
      </c>
      <c r="P263">
        <v>484.95</v>
      </c>
      <c r="Q263">
        <v>2909.7</v>
      </c>
    </row>
    <row r="264" spans="1:17">
      <c r="A264" s="19">
        <v>44988</v>
      </c>
      <c r="B264" t="s">
        <v>1229</v>
      </c>
      <c r="C264" t="s">
        <v>1237</v>
      </c>
      <c r="D264" t="s">
        <v>1239</v>
      </c>
      <c r="E264" t="s">
        <v>120</v>
      </c>
      <c r="F264" s="10">
        <v>11</v>
      </c>
      <c r="G264" s="10">
        <v>3584.06</v>
      </c>
      <c r="H264" s="10">
        <v>39424.660000000003</v>
      </c>
      <c r="J264">
        <v>44999</v>
      </c>
      <c r="K264" t="str">
        <v>South</v>
      </c>
      <c r="L264" t="str">
        <v>Tamil Nadu</v>
      </c>
      <c r="M264" t="str">
        <v>Coimbatore</v>
      </c>
      <c r="N264" t="str">
        <v>Stationery</v>
      </c>
      <c r="O264">
        <v>19</v>
      </c>
      <c r="P264">
        <v>4134.01</v>
      </c>
      <c r="Q264">
        <v>78546.19</v>
      </c>
    </row>
    <row r="265" spans="1:17">
      <c r="A265" s="19">
        <v>45191</v>
      </c>
      <c r="B265" t="s">
        <v>1242</v>
      </c>
      <c r="C265" t="s">
        <v>1243</v>
      </c>
      <c r="D265" t="s">
        <v>1245</v>
      </c>
      <c r="E265" t="s">
        <v>120</v>
      </c>
      <c r="F265" s="10">
        <v>8</v>
      </c>
      <c r="G265" s="10">
        <v>4866.58</v>
      </c>
      <c r="H265" s="10">
        <v>38932.639999999999</v>
      </c>
      <c r="J265">
        <v>45041</v>
      </c>
      <c r="K265" t="str">
        <v>South</v>
      </c>
      <c r="L265" t="str">
        <v>Tamil Nadu</v>
      </c>
      <c r="M265" t="str">
        <v>Coimbatore</v>
      </c>
      <c r="N265" t="str">
        <v>Stationery</v>
      </c>
      <c r="O265">
        <v>14</v>
      </c>
      <c r="P265">
        <v>4935.34</v>
      </c>
      <c r="Q265">
        <v>69094.759999999995</v>
      </c>
    </row>
    <row r="266" spans="1:17">
      <c r="A266" s="19">
        <v>45164</v>
      </c>
      <c r="B266" t="s">
        <v>1229</v>
      </c>
      <c r="C266" t="s">
        <v>1230</v>
      </c>
      <c r="D266" t="s">
        <v>1248</v>
      </c>
      <c r="E266" t="s">
        <v>120</v>
      </c>
      <c r="F266" s="10">
        <v>11</v>
      </c>
      <c r="G266" s="10">
        <v>3538.83</v>
      </c>
      <c r="H266" s="10">
        <v>38927.129999999997</v>
      </c>
      <c r="J266">
        <v>45023</v>
      </c>
      <c r="K266" t="str">
        <v>South</v>
      </c>
      <c r="L266" t="str">
        <v>Tamil Nadu</v>
      </c>
      <c r="M266" t="str">
        <v>Coimbatore</v>
      </c>
      <c r="N266" t="str">
        <v>Stationery</v>
      </c>
      <c r="O266">
        <v>17</v>
      </c>
      <c r="P266">
        <v>3771.79</v>
      </c>
      <c r="Q266">
        <v>64120.43</v>
      </c>
    </row>
    <row r="267" spans="1:17">
      <c r="A267" s="19">
        <v>45039</v>
      </c>
      <c r="B267" t="s">
        <v>1229</v>
      </c>
      <c r="C267" t="s">
        <v>1237</v>
      </c>
      <c r="D267" t="s">
        <v>1171</v>
      </c>
      <c r="E267" t="s">
        <v>120</v>
      </c>
      <c r="F267" s="10">
        <v>14</v>
      </c>
      <c r="G267" s="10">
        <v>2775.33</v>
      </c>
      <c r="H267" s="10">
        <v>38854.620000000003</v>
      </c>
      <c r="J267">
        <v>44985</v>
      </c>
      <c r="K267" t="str">
        <v>South</v>
      </c>
      <c r="L267" t="str">
        <v>Tamil Nadu</v>
      </c>
      <c r="M267" t="str">
        <v>Coimbatore</v>
      </c>
      <c r="N267" t="str">
        <v>Stationery</v>
      </c>
      <c r="O267">
        <v>14</v>
      </c>
      <c r="P267">
        <v>4009.33</v>
      </c>
      <c r="Q267">
        <v>56130.62</v>
      </c>
    </row>
    <row r="268" spans="1:17">
      <c r="A268" s="19">
        <v>45113</v>
      </c>
      <c r="B268" t="s">
        <v>1229</v>
      </c>
      <c r="C268" t="s">
        <v>1237</v>
      </c>
      <c r="D268" t="s">
        <v>1239</v>
      </c>
      <c r="E268" t="s">
        <v>120</v>
      </c>
      <c r="F268" s="10">
        <v>15</v>
      </c>
      <c r="G268" s="10">
        <v>2551.6</v>
      </c>
      <c r="H268" s="10">
        <v>38274</v>
      </c>
      <c r="J268">
        <v>45246</v>
      </c>
      <c r="K268" t="str">
        <v>South</v>
      </c>
      <c r="L268" t="str">
        <v>Tamil Nadu</v>
      </c>
      <c r="M268" t="str">
        <v>Coimbatore</v>
      </c>
      <c r="N268" t="str">
        <v>Stationery</v>
      </c>
      <c r="O268">
        <v>11</v>
      </c>
      <c r="P268">
        <v>4089.16</v>
      </c>
      <c r="Q268">
        <v>44980.76</v>
      </c>
    </row>
    <row r="269" spans="1:17">
      <c r="A269" s="19">
        <v>44930</v>
      </c>
      <c r="B269" t="s">
        <v>1231</v>
      </c>
      <c r="C269" t="s">
        <v>1232</v>
      </c>
      <c r="D269" t="s">
        <v>1240</v>
      </c>
      <c r="E269" t="s">
        <v>120</v>
      </c>
      <c r="F269" s="10">
        <v>13</v>
      </c>
      <c r="G269" s="10">
        <v>2913.56</v>
      </c>
      <c r="H269" s="10">
        <v>37876.28</v>
      </c>
      <c r="J269">
        <v>45051</v>
      </c>
      <c r="K269" t="str">
        <v>South</v>
      </c>
      <c r="L269" t="str">
        <v>Tamil Nadu</v>
      </c>
      <c r="M269" t="str">
        <v>Coimbatore</v>
      </c>
      <c r="N269" t="str">
        <v>Stationery</v>
      </c>
      <c r="O269">
        <v>7</v>
      </c>
      <c r="P269">
        <v>4530.8100000000004</v>
      </c>
      <c r="Q269">
        <v>31715.67</v>
      </c>
    </row>
    <row r="270" spans="1:17">
      <c r="A270" s="19">
        <v>45085</v>
      </c>
      <c r="B270" t="s">
        <v>1229</v>
      </c>
      <c r="C270" t="s">
        <v>1230</v>
      </c>
      <c r="D270" t="s">
        <v>1248</v>
      </c>
      <c r="E270" t="s">
        <v>120</v>
      </c>
      <c r="F270" s="10">
        <v>15</v>
      </c>
      <c r="G270" s="10">
        <v>2514.9499999999998</v>
      </c>
      <c r="H270" s="10">
        <v>37724.25</v>
      </c>
      <c r="J270">
        <v>44946</v>
      </c>
      <c r="K270" t="str">
        <v>South</v>
      </c>
      <c r="L270" t="str">
        <v>Tamil Nadu</v>
      </c>
      <c r="M270" t="str">
        <v>Coimbatore</v>
      </c>
      <c r="N270" t="str">
        <v>Stationery</v>
      </c>
      <c r="O270">
        <v>11</v>
      </c>
      <c r="P270">
        <v>2426.48</v>
      </c>
      <c r="Q270">
        <v>26691.279999999999</v>
      </c>
    </row>
    <row r="271" spans="1:17">
      <c r="A271" s="19">
        <v>45238</v>
      </c>
      <c r="B271" t="s">
        <v>1242</v>
      </c>
      <c r="C271" t="s">
        <v>1243</v>
      </c>
      <c r="D271" t="s">
        <v>1245</v>
      </c>
      <c r="E271" t="s">
        <v>120</v>
      </c>
      <c r="F271" s="10">
        <v>17</v>
      </c>
      <c r="G271" s="10">
        <v>2216.38</v>
      </c>
      <c r="H271" s="10">
        <v>37678.46</v>
      </c>
      <c r="J271">
        <v>45266</v>
      </c>
      <c r="K271" t="str">
        <v>South</v>
      </c>
      <c r="L271" t="str">
        <v>Tamil Nadu</v>
      </c>
      <c r="M271" t="str">
        <v>Coimbatore</v>
      </c>
      <c r="N271" t="str">
        <v>Stationery</v>
      </c>
      <c r="O271">
        <v>5</v>
      </c>
      <c r="P271">
        <v>4987.84</v>
      </c>
      <c r="Q271">
        <v>24939.200000000001</v>
      </c>
    </row>
    <row r="272" spans="1:17">
      <c r="A272" s="19">
        <v>45066</v>
      </c>
      <c r="B272" t="s">
        <v>1229</v>
      </c>
      <c r="C272" t="s">
        <v>1237</v>
      </c>
      <c r="D272" t="s">
        <v>1171</v>
      </c>
      <c r="E272" t="s">
        <v>120</v>
      </c>
      <c r="F272" s="10">
        <v>8</v>
      </c>
      <c r="G272" s="10">
        <v>4576.97</v>
      </c>
      <c r="H272" s="10">
        <v>36615.760000000002</v>
      </c>
      <c r="J272">
        <v>44962</v>
      </c>
      <c r="K272" t="str">
        <v>South</v>
      </c>
      <c r="L272" t="str">
        <v>Tamil Nadu</v>
      </c>
      <c r="M272" t="str">
        <v>Coimbatore</v>
      </c>
      <c r="N272" t="str">
        <v>Stationery</v>
      </c>
      <c r="O272">
        <v>14</v>
      </c>
      <c r="P272">
        <v>1273.8399999999999</v>
      </c>
      <c r="Q272">
        <v>17833.759999999998</v>
      </c>
    </row>
    <row r="273" spans="1:17">
      <c r="A273" s="19">
        <v>44978</v>
      </c>
      <c r="B273" t="s">
        <v>1229</v>
      </c>
      <c r="C273" t="s">
        <v>1230</v>
      </c>
      <c r="D273" t="s">
        <v>1246</v>
      </c>
      <c r="E273" t="s">
        <v>120</v>
      </c>
      <c r="F273" s="10">
        <v>17</v>
      </c>
      <c r="G273" s="10">
        <v>2107.36</v>
      </c>
      <c r="H273" s="10">
        <v>35825.120000000003</v>
      </c>
      <c r="J273">
        <v>45089</v>
      </c>
      <c r="K273" t="str">
        <v>South</v>
      </c>
      <c r="L273" t="str">
        <v>Tamil Nadu</v>
      </c>
      <c r="M273" t="str">
        <v>Coimbatore</v>
      </c>
      <c r="N273" t="str">
        <v>Stationery</v>
      </c>
      <c r="O273">
        <v>3</v>
      </c>
      <c r="P273">
        <v>3109.18</v>
      </c>
      <c r="Q273">
        <v>9327.5400000000009</v>
      </c>
    </row>
    <row r="274" spans="1:17">
      <c r="A274" s="19">
        <v>45029</v>
      </c>
      <c r="B274" t="s">
        <v>1231</v>
      </c>
      <c r="C274" t="s">
        <v>1235</v>
      </c>
      <c r="D274" t="s">
        <v>1241</v>
      </c>
      <c r="E274" t="s">
        <v>120</v>
      </c>
      <c r="F274" s="10">
        <v>8</v>
      </c>
      <c r="G274" s="10">
        <v>4402.3599999999997</v>
      </c>
      <c r="H274" s="10">
        <v>35218.879999999997</v>
      </c>
      <c r="J274">
        <v>45290</v>
      </c>
      <c r="K274" t="str">
        <v>South</v>
      </c>
      <c r="L274" t="str">
        <v>Tamil Nadu</v>
      </c>
      <c r="M274" t="str">
        <v>Coimbatore</v>
      </c>
      <c r="N274" t="str">
        <v>Stationery</v>
      </c>
      <c r="O274">
        <v>3</v>
      </c>
      <c r="P274">
        <v>2961.96</v>
      </c>
      <c r="Q274">
        <v>8885.8799999999992</v>
      </c>
    </row>
    <row r="275" spans="1:17">
      <c r="A275" s="19">
        <v>44989</v>
      </c>
      <c r="B275" t="s">
        <v>1231</v>
      </c>
      <c r="C275" t="s">
        <v>1232</v>
      </c>
      <c r="D275" t="s">
        <v>1233</v>
      </c>
      <c r="E275" t="s">
        <v>120</v>
      </c>
      <c r="F275" s="10">
        <v>13</v>
      </c>
      <c r="G275" s="10">
        <v>2693.09</v>
      </c>
      <c r="H275" s="10">
        <v>35010.17</v>
      </c>
      <c r="J275">
        <v>44986</v>
      </c>
      <c r="K275" t="str">
        <v>South</v>
      </c>
      <c r="L275" t="str">
        <v>Tamil Nadu</v>
      </c>
      <c r="M275" t="str">
        <v>Coimbatore</v>
      </c>
      <c r="N275" t="str">
        <v>Stationery</v>
      </c>
      <c r="O275">
        <v>5</v>
      </c>
      <c r="P275">
        <v>1192.82</v>
      </c>
      <c r="Q275">
        <v>5964.1</v>
      </c>
    </row>
    <row r="276" spans="1:17">
      <c r="A276" s="19">
        <v>45247</v>
      </c>
      <c r="B276" t="s">
        <v>1229</v>
      </c>
      <c r="C276" t="s">
        <v>1230</v>
      </c>
      <c r="D276" t="s">
        <v>1169</v>
      </c>
      <c r="E276" t="s">
        <v>120</v>
      </c>
      <c r="F276" s="10">
        <v>19</v>
      </c>
      <c r="G276" s="10">
        <v>1809.9</v>
      </c>
      <c r="H276" s="10">
        <v>34388.1</v>
      </c>
      <c r="J276">
        <v>45288</v>
      </c>
      <c r="K276" t="str">
        <v>South</v>
      </c>
      <c r="L276" t="str">
        <v>Tamil Nadu</v>
      </c>
      <c r="M276" t="str">
        <v>Coimbatore</v>
      </c>
      <c r="N276" t="str">
        <v>Stationery</v>
      </c>
      <c r="O276">
        <v>10</v>
      </c>
      <c r="P276">
        <v>568.6</v>
      </c>
      <c r="Q276">
        <v>5686</v>
      </c>
    </row>
    <row r="277" spans="1:17">
      <c r="A277" s="19">
        <v>45112</v>
      </c>
      <c r="B277" t="s">
        <v>1242</v>
      </c>
      <c r="C277" t="s">
        <v>1243</v>
      </c>
      <c r="D277" t="s">
        <v>1245</v>
      </c>
      <c r="E277" t="s">
        <v>120</v>
      </c>
      <c r="F277" s="10">
        <v>10</v>
      </c>
      <c r="G277" s="10">
        <v>3411.13</v>
      </c>
      <c r="H277" s="10">
        <v>34111.300000000003</v>
      </c>
      <c r="J277">
        <v>45076</v>
      </c>
      <c r="K277" t="str">
        <v>South</v>
      </c>
      <c r="L277" t="str">
        <v>Tamil Nadu</v>
      </c>
      <c r="M277" t="str">
        <v>Coimbatore</v>
      </c>
      <c r="N277" t="str">
        <v>Stationery</v>
      </c>
      <c r="O277">
        <v>1</v>
      </c>
      <c r="P277">
        <v>2664.84</v>
      </c>
      <c r="Q277">
        <v>2664.84</v>
      </c>
    </row>
    <row r="278" spans="1:17">
      <c r="A278" s="19">
        <v>45100</v>
      </c>
      <c r="B278" t="s">
        <v>1229</v>
      </c>
      <c r="C278" t="s">
        <v>1230</v>
      </c>
      <c r="D278" t="s">
        <v>1246</v>
      </c>
      <c r="E278" t="s">
        <v>120</v>
      </c>
      <c r="F278" s="10">
        <v>8</v>
      </c>
      <c r="G278" s="10">
        <v>4197.6400000000003</v>
      </c>
      <c r="H278" s="10">
        <v>33581.120000000003</v>
      </c>
      <c r="J278">
        <v>45037</v>
      </c>
      <c r="K278" t="str">
        <v>South</v>
      </c>
      <c r="L278" t="str">
        <v>Tamil Nadu</v>
      </c>
      <c r="M278" t="str">
        <v>Coimbatore</v>
      </c>
      <c r="N278" t="str">
        <v>Stationery</v>
      </c>
      <c r="O278">
        <v>7</v>
      </c>
      <c r="P278">
        <v>299.68</v>
      </c>
      <c r="Q278">
        <v>2097.7600000000002</v>
      </c>
    </row>
    <row r="279" spans="1:17">
      <c r="A279" s="19">
        <v>45229</v>
      </c>
      <c r="B279" t="s">
        <v>1231</v>
      </c>
      <c r="C279" t="s">
        <v>1232</v>
      </c>
      <c r="D279" t="s">
        <v>1240</v>
      </c>
      <c r="E279" t="s">
        <v>120</v>
      </c>
      <c r="F279" s="10">
        <v>9</v>
      </c>
      <c r="G279" s="10">
        <v>3643.26</v>
      </c>
      <c r="H279" s="10">
        <v>32789.339999999997</v>
      </c>
      <c r="J279">
        <v>45088</v>
      </c>
      <c r="K279" t="str">
        <v>North</v>
      </c>
      <c r="L279" t="str">
        <v>Delhi</v>
      </c>
      <c r="M279" t="str">
        <v>Dwarka</v>
      </c>
      <c r="N279" t="str">
        <v>Clothing</v>
      </c>
      <c r="O279">
        <v>17</v>
      </c>
      <c r="P279">
        <v>3878.66</v>
      </c>
      <c r="Q279">
        <v>65937.22</v>
      </c>
    </row>
    <row r="280" spans="1:17">
      <c r="A280" s="19">
        <v>45058</v>
      </c>
      <c r="B280" t="s">
        <v>1231</v>
      </c>
      <c r="C280" t="s">
        <v>1232</v>
      </c>
      <c r="D280" t="s">
        <v>1240</v>
      </c>
      <c r="E280" t="s">
        <v>120</v>
      </c>
      <c r="F280" s="10">
        <v>11</v>
      </c>
      <c r="G280" s="10">
        <v>2852.22</v>
      </c>
      <c r="H280" s="10">
        <v>31374.42</v>
      </c>
      <c r="J280">
        <v>45186</v>
      </c>
      <c r="K280" t="str">
        <v>North</v>
      </c>
      <c r="L280" t="str">
        <v>Delhi</v>
      </c>
      <c r="M280" t="str">
        <v>Dwarka</v>
      </c>
      <c r="N280" t="str">
        <v>Clothing</v>
      </c>
      <c r="O280">
        <v>18</v>
      </c>
      <c r="P280">
        <v>1986.52</v>
      </c>
      <c r="Q280">
        <v>35757.360000000001</v>
      </c>
    </row>
    <row r="281" spans="1:17">
      <c r="A281" s="19">
        <v>45055</v>
      </c>
      <c r="B281" t="s">
        <v>1242</v>
      </c>
      <c r="C281" t="s">
        <v>1243</v>
      </c>
      <c r="D281" t="s">
        <v>1247</v>
      </c>
      <c r="E281" t="s">
        <v>120</v>
      </c>
      <c r="F281" s="10">
        <v>12</v>
      </c>
      <c r="G281" s="10">
        <v>2581.09</v>
      </c>
      <c r="H281" s="10">
        <v>30973.08</v>
      </c>
      <c r="J281">
        <v>44960</v>
      </c>
      <c r="K281" t="str">
        <v>North</v>
      </c>
      <c r="L281" t="str">
        <v>Delhi</v>
      </c>
      <c r="M281" t="str">
        <v>Dwarka</v>
      </c>
      <c r="N281" t="str">
        <v>Clothing</v>
      </c>
      <c r="O281">
        <v>14</v>
      </c>
      <c r="P281">
        <v>2371.85</v>
      </c>
      <c r="Q281">
        <v>33205.9</v>
      </c>
    </row>
    <row r="282" spans="1:17">
      <c r="A282" s="19">
        <v>45187</v>
      </c>
      <c r="B282" t="s">
        <v>1231</v>
      </c>
      <c r="C282" t="s">
        <v>1235</v>
      </c>
      <c r="D282" t="s">
        <v>1238</v>
      </c>
      <c r="E282" t="s">
        <v>120</v>
      </c>
      <c r="F282" s="10">
        <v>11</v>
      </c>
      <c r="G282" s="10">
        <v>2677.03</v>
      </c>
      <c r="H282" s="10">
        <v>29447.33</v>
      </c>
      <c r="J282">
        <v>45148</v>
      </c>
      <c r="K282" t="str">
        <v>North</v>
      </c>
      <c r="L282" t="str">
        <v>Delhi</v>
      </c>
      <c r="M282" t="str">
        <v>Dwarka</v>
      </c>
      <c r="N282" t="str">
        <v>Clothing</v>
      </c>
      <c r="O282">
        <v>17</v>
      </c>
      <c r="P282">
        <v>1645.97</v>
      </c>
      <c r="Q282">
        <v>27981.49</v>
      </c>
    </row>
    <row r="283" spans="1:17">
      <c r="A283" s="19">
        <v>45206</v>
      </c>
      <c r="B283" t="s">
        <v>1231</v>
      </c>
      <c r="C283" t="s">
        <v>1235</v>
      </c>
      <c r="D283" t="s">
        <v>1241</v>
      </c>
      <c r="E283" t="s">
        <v>120</v>
      </c>
      <c r="F283" s="10">
        <v>13</v>
      </c>
      <c r="G283" s="10">
        <v>2238.96</v>
      </c>
      <c r="H283" s="10">
        <v>29106.48</v>
      </c>
      <c r="J283">
        <v>45152</v>
      </c>
      <c r="K283" t="str">
        <v>North</v>
      </c>
      <c r="L283" t="str">
        <v>Delhi</v>
      </c>
      <c r="M283" t="str">
        <v>Dwarka</v>
      </c>
      <c r="N283" t="str">
        <v>Clothing</v>
      </c>
      <c r="O283">
        <v>8</v>
      </c>
      <c r="P283">
        <v>2628.31</v>
      </c>
      <c r="Q283">
        <v>21026.48</v>
      </c>
    </row>
    <row r="284" spans="1:17">
      <c r="A284" s="19">
        <v>45218</v>
      </c>
      <c r="B284" t="s">
        <v>1229</v>
      </c>
      <c r="C284" t="s">
        <v>1237</v>
      </c>
      <c r="D284" t="s">
        <v>1239</v>
      </c>
      <c r="E284" t="s">
        <v>120</v>
      </c>
      <c r="F284" s="10">
        <v>8</v>
      </c>
      <c r="G284" s="10">
        <v>3615.06</v>
      </c>
      <c r="H284" s="10">
        <v>28920.48</v>
      </c>
      <c r="J284">
        <v>45010</v>
      </c>
      <c r="K284" t="str">
        <v>North</v>
      </c>
      <c r="L284" t="str">
        <v>Delhi</v>
      </c>
      <c r="M284" t="str">
        <v>Dwarka</v>
      </c>
      <c r="N284" t="str">
        <v>Clothing</v>
      </c>
      <c r="O284">
        <v>6</v>
      </c>
      <c r="P284">
        <v>3125.31</v>
      </c>
      <c r="Q284">
        <v>18751.86</v>
      </c>
    </row>
    <row r="285" spans="1:17">
      <c r="A285" s="19">
        <v>45274</v>
      </c>
      <c r="B285" t="s">
        <v>1242</v>
      </c>
      <c r="C285" t="s">
        <v>1243</v>
      </c>
      <c r="D285" t="s">
        <v>1244</v>
      </c>
      <c r="E285" t="s">
        <v>120</v>
      </c>
      <c r="F285" s="10">
        <v>18</v>
      </c>
      <c r="G285" s="10">
        <v>1601.74</v>
      </c>
      <c r="H285" s="10">
        <v>28831.32</v>
      </c>
      <c r="J285">
        <v>45037</v>
      </c>
      <c r="K285" t="str">
        <v>North</v>
      </c>
      <c r="L285" t="str">
        <v>Delhi</v>
      </c>
      <c r="M285" t="str">
        <v>Dwarka</v>
      </c>
      <c r="N285" t="str">
        <v>Clothing</v>
      </c>
      <c r="O285">
        <v>5</v>
      </c>
      <c r="P285">
        <v>3181.48</v>
      </c>
      <c r="Q285">
        <v>15907.4</v>
      </c>
    </row>
    <row r="286" spans="1:17">
      <c r="A286" s="19">
        <v>45219</v>
      </c>
      <c r="B286" t="s">
        <v>1229</v>
      </c>
      <c r="C286" t="s">
        <v>1230</v>
      </c>
      <c r="D286" t="s">
        <v>1248</v>
      </c>
      <c r="E286" t="s">
        <v>120</v>
      </c>
      <c r="F286" s="10">
        <v>12</v>
      </c>
      <c r="G286" s="10">
        <v>2384.1</v>
      </c>
      <c r="H286" s="10">
        <v>28609.200000000001</v>
      </c>
      <c r="J286">
        <v>45003</v>
      </c>
      <c r="K286" t="str">
        <v>North</v>
      </c>
      <c r="L286" t="str">
        <v>Delhi</v>
      </c>
      <c r="M286" t="str">
        <v>Dwarka</v>
      </c>
      <c r="N286" t="str">
        <v>Clothing</v>
      </c>
      <c r="O286">
        <v>5</v>
      </c>
      <c r="P286">
        <v>2681.34</v>
      </c>
      <c r="Q286">
        <v>13406.7</v>
      </c>
    </row>
    <row r="287" spans="1:17">
      <c r="A287" s="19">
        <v>44999</v>
      </c>
      <c r="B287" t="s">
        <v>1229</v>
      </c>
      <c r="C287" t="s">
        <v>1230</v>
      </c>
      <c r="D287" t="s">
        <v>1169</v>
      </c>
      <c r="E287" t="s">
        <v>120</v>
      </c>
      <c r="F287" s="10">
        <v>13</v>
      </c>
      <c r="G287" s="10">
        <v>2163.4</v>
      </c>
      <c r="H287" s="10">
        <v>28124.2</v>
      </c>
      <c r="J287">
        <v>45254</v>
      </c>
      <c r="K287" t="str">
        <v>North</v>
      </c>
      <c r="L287" t="str">
        <v>Delhi</v>
      </c>
      <c r="M287" t="str">
        <v>Dwarka</v>
      </c>
      <c r="N287" t="str">
        <v>Clothing</v>
      </c>
      <c r="O287">
        <v>7</v>
      </c>
      <c r="P287">
        <v>1102.48</v>
      </c>
      <c r="Q287">
        <v>7717.36</v>
      </c>
    </row>
    <row r="288" spans="1:17">
      <c r="A288" s="19">
        <v>44936</v>
      </c>
      <c r="B288" t="s">
        <v>1231</v>
      </c>
      <c r="C288" t="s">
        <v>1232</v>
      </c>
      <c r="D288" t="s">
        <v>1240</v>
      </c>
      <c r="E288" t="s">
        <v>120</v>
      </c>
      <c r="F288" s="10">
        <v>11</v>
      </c>
      <c r="G288" s="10">
        <v>2491.8000000000002</v>
      </c>
      <c r="H288" s="10">
        <v>27409.8</v>
      </c>
      <c r="J288">
        <v>45135</v>
      </c>
      <c r="K288" t="str">
        <v>North</v>
      </c>
      <c r="L288" t="str">
        <v>Delhi</v>
      </c>
      <c r="M288" t="str">
        <v>Dwarka</v>
      </c>
      <c r="N288" t="str">
        <v>Clothing</v>
      </c>
      <c r="O288">
        <v>18</v>
      </c>
      <c r="P288">
        <v>276.35000000000002</v>
      </c>
      <c r="Q288">
        <v>4974.3</v>
      </c>
    </row>
    <row r="289" spans="1:17">
      <c r="A289" s="19">
        <v>45024</v>
      </c>
      <c r="B289" t="s">
        <v>1229</v>
      </c>
      <c r="C289" t="s">
        <v>1230</v>
      </c>
      <c r="D289" t="s">
        <v>1246</v>
      </c>
      <c r="E289" t="s">
        <v>120</v>
      </c>
      <c r="F289" s="10">
        <v>6</v>
      </c>
      <c r="G289" s="10">
        <v>4541.92</v>
      </c>
      <c r="H289" s="10">
        <v>27251.52</v>
      </c>
      <c r="J289">
        <v>45106</v>
      </c>
      <c r="K289" t="str">
        <v>North</v>
      </c>
      <c r="L289" t="str">
        <v>Delhi</v>
      </c>
      <c r="M289" t="str">
        <v>Dwarka</v>
      </c>
      <c r="N289" t="str">
        <v>Clothing</v>
      </c>
      <c r="O289">
        <v>1</v>
      </c>
      <c r="P289">
        <v>1793.18</v>
      </c>
      <c r="Q289">
        <v>1793.18</v>
      </c>
    </row>
    <row r="290" spans="1:17">
      <c r="A290" s="19">
        <v>45178</v>
      </c>
      <c r="B290" t="s">
        <v>1229</v>
      </c>
      <c r="C290" t="s">
        <v>1237</v>
      </c>
      <c r="D290" t="s">
        <v>1239</v>
      </c>
      <c r="E290" t="s">
        <v>120</v>
      </c>
      <c r="F290" s="10">
        <v>15</v>
      </c>
      <c r="G290" s="10">
        <v>1790.03</v>
      </c>
      <c r="H290" s="10">
        <v>26850.45</v>
      </c>
      <c r="J290">
        <v>45032</v>
      </c>
      <c r="K290" t="str">
        <v>North</v>
      </c>
      <c r="L290" t="str">
        <v>Delhi</v>
      </c>
      <c r="M290" t="str">
        <v>Dwarka</v>
      </c>
      <c r="N290" t="str">
        <v>Clothing</v>
      </c>
      <c r="O290">
        <v>2</v>
      </c>
      <c r="P290">
        <v>528.62</v>
      </c>
      <c r="Q290">
        <v>1057.24</v>
      </c>
    </row>
    <row r="291" spans="1:17">
      <c r="A291" s="19">
        <v>45113</v>
      </c>
      <c r="B291" t="s">
        <v>1229</v>
      </c>
      <c r="C291" t="s">
        <v>1230</v>
      </c>
      <c r="D291" t="s">
        <v>1169</v>
      </c>
      <c r="E291" t="s">
        <v>120</v>
      </c>
      <c r="F291" s="10">
        <v>6</v>
      </c>
      <c r="G291" s="10">
        <v>4265.8599999999997</v>
      </c>
      <c r="H291" s="10">
        <v>25595.16</v>
      </c>
      <c r="J291">
        <v>45159</v>
      </c>
      <c r="K291" t="str">
        <v>North</v>
      </c>
      <c r="L291" t="str">
        <v>Delhi</v>
      </c>
      <c r="M291" t="str">
        <v>Dwarka</v>
      </c>
      <c r="N291" t="str">
        <v>Electronics</v>
      </c>
      <c r="O291">
        <v>20</v>
      </c>
      <c r="P291">
        <v>3438.25</v>
      </c>
      <c r="Q291">
        <v>68765</v>
      </c>
    </row>
    <row r="292" spans="1:17">
      <c r="A292" s="19">
        <v>45256</v>
      </c>
      <c r="B292" t="s">
        <v>1229</v>
      </c>
      <c r="C292" t="s">
        <v>1237</v>
      </c>
      <c r="D292" t="s">
        <v>1239</v>
      </c>
      <c r="E292" t="s">
        <v>120</v>
      </c>
      <c r="F292" s="10">
        <v>20</v>
      </c>
      <c r="G292" s="10">
        <v>1260.25</v>
      </c>
      <c r="H292" s="10">
        <v>25205</v>
      </c>
      <c r="J292">
        <v>45107</v>
      </c>
      <c r="K292" t="str">
        <v>North</v>
      </c>
      <c r="L292" t="str">
        <v>Delhi</v>
      </c>
      <c r="M292" t="str">
        <v>Dwarka</v>
      </c>
      <c r="N292" t="str">
        <v>Electronics</v>
      </c>
      <c r="O292">
        <v>12</v>
      </c>
      <c r="P292">
        <v>3981.34</v>
      </c>
      <c r="Q292">
        <v>47776.08</v>
      </c>
    </row>
    <row r="293" spans="1:17">
      <c r="A293" s="19">
        <v>44955</v>
      </c>
      <c r="B293" t="s">
        <v>1229</v>
      </c>
      <c r="C293" t="s">
        <v>1237</v>
      </c>
      <c r="D293" t="s">
        <v>1239</v>
      </c>
      <c r="E293" t="s">
        <v>120</v>
      </c>
      <c r="F293" s="10">
        <v>17</v>
      </c>
      <c r="G293" s="10">
        <v>1457.07</v>
      </c>
      <c r="H293" s="10">
        <v>24770.19</v>
      </c>
      <c r="J293">
        <v>45274</v>
      </c>
      <c r="K293" t="str">
        <v>North</v>
      </c>
      <c r="L293" t="str">
        <v>Delhi</v>
      </c>
      <c r="M293" t="str">
        <v>Dwarka</v>
      </c>
      <c r="N293" t="str">
        <v>Electronics</v>
      </c>
      <c r="O293">
        <v>18</v>
      </c>
      <c r="P293">
        <v>1601.74</v>
      </c>
      <c r="Q293">
        <v>28831.32</v>
      </c>
    </row>
    <row r="294" spans="1:17">
      <c r="A294" s="19">
        <v>45238</v>
      </c>
      <c r="B294" t="s">
        <v>1242</v>
      </c>
      <c r="C294" t="s">
        <v>1243</v>
      </c>
      <c r="D294" t="s">
        <v>1245</v>
      </c>
      <c r="E294" t="s">
        <v>120</v>
      </c>
      <c r="F294" s="10">
        <v>15</v>
      </c>
      <c r="G294" s="10">
        <v>1543.85</v>
      </c>
      <c r="H294" s="10">
        <v>23157.75</v>
      </c>
      <c r="J294">
        <v>45172</v>
      </c>
      <c r="K294" t="str">
        <v>North</v>
      </c>
      <c r="L294" t="str">
        <v>Delhi</v>
      </c>
      <c r="M294" t="str">
        <v>Dwarka</v>
      </c>
      <c r="N294" t="str">
        <v>Electronics</v>
      </c>
      <c r="O294">
        <v>5</v>
      </c>
      <c r="P294">
        <v>4165.41</v>
      </c>
      <c r="Q294">
        <v>20827.05</v>
      </c>
    </row>
    <row r="295" spans="1:17">
      <c r="A295" s="19">
        <v>45285</v>
      </c>
      <c r="B295" t="s">
        <v>1231</v>
      </c>
      <c r="C295" t="s">
        <v>1232</v>
      </c>
      <c r="D295" t="s">
        <v>1233</v>
      </c>
      <c r="E295" t="s">
        <v>120</v>
      </c>
      <c r="F295" s="10">
        <v>18</v>
      </c>
      <c r="G295" s="10">
        <v>1279.4100000000001</v>
      </c>
      <c r="H295" s="10">
        <v>23029.38</v>
      </c>
      <c r="J295">
        <v>45187</v>
      </c>
      <c r="K295" t="str">
        <v>North</v>
      </c>
      <c r="L295" t="str">
        <v>Delhi</v>
      </c>
      <c r="M295" t="str">
        <v>Dwarka</v>
      </c>
      <c r="N295" t="str">
        <v>Electronics</v>
      </c>
      <c r="O295">
        <v>12</v>
      </c>
      <c r="P295">
        <v>1673.01</v>
      </c>
      <c r="Q295">
        <v>20076.12</v>
      </c>
    </row>
    <row r="296" spans="1:17">
      <c r="A296" s="19">
        <v>44952</v>
      </c>
      <c r="B296" t="s">
        <v>1229</v>
      </c>
      <c r="C296" t="s">
        <v>1230</v>
      </c>
      <c r="D296" t="s">
        <v>1248</v>
      </c>
      <c r="E296" t="s">
        <v>120</v>
      </c>
      <c r="F296" s="10">
        <v>13</v>
      </c>
      <c r="G296" s="10">
        <v>1753.48</v>
      </c>
      <c r="H296" s="10">
        <v>22795.24</v>
      </c>
      <c r="J296">
        <v>44979</v>
      </c>
      <c r="K296" t="str">
        <v>North</v>
      </c>
      <c r="L296" t="str">
        <v>Delhi</v>
      </c>
      <c r="M296" t="str">
        <v>Dwarka</v>
      </c>
      <c r="N296" t="str">
        <v>Electronics</v>
      </c>
      <c r="O296">
        <v>3</v>
      </c>
      <c r="P296">
        <v>4020.68</v>
      </c>
      <c r="Q296">
        <v>12062.04</v>
      </c>
    </row>
    <row r="297" spans="1:17">
      <c r="A297" s="19">
        <v>45119</v>
      </c>
      <c r="B297" t="s">
        <v>1231</v>
      </c>
      <c r="C297" t="s">
        <v>1232</v>
      </c>
      <c r="D297" t="s">
        <v>1240</v>
      </c>
      <c r="E297" t="s">
        <v>120</v>
      </c>
      <c r="F297" s="10">
        <v>9</v>
      </c>
      <c r="G297" s="10">
        <v>2427.88</v>
      </c>
      <c r="H297" s="10">
        <v>21850.92</v>
      </c>
      <c r="J297">
        <v>45013</v>
      </c>
      <c r="K297" t="str">
        <v>North</v>
      </c>
      <c r="L297" t="str">
        <v>Delhi</v>
      </c>
      <c r="M297" t="str">
        <v>Dwarka</v>
      </c>
      <c r="N297" t="str">
        <v>Electronics</v>
      </c>
      <c r="O297">
        <v>11</v>
      </c>
      <c r="P297">
        <v>1069.3900000000001</v>
      </c>
      <c r="Q297">
        <v>11763.29</v>
      </c>
    </row>
    <row r="298" spans="1:17">
      <c r="A298" s="19">
        <v>45291</v>
      </c>
      <c r="B298" t="s">
        <v>1231</v>
      </c>
      <c r="C298" t="s">
        <v>1232</v>
      </c>
      <c r="D298" t="s">
        <v>1234</v>
      </c>
      <c r="E298" t="s">
        <v>120</v>
      </c>
      <c r="F298" s="10">
        <v>13</v>
      </c>
      <c r="G298" s="10">
        <v>1647.87</v>
      </c>
      <c r="H298" s="10">
        <v>21422.31</v>
      </c>
      <c r="J298">
        <v>44961</v>
      </c>
      <c r="K298" t="str">
        <v>North</v>
      </c>
      <c r="L298" t="str">
        <v>Delhi</v>
      </c>
      <c r="M298" t="str">
        <v>Dwarka</v>
      </c>
      <c r="N298" t="str">
        <v>Electronics</v>
      </c>
      <c r="O298">
        <v>5</v>
      </c>
      <c r="P298">
        <v>968.86</v>
      </c>
      <c r="Q298">
        <v>4844.3</v>
      </c>
    </row>
    <row r="299" spans="1:17">
      <c r="A299" s="19">
        <v>45116</v>
      </c>
      <c r="B299" t="s">
        <v>1229</v>
      </c>
      <c r="C299" t="s">
        <v>1237</v>
      </c>
      <c r="D299" t="s">
        <v>1173</v>
      </c>
      <c r="E299" t="s">
        <v>120</v>
      </c>
      <c r="F299" s="10">
        <v>18</v>
      </c>
      <c r="G299" s="10">
        <v>1177.8</v>
      </c>
      <c r="H299" s="10">
        <v>21200.400000000001</v>
      </c>
      <c r="J299">
        <v>44994</v>
      </c>
      <c r="K299" t="str">
        <v>North</v>
      </c>
      <c r="L299" t="str">
        <v>Delhi</v>
      </c>
      <c r="M299" t="str">
        <v>Dwarka</v>
      </c>
      <c r="N299" t="str">
        <v>Electronics</v>
      </c>
      <c r="O299">
        <v>4</v>
      </c>
      <c r="P299">
        <v>1181.3900000000001</v>
      </c>
      <c r="Q299">
        <v>4725.5600000000004</v>
      </c>
    </row>
    <row r="300" spans="1:17">
      <c r="A300" s="19">
        <v>45117</v>
      </c>
      <c r="B300" t="s">
        <v>1242</v>
      </c>
      <c r="C300" t="s">
        <v>1243</v>
      </c>
      <c r="D300" t="s">
        <v>1245</v>
      </c>
      <c r="E300" t="s">
        <v>120</v>
      </c>
      <c r="F300" s="10">
        <v>8</v>
      </c>
      <c r="G300" s="10">
        <v>2606.36</v>
      </c>
      <c r="H300" s="10">
        <v>20850.88</v>
      </c>
      <c r="J300">
        <v>44994</v>
      </c>
      <c r="K300" t="str">
        <v>North</v>
      </c>
      <c r="L300" t="str">
        <v>Delhi</v>
      </c>
      <c r="M300" t="str">
        <v>Dwarka</v>
      </c>
      <c r="N300" t="str">
        <v>Electronics</v>
      </c>
      <c r="O300">
        <v>5</v>
      </c>
      <c r="P300">
        <v>912.33</v>
      </c>
      <c r="Q300">
        <v>4561.6499999999996</v>
      </c>
    </row>
    <row r="301" spans="1:17">
      <c r="A301" s="19">
        <v>45172</v>
      </c>
      <c r="B301" t="s">
        <v>1242</v>
      </c>
      <c r="C301" t="s">
        <v>1243</v>
      </c>
      <c r="D301" t="s">
        <v>1244</v>
      </c>
      <c r="E301" t="s">
        <v>120</v>
      </c>
      <c r="F301" s="10">
        <v>5</v>
      </c>
      <c r="G301" s="10">
        <v>4165.41</v>
      </c>
      <c r="H301" s="10">
        <v>20827.05</v>
      </c>
      <c r="J301">
        <v>45267</v>
      </c>
      <c r="K301" t="str">
        <v>North</v>
      </c>
      <c r="L301" t="str">
        <v>Delhi</v>
      </c>
      <c r="M301" t="str">
        <v>Dwarka</v>
      </c>
      <c r="N301" t="str">
        <v>Furniture</v>
      </c>
      <c r="O301">
        <v>20</v>
      </c>
      <c r="P301">
        <v>4821.82</v>
      </c>
      <c r="Q301">
        <v>96436.4</v>
      </c>
    </row>
    <row r="302" spans="1:17">
      <c r="A302" s="19">
        <v>45202</v>
      </c>
      <c r="B302" t="s">
        <v>1231</v>
      </c>
      <c r="C302" t="s">
        <v>1235</v>
      </c>
      <c r="D302" t="s">
        <v>1236</v>
      </c>
      <c r="E302" t="s">
        <v>120</v>
      </c>
      <c r="F302" s="10">
        <v>17</v>
      </c>
      <c r="G302" s="10">
        <v>1194.33</v>
      </c>
      <c r="H302" s="10">
        <v>20303.61</v>
      </c>
      <c r="J302">
        <v>45091</v>
      </c>
      <c r="K302" t="str">
        <v>North</v>
      </c>
      <c r="L302" t="str">
        <v>Delhi</v>
      </c>
      <c r="M302" t="str">
        <v>Dwarka</v>
      </c>
      <c r="N302" t="str">
        <v>Furniture</v>
      </c>
      <c r="O302">
        <v>20</v>
      </c>
      <c r="P302">
        <v>3753.15</v>
      </c>
      <c r="Q302">
        <v>75063</v>
      </c>
    </row>
    <row r="303" spans="1:17">
      <c r="A303" s="19">
        <v>44959</v>
      </c>
      <c r="B303" t="s">
        <v>1229</v>
      </c>
      <c r="C303" t="s">
        <v>1230</v>
      </c>
      <c r="D303" t="s">
        <v>1169</v>
      </c>
      <c r="E303" t="s">
        <v>120</v>
      </c>
      <c r="F303" s="10">
        <v>6</v>
      </c>
      <c r="G303" s="10">
        <v>3350.51</v>
      </c>
      <c r="H303" s="10">
        <v>20103.060000000001</v>
      </c>
      <c r="J303">
        <v>45129</v>
      </c>
      <c r="K303" t="str">
        <v>North</v>
      </c>
      <c r="L303" t="str">
        <v>Delhi</v>
      </c>
      <c r="M303" t="str">
        <v>Dwarka</v>
      </c>
      <c r="N303" t="str">
        <v>Furniture</v>
      </c>
      <c r="O303">
        <v>19</v>
      </c>
      <c r="P303">
        <v>3694.62</v>
      </c>
      <c r="Q303">
        <v>70197.78</v>
      </c>
    </row>
    <row r="304" spans="1:17">
      <c r="A304" s="19">
        <v>45187</v>
      </c>
      <c r="B304" t="s">
        <v>1242</v>
      </c>
      <c r="C304" t="s">
        <v>1243</v>
      </c>
      <c r="D304" t="s">
        <v>1244</v>
      </c>
      <c r="E304" t="s">
        <v>120</v>
      </c>
      <c r="F304" s="10">
        <v>12</v>
      </c>
      <c r="G304" s="10">
        <v>1673.01</v>
      </c>
      <c r="H304" s="10">
        <v>20076.12</v>
      </c>
      <c r="J304">
        <v>45004</v>
      </c>
      <c r="K304" t="str">
        <v>North</v>
      </c>
      <c r="L304" t="str">
        <v>Delhi</v>
      </c>
      <c r="M304" t="str">
        <v>Dwarka</v>
      </c>
      <c r="N304" t="str">
        <v>Furniture</v>
      </c>
      <c r="O304">
        <v>15</v>
      </c>
      <c r="P304">
        <v>3256.2</v>
      </c>
      <c r="Q304">
        <v>48843</v>
      </c>
    </row>
    <row r="305" spans="1:17">
      <c r="A305" s="19">
        <v>45137</v>
      </c>
      <c r="B305" t="s">
        <v>1229</v>
      </c>
      <c r="C305" t="s">
        <v>1230</v>
      </c>
      <c r="D305" t="s">
        <v>1169</v>
      </c>
      <c r="E305" t="s">
        <v>120</v>
      </c>
      <c r="F305" s="10">
        <v>11</v>
      </c>
      <c r="G305" s="10">
        <v>1798.54</v>
      </c>
      <c r="H305" s="10">
        <v>19783.939999999999</v>
      </c>
      <c r="J305">
        <v>45224</v>
      </c>
      <c r="K305" t="str">
        <v>North</v>
      </c>
      <c r="L305" t="str">
        <v>Delhi</v>
      </c>
      <c r="M305" t="str">
        <v>Dwarka</v>
      </c>
      <c r="N305" t="str">
        <v>Furniture</v>
      </c>
      <c r="O305">
        <v>16</v>
      </c>
      <c r="P305">
        <v>2502.5700000000002</v>
      </c>
      <c r="Q305">
        <v>40041.120000000003</v>
      </c>
    </row>
    <row r="306" spans="1:17">
      <c r="A306" s="19">
        <v>45038</v>
      </c>
      <c r="B306" t="s">
        <v>1231</v>
      </c>
      <c r="C306" t="s">
        <v>1232</v>
      </c>
      <c r="D306" t="s">
        <v>1234</v>
      </c>
      <c r="E306" t="s">
        <v>120</v>
      </c>
      <c r="F306" s="10">
        <v>4</v>
      </c>
      <c r="G306" s="10">
        <v>4782.74</v>
      </c>
      <c r="H306" s="10">
        <v>19130.96</v>
      </c>
      <c r="J306">
        <v>45108</v>
      </c>
      <c r="K306" t="str">
        <v>North</v>
      </c>
      <c r="L306" t="str">
        <v>Delhi</v>
      </c>
      <c r="M306" t="str">
        <v>Dwarka</v>
      </c>
      <c r="N306" t="str">
        <v>Furniture</v>
      </c>
      <c r="O306">
        <v>14</v>
      </c>
      <c r="P306">
        <v>2429.23</v>
      </c>
      <c r="Q306">
        <v>34009.22</v>
      </c>
    </row>
    <row r="307" spans="1:17">
      <c r="A307" s="19">
        <v>45121</v>
      </c>
      <c r="B307" t="s">
        <v>1242</v>
      </c>
      <c r="C307" t="s">
        <v>1243</v>
      </c>
      <c r="D307" t="s">
        <v>1245</v>
      </c>
      <c r="E307" t="s">
        <v>120</v>
      </c>
      <c r="F307" s="10">
        <v>16</v>
      </c>
      <c r="G307" s="10">
        <v>1192.3800000000001</v>
      </c>
      <c r="H307" s="10">
        <v>19078.080000000002</v>
      </c>
      <c r="J307">
        <v>45107</v>
      </c>
      <c r="K307" t="str">
        <v>North</v>
      </c>
      <c r="L307" t="str">
        <v>Delhi</v>
      </c>
      <c r="M307" t="str">
        <v>Dwarka</v>
      </c>
      <c r="N307" t="str">
        <v>Furniture</v>
      </c>
      <c r="O307">
        <v>17</v>
      </c>
      <c r="P307">
        <v>1538.4</v>
      </c>
      <c r="Q307">
        <v>26152.799999999999</v>
      </c>
    </row>
    <row r="308" spans="1:17">
      <c r="A308" s="19">
        <v>45026</v>
      </c>
      <c r="B308" t="s">
        <v>1229</v>
      </c>
      <c r="C308" t="s">
        <v>1237</v>
      </c>
      <c r="D308" t="s">
        <v>1171</v>
      </c>
      <c r="E308" t="s">
        <v>120</v>
      </c>
      <c r="F308" s="10">
        <v>11</v>
      </c>
      <c r="G308" s="10">
        <v>1708.99</v>
      </c>
      <c r="H308" s="10">
        <v>18798.89</v>
      </c>
      <c r="J308">
        <v>45253</v>
      </c>
      <c r="K308" t="str">
        <v>North</v>
      </c>
      <c r="L308" t="str">
        <v>Delhi</v>
      </c>
      <c r="M308" t="str">
        <v>Dwarka</v>
      </c>
      <c r="N308" t="str">
        <v>Furniture</v>
      </c>
      <c r="O308">
        <v>5</v>
      </c>
      <c r="P308">
        <v>3900.9</v>
      </c>
      <c r="Q308">
        <v>19504.5</v>
      </c>
    </row>
    <row r="309" spans="1:17">
      <c r="A309" s="19">
        <v>44940</v>
      </c>
      <c r="B309" t="s">
        <v>1231</v>
      </c>
      <c r="C309" t="s">
        <v>1232</v>
      </c>
      <c r="D309" t="s">
        <v>1233</v>
      </c>
      <c r="E309" t="s">
        <v>120</v>
      </c>
      <c r="F309" s="10">
        <v>14</v>
      </c>
      <c r="G309" s="10">
        <v>1293.27</v>
      </c>
      <c r="H309" s="10">
        <v>18105.78</v>
      </c>
      <c r="J309">
        <v>45035</v>
      </c>
      <c r="K309" t="str">
        <v>North</v>
      </c>
      <c r="L309" t="str">
        <v>Delhi</v>
      </c>
      <c r="M309" t="str">
        <v>Dwarka</v>
      </c>
      <c r="N309" t="str">
        <v>Furniture</v>
      </c>
      <c r="O309">
        <v>10</v>
      </c>
      <c r="P309">
        <v>373.54</v>
      </c>
      <c r="Q309">
        <v>3735.4</v>
      </c>
    </row>
    <row r="310" spans="1:17">
      <c r="A310" s="19">
        <v>45245</v>
      </c>
      <c r="B310" t="s">
        <v>1229</v>
      </c>
      <c r="C310" t="s">
        <v>1230</v>
      </c>
      <c r="D310" t="s">
        <v>1169</v>
      </c>
      <c r="E310" t="s">
        <v>120</v>
      </c>
      <c r="F310" s="10">
        <v>5</v>
      </c>
      <c r="G310" s="10">
        <v>3619.58</v>
      </c>
      <c r="H310" s="10">
        <v>18097.900000000001</v>
      </c>
      <c r="J310">
        <v>45224</v>
      </c>
      <c r="K310" t="str">
        <v>North</v>
      </c>
      <c r="L310" t="str">
        <v>Delhi</v>
      </c>
      <c r="M310" t="str">
        <v>Dwarka</v>
      </c>
      <c r="N310" t="str">
        <v>Furniture</v>
      </c>
      <c r="O310">
        <v>4</v>
      </c>
      <c r="P310">
        <v>700.07</v>
      </c>
      <c r="Q310">
        <v>2800.28</v>
      </c>
    </row>
    <row r="311" spans="1:17">
      <c r="A311" s="19">
        <v>45283</v>
      </c>
      <c r="B311" t="s">
        <v>1229</v>
      </c>
      <c r="C311" t="s">
        <v>1230</v>
      </c>
      <c r="D311" t="s">
        <v>1248</v>
      </c>
      <c r="E311" t="s">
        <v>120</v>
      </c>
      <c r="F311" s="10">
        <v>14</v>
      </c>
      <c r="G311" s="10">
        <v>1215.6199999999999</v>
      </c>
      <c r="H311" s="10">
        <v>17018.68</v>
      </c>
      <c r="J311">
        <v>45211</v>
      </c>
      <c r="K311" t="str">
        <v>North</v>
      </c>
      <c r="L311" t="str">
        <v>Delhi</v>
      </c>
      <c r="M311" t="str">
        <v>Dwarka</v>
      </c>
      <c r="N311" t="str">
        <v>Furniture</v>
      </c>
      <c r="O311">
        <v>14</v>
      </c>
      <c r="P311">
        <v>188.94</v>
      </c>
      <c r="Q311">
        <v>2645.16</v>
      </c>
    </row>
    <row r="312" spans="1:17">
      <c r="A312" s="19">
        <v>45229</v>
      </c>
      <c r="B312" t="s">
        <v>1229</v>
      </c>
      <c r="C312" t="s">
        <v>1237</v>
      </c>
      <c r="D312" t="s">
        <v>1171</v>
      </c>
      <c r="E312" t="s">
        <v>120</v>
      </c>
      <c r="F312" s="10">
        <v>15</v>
      </c>
      <c r="G312" s="10">
        <v>1113.76</v>
      </c>
      <c r="H312" s="10">
        <v>16706.400000000001</v>
      </c>
      <c r="J312">
        <v>44969</v>
      </c>
      <c r="K312" t="str">
        <v>North</v>
      </c>
      <c r="L312" t="str">
        <v>Delhi</v>
      </c>
      <c r="M312" t="str">
        <v>Dwarka</v>
      </c>
      <c r="N312" t="str">
        <v>Furniture</v>
      </c>
      <c r="O312">
        <v>1</v>
      </c>
      <c r="P312">
        <v>2489.17</v>
      </c>
      <c r="Q312">
        <v>2489.17</v>
      </c>
    </row>
    <row r="313" spans="1:17">
      <c r="A313" s="19">
        <v>44945</v>
      </c>
      <c r="B313" t="s">
        <v>1242</v>
      </c>
      <c r="C313" t="s">
        <v>1243</v>
      </c>
      <c r="D313" t="s">
        <v>1245</v>
      </c>
      <c r="E313" t="s">
        <v>120</v>
      </c>
      <c r="F313" s="10">
        <v>8</v>
      </c>
      <c r="G313" s="10">
        <v>2019.04</v>
      </c>
      <c r="H313" s="10">
        <v>16152.32</v>
      </c>
      <c r="J313">
        <v>45141</v>
      </c>
      <c r="K313" t="str">
        <v>North</v>
      </c>
      <c r="L313" t="str">
        <v>Delhi</v>
      </c>
      <c r="M313" t="str">
        <v>Dwarka</v>
      </c>
      <c r="N313" t="str">
        <v>Groceries</v>
      </c>
      <c r="O313">
        <v>16</v>
      </c>
      <c r="P313">
        <v>3836.1</v>
      </c>
      <c r="Q313">
        <v>61377.599999999999</v>
      </c>
    </row>
    <row r="314" spans="1:17">
      <c r="A314" s="19">
        <v>45134</v>
      </c>
      <c r="B314" t="s">
        <v>1229</v>
      </c>
      <c r="C314" t="s">
        <v>1237</v>
      </c>
      <c r="D314" t="s">
        <v>1239</v>
      </c>
      <c r="E314" t="s">
        <v>120</v>
      </c>
      <c r="F314" s="10">
        <v>12</v>
      </c>
      <c r="G314" s="10">
        <v>1333.81</v>
      </c>
      <c r="H314" s="10">
        <v>16005.72</v>
      </c>
      <c r="J314">
        <v>45012</v>
      </c>
      <c r="K314" t="str">
        <v>North</v>
      </c>
      <c r="L314" t="str">
        <v>Delhi</v>
      </c>
      <c r="M314" t="str">
        <v>Dwarka</v>
      </c>
      <c r="N314" t="str">
        <v>Groceries</v>
      </c>
      <c r="O314">
        <v>16</v>
      </c>
      <c r="P314">
        <v>3788.36</v>
      </c>
      <c r="Q314">
        <v>60613.760000000002</v>
      </c>
    </row>
    <row r="315" spans="1:17">
      <c r="A315" s="19">
        <v>45140</v>
      </c>
      <c r="B315" t="s">
        <v>1231</v>
      </c>
      <c r="C315" t="s">
        <v>1232</v>
      </c>
      <c r="D315" t="s">
        <v>1240</v>
      </c>
      <c r="E315" t="s">
        <v>120</v>
      </c>
      <c r="F315" s="10">
        <v>13</v>
      </c>
      <c r="G315" s="10">
        <v>1220.76</v>
      </c>
      <c r="H315" s="10">
        <v>15869.88</v>
      </c>
      <c r="J315">
        <v>45186</v>
      </c>
      <c r="K315" t="str">
        <v>North</v>
      </c>
      <c r="L315" t="str">
        <v>Delhi</v>
      </c>
      <c r="M315" t="str">
        <v>Dwarka</v>
      </c>
      <c r="N315" t="str">
        <v>Groceries</v>
      </c>
      <c r="O315">
        <v>12</v>
      </c>
      <c r="P315">
        <v>4378.41</v>
      </c>
      <c r="Q315">
        <v>52540.92</v>
      </c>
    </row>
    <row r="316" spans="1:17">
      <c r="A316" s="19">
        <v>44986</v>
      </c>
      <c r="B316" t="s">
        <v>1229</v>
      </c>
      <c r="C316" t="s">
        <v>1230</v>
      </c>
      <c r="D316" t="s">
        <v>1246</v>
      </c>
      <c r="E316" t="s">
        <v>120</v>
      </c>
      <c r="F316" s="10">
        <v>6</v>
      </c>
      <c r="G316" s="10">
        <v>2609.65</v>
      </c>
      <c r="H316" s="10">
        <v>15657.9</v>
      </c>
      <c r="J316">
        <v>45058</v>
      </c>
      <c r="K316" t="str">
        <v>North</v>
      </c>
      <c r="L316" t="str">
        <v>Delhi</v>
      </c>
      <c r="M316" t="str">
        <v>Dwarka</v>
      </c>
      <c r="N316" t="str">
        <v>Groceries</v>
      </c>
      <c r="O316">
        <v>16</v>
      </c>
      <c r="P316">
        <v>2991.84</v>
      </c>
      <c r="Q316">
        <v>47869.440000000002</v>
      </c>
    </row>
    <row r="317" spans="1:17">
      <c r="A317" s="19">
        <v>45144</v>
      </c>
      <c r="B317" t="s">
        <v>1242</v>
      </c>
      <c r="C317" t="s">
        <v>1243</v>
      </c>
      <c r="D317" t="s">
        <v>1247</v>
      </c>
      <c r="E317" t="s">
        <v>120</v>
      </c>
      <c r="F317" s="10">
        <v>12</v>
      </c>
      <c r="G317" s="10">
        <v>1304.81</v>
      </c>
      <c r="H317" s="10">
        <v>15657.72</v>
      </c>
      <c r="J317">
        <v>45026</v>
      </c>
      <c r="K317" t="str">
        <v>North</v>
      </c>
      <c r="L317" t="str">
        <v>Delhi</v>
      </c>
      <c r="M317" t="str">
        <v>Dwarka</v>
      </c>
      <c r="N317" t="str">
        <v>Groceries</v>
      </c>
      <c r="O317">
        <v>7</v>
      </c>
      <c r="P317">
        <v>4541.83</v>
      </c>
      <c r="Q317">
        <v>31792.81</v>
      </c>
    </row>
    <row r="318" spans="1:17">
      <c r="A318" s="19">
        <v>45174</v>
      </c>
      <c r="B318" t="s">
        <v>1231</v>
      </c>
      <c r="C318" t="s">
        <v>1232</v>
      </c>
      <c r="D318" t="s">
        <v>1234</v>
      </c>
      <c r="E318" t="s">
        <v>120</v>
      </c>
      <c r="F318" s="10">
        <v>20</v>
      </c>
      <c r="G318" s="10">
        <v>774.07</v>
      </c>
      <c r="H318" s="10">
        <v>15481.4</v>
      </c>
      <c r="J318">
        <v>45024</v>
      </c>
      <c r="K318" t="str">
        <v>North</v>
      </c>
      <c r="L318" t="str">
        <v>Delhi</v>
      </c>
      <c r="M318" t="str">
        <v>Dwarka</v>
      </c>
      <c r="N318" t="str">
        <v>Groceries</v>
      </c>
      <c r="O318">
        <v>6</v>
      </c>
      <c r="P318">
        <v>4939.09</v>
      </c>
      <c r="Q318">
        <v>29634.54</v>
      </c>
    </row>
    <row r="319" spans="1:17">
      <c r="A319" s="19">
        <v>45107</v>
      </c>
      <c r="B319" t="s">
        <v>1229</v>
      </c>
      <c r="C319" t="s">
        <v>1230</v>
      </c>
      <c r="D319" t="s">
        <v>1248</v>
      </c>
      <c r="E319" t="s">
        <v>120</v>
      </c>
      <c r="F319" s="10">
        <v>8</v>
      </c>
      <c r="G319" s="10">
        <v>1916.14</v>
      </c>
      <c r="H319" s="10">
        <v>15329.12</v>
      </c>
      <c r="J319">
        <v>45203</v>
      </c>
      <c r="K319" t="str">
        <v>North</v>
      </c>
      <c r="L319" t="str">
        <v>Delhi</v>
      </c>
      <c r="M319" t="str">
        <v>Dwarka</v>
      </c>
      <c r="N319" t="str">
        <v>Groceries</v>
      </c>
      <c r="O319">
        <v>7</v>
      </c>
      <c r="P319">
        <v>2227.0700000000002</v>
      </c>
      <c r="Q319">
        <v>15589.49</v>
      </c>
    </row>
    <row r="320" spans="1:17">
      <c r="A320" s="19">
        <v>45177</v>
      </c>
      <c r="B320" t="s">
        <v>1229</v>
      </c>
      <c r="C320" t="s">
        <v>1237</v>
      </c>
      <c r="D320" t="s">
        <v>1171</v>
      </c>
      <c r="E320" t="s">
        <v>120</v>
      </c>
      <c r="F320" s="10">
        <v>4</v>
      </c>
      <c r="G320" s="10">
        <v>3725.78</v>
      </c>
      <c r="H320" s="10">
        <v>14903.12</v>
      </c>
      <c r="J320">
        <v>45089</v>
      </c>
      <c r="K320" t="str">
        <v>North</v>
      </c>
      <c r="L320" t="str">
        <v>Delhi</v>
      </c>
      <c r="M320" t="str">
        <v>Dwarka</v>
      </c>
      <c r="N320" t="str">
        <v>Groceries</v>
      </c>
      <c r="O320">
        <v>3</v>
      </c>
      <c r="P320">
        <v>4171.91</v>
      </c>
      <c r="Q320">
        <v>12515.73</v>
      </c>
    </row>
    <row r="321" spans="1:17">
      <c r="A321" s="19">
        <v>45097</v>
      </c>
      <c r="B321" t="s">
        <v>1229</v>
      </c>
      <c r="C321" t="s">
        <v>1230</v>
      </c>
      <c r="D321" t="s">
        <v>1248</v>
      </c>
      <c r="E321" t="s">
        <v>120</v>
      </c>
      <c r="F321" s="10">
        <v>4</v>
      </c>
      <c r="G321" s="10">
        <v>3561.12</v>
      </c>
      <c r="H321" s="10">
        <v>14244.48</v>
      </c>
      <c r="J321">
        <v>45018</v>
      </c>
      <c r="K321" t="str">
        <v>North</v>
      </c>
      <c r="L321" t="str">
        <v>Delhi</v>
      </c>
      <c r="M321" t="str">
        <v>Dwarka</v>
      </c>
      <c r="N321" t="str">
        <v>Groceries</v>
      </c>
      <c r="O321">
        <v>20</v>
      </c>
      <c r="P321">
        <v>605.86</v>
      </c>
      <c r="Q321">
        <v>12117.2</v>
      </c>
    </row>
    <row r="322" spans="1:17">
      <c r="A322" s="19">
        <v>45015</v>
      </c>
      <c r="B322" t="s">
        <v>1242</v>
      </c>
      <c r="C322" t="s">
        <v>1243</v>
      </c>
      <c r="D322" t="s">
        <v>1245</v>
      </c>
      <c r="E322" t="s">
        <v>120</v>
      </c>
      <c r="F322" s="10">
        <v>3</v>
      </c>
      <c r="G322" s="10">
        <v>4608.8900000000003</v>
      </c>
      <c r="H322" s="10">
        <v>13826.67</v>
      </c>
      <c r="J322">
        <v>44966</v>
      </c>
      <c r="K322" t="str">
        <v>North</v>
      </c>
      <c r="L322" t="str">
        <v>Delhi</v>
      </c>
      <c r="M322" t="str">
        <v>Dwarka</v>
      </c>
      <c r="N322" t="str">
        <v>Groceries</v>
      </c>
      <c r="O322">
        <v>18</v>
      </c>
      <c r="P322">
        <v>497.68</v>
      </c>
      <c r="Q322">
        <v>8958.24</v>
      </c>
    </row>
    <row r="323" spans="1:17">
      <c r="A323" s="19">
        <v>45044</v>
      </c>
      <c r="B323" t="s">
        <v>1231</v>
      </c>
      <c r="C323" t="s">
        <v>1235</v>
      </c>
      <c r="D323" t="s">
        <v>1238</v>
      </c>
      <c r="E323" t="s">
        <v>120</v>
      </c>
      <c r="F323" s="10">
        <v>12</v>
      </c>
      <c r="G323" s="10">
        <v>1104.74</v>
      </c>
      <c r="H323" s="10">
        <v>13256.88</v>
      </c>
      <c r="J323">
        <v>45128</v>
      </c>
      <c r="K323" t="str">
        <v>North</v>
      </c>
      <c r="L323" t="str">
        <v>Delhi</v>
      </c>
      <c r="M323" t="str">
        <v>Dwarka</v>
      </c>
      <c r="N323" t="str">
        <v>Groceries</v>
      </c>
      <c r="O323">
        <v>6</v>
      </c>
      <c r="P323">
        <v>1366.98</v>
      </c>
      <c r="Q323">
        <v>8201.8799999999992</v>
      </c>
    </row>
    <row r="324" spans="1:17">
      <c r="A324" s="19">
        <v>45173</v>
      </c>
      <c r="B324" t="s">
        <v>1231</v>
      </c>
      <c r="C324" t="s">
        <v>1235</v>
      </c>
      <c r="D324" t="s">
        <v>1236</v>
      </c>
      <c r="E324" t="s">
        <v>120</v>
      </c>
      <c r="F324" s="10">
        <v>11</v>
      </c>
      <c r="G324" s="10">
        <v>1169.3</v>
      </c>
      <c r="H324" s="10">
        <v>12862.3</v>
      </c>
      <c r="J324">
        <v>45019</v>
      </c>
      <c r="K324" t="str">
        <v>North</v>
      </c>
      <c r="L324" t="str">
        <v>Delhi</v>
      </c>
      <c r="M324" t="str">
        <v>Dwarka</v>
      </c>
      <c r="N324" t="str">
        <v>Groceries</v>
      </c>
      <c r="O324">
        <v>8</v>
      </c>
      <c r="P324">
        <v>315</v>
      </c>
      <c r="Q324">
        <v>2520</v>
      </c>
    </row>
    <row r="325" spans="1:17">
      <c r="A325" s="19">
        <v>45162</v>
      </c>
      <c r="B325" t="s">
        <v>1229</v>
      </c>
      <c r="C325" t="s">
        <v>1230</v>
      </c>
      <c r="D325" t="s">
        <v>1248</v>
      </c>
      <c r="E325" t="s">
        <v>120</v>
      </c>
      <c r="F325" s="10">
        <v>16</v>
      </c>
      <c r="G325" s="10">
        <v>796.69</v>
      </c>
      <c r="H325" s="10">
        <v>12747.04</v>
      </c>
      <c r="J325">
        <v>45044</v>
      </c>
      <c r="K325" t="str">
        <v>North</v>
      </c>
      <c r="L325" t="str">
        <v>Delhi</v>
      </c>
      <c r="M325" t="str">
        <v>Dwarka</v>
      </c>
      <c r="N325" t="str">
        <v>Groceries</v>
      </c>
      <c r="O325">
        <v>5</v>
      </c>
      <c r="P325">
        <v>438.69</v>
      </c>
      <c r="Q325">
        <v>2193.4499999999998</v>
      </c>
    </row>
    <row r="326" spans="1:17">
      <c r="A326" s="19">
        <v>44932</v>
      </c>
      <c r="B326" t="s">
        <v>1231</v>
      </c>
      <c r="C326" t="s">
        <v>1235</v>
      </c>
      <c r="D326" t="s">
        <v>1238</v>
      </c>
      <c r="E326" t="s">
        <v>120</v>
      </c>
      <c r="F326" s="10">
        <v>12</v>
      </c>
      <c r="G326" s="10">
        <v>1061.49</v>
      </c>
      <c r="H326" s="10">
        <v>12737.88</v>
      </c>
      <c r="J326">
        <v>45269</v>
      </c>
      <c r="K326" t="str">
        <v>North</v>
      </c>
      <c r="L326" t="str">
        <v>Delhi</v>
      </c>
      <c r="M326" t="str">
        <v>Dwarka</v>
      </c>
      <c r="N326" t="str">
        <v>Stationery</v>
      </c>
      <c r="O326">
        <v>12</v>
      </c>
      <c r="P326">
        <v>2726.43</v>
      </c>
      <c r="Q326">
        <v>32717.16</v>
      </c>
    </row>
    <row r="327" spans="1:17">
      <c r="A327" s="19">
        <v>44995</v>
      </c>
      <c r="B327" t="s">
        <v>1242</v>
      </c>
      <c r="C327" t="s">
        <v>1243</v>
      </c>
      <c r="D327" t="s">
        <v>1245</v>
      </c>
      <c r="E327" t="s">
        <v>120</v>
      </c>
      <c r="F327" s="10">
        <v>3</v>
      </c>
      <c r="G327" s="10">
        <v>4229.84</v>
      </c>
      <c r="H327" s="10">
        <v>12689.52</v>
      </c>
      <c r="J327">
        <v>44932</v>
      </c>
      <c r="K327" t="str">
        <v>North</v>
      </c>
      <c r="L327" t="str">
        <v>Delhi</v>
      </c>
      <c r="M327" t="str">
        <v>Dwarka</v>
      </c>
      <c r="N327" t="str">
        <v>Stationery</v>
      </c>
      <c r="O327">
        <v>6</v>
      </c>
      <c r="P327">
        <v>4673.01</v>
      </c>
      <c r="Q327">
        <v>28038.06</v>
      </c>
    </row>
    <row r="328" spans="1:17">
      <c r="A328" s="19">
        <v>45026</v>
      </c>
      <c r="B328" t="s">
        <v>1242</v>
      </c>
      <c r="C328" t="s">
        <v>1243</v>
      </c>
      <c r="D328" t="s">
        <v>1245</v>
      </c>
      <c r="E328" t="s">
        <v>120</v>
      </c>
      <c r="F328" s="10">
        <v>3</v>
      </c>
      <c r="G328" s="10">
        <v>4201.09</v>
      </c>
      <c r="H328" s="10">
        <v>12603.27</v>
      </c>
      <c r="J328">
        <v>45172</v>
      </c>
      <c r="K328" t="str">
        <v>North</v>
      </c>
      <c r="L328" t="str">
        <v>Delhi</v>
      </c>
      <c r="M328" t="str">
        <v>Dwarka</v>
      </c>
      <c r="N328" t="str">
        <v>Stationery</v>
      </c>
      <c r="O328">
        <v>11</v>
      </c>
      <c r="P328">
        <v>1418.67</v>
      </c>
      <c r="Q328">
        <v>15605.37</v>
      </c>
    </row>
    <row r="329" spans="1:17">
      <c r="A329" s="19">
        <v>45055</v>
      </c>
      <c r="B329" t="s">
        <v>1231</v>
      </c>
      <c r="C329" t="s">
        <v>1235</v>
      </c>
      <c r="D329" t="s">
        <v>1238</v>
      </c>
      <c r="E329" t="s">
        <v>120</v>
      </c>
      <c r="F329" s="10">
        <v>18</v>
      </c>
      <c r="G329" s="10">
        <v>696.83</v>
      </c>
      <c r="H329" s="10">
        <v>12542.94</v>
      </c>
      <c r="J329">
        <v>45124</v>
      </c>
      <c r="K329" t="str">
        <v>North</v>
      </c>
      <c r="L329" t="str">
        <v>Delhi</v>
      </c>
      <c r="M329" t="str">
        <v>Dwarka</v>
      </c>
      <c r="N329" t="str">
        <v>Stationery</v>
      </c>
      <c r="O329">
        <v>4</v>
      </c>
      <c r="P329">
        <v>2978.87</v>
      </c>
      <c r="Q329">
        <v>11915.48</v>
      </c>
    </row>
    <row r="330" spans="1:17">
      <c r="A330" s="19">
        <v>44986</v>
      </c>
      <c r="B330" t="s">
        <v>1231</v>
      </c>
      <c r="C330" t="s">
        <v>1232</v>
      </c>
      <c r="D330" t="s">
        <v>1233</v>
      </c>
      <c r="E330" t="s">
        <v>120</v>
      </c>
      <c r="F330" s="10">
        <v>3</v>
      </c>
      <c r="G330" s="10">
        <v>4132.17</v>
      </c>
      <c r="H330" s="10">
        <v>12396.51</v>
      </c>
      <c r="J330">
        <v>45201</v>
      </c>
      <c r="K330" t="str">
        <v>North</v>
      </c>
      <c r="L330" t="str">
        <v>Delhi</v>
      </c>
      <c r="M330" t="str">
        <v>Dwarka</v>
      </c>
      <c r="N330" t="str">
        <v>Stationery</v>
      </c>
      <c r="O330">
        <v>11</v>
      </c>
      <c r="P330">
        <v>124.03</v>
      </c>
      <c r="Q330">
        <v>1364.33</v>
      </c>
    </row>
    <row r="331" spans="1:17">
      <c r="A331" s="19">
        <v>45000</v>
      </c>
      <c r="B331" t="s">
        <v>1229</v>
      </c>
      <c r="C331" t="s">
        <v>1230</v>
      </c>
      <c r="D331" t="s">
        <v>1248</v>
      </c>
      <c r="E331" t="s">
        <v>120</v>
      </c>
      <c r="F331" s="10">
        <v>3</v>
      </c>
      <c r="G331" s="10">
        <v>4083.59</v>
      </c>
      <c r="H331" s="10">
        <v>12250.77</v>
      </c>
      <c r="J331">
        <v>45219</v>
      </c>
      <c r="K331" t="str">
        <v>North</v>
      </c>
      <c r="L331" t="str">
        <v>Delhi</v>
      </c>
      <c r="M331" t="str">
        <v>Dwarka</v>
      </c>
      <c r="N331" t="str">
        <v>Stationery</v>
      </c>
      <c r="O331">
        <v>5</v>
      </c>
      <c r="P331">
        <v>214.25</v>
      </c>
      <c r="Q331">
        <v>1071.25</v>
      </c>
    </row>
    <row r="332" spans="1:17">
      <c r="A332" s="19">
        <v>45199</v>
      </c>
      <c r="B332" t="s">
        <v>1231</v>
      </c>
      <c r="C332" t="s">
        <v>1235</v>
      </c>
      <c r="D332" t="s">
        <v>1238</v>
      </c>
      <c r="E332" t="s">
        <v>120</v>
      </c>
      <c r="F332" s="10">
        <v>18</v>
      </c>
      <c r="G332" s="10">
        <v>678.76</v>
      </c>
      <c r="H332" s="10">
        <v>12217.68</v>
      </c>
      <c r="J332">
        <v>45155</v>
      </c>
      <c r="K332" t="str">
        <v>South</v>
      </c>
      <c r="L332" t="str">
        <v>Karnataka</v>
      </c>
      <c r="M332" t="str">
        <v>Hubli</v>
      </c>
      <c r="N332" t="str">
        <v>Clothing</v>
      </c>
      <c r="O332">
        <v>17</v>
      </c>
      <c r="P332">
        <v>4517.78</v>
      </c>
      <c r="Q332">
        <v>76802.259999999995</v>
      </c>
    </row>
    <row r="333" spans="1:17">
      <c r="A333" s="19">
        <v>45239</v>
      </c>
      <c r="B333" t="s">
        <v>1229</v>
      </c>
      <c r="C333" t="s">
        <v>1230</v>
      </c>
      <c r="D333" t="s">
        <v>1246</v>
      </c>
      <c r="E333" t="s">
        <v>120</v>
      </c>
      <c r="F333" s="10">
        <v>7</v>
      </c>
      <c r="G333" s="10">
        <v>1729.24</v>
      </c>
      <c r="H333" s="10">
        <v>12104.68</v>
      </c>
      <c r="J333">
        <v>45253</v>
      </c>
      <c r="K333" t="str">
        <v>South</v>
      </c>
      <c r="L333" t="str">
        <v>Karnataka</v>
      </c>
      <c r="M333" t="str">
        <v>Hubli</v>
      </c>
      <c r="N333" t="str">
        <v>Clothing</v>
      </c>
      <c r="O333">
        <v>16</v>
      </c>
      <c r="P333">
        <v>2600.48</v>
      </c>
      <c r="Q333">
        <v>41607.68</v>
      </c>
    </row>
    <row r="334" spans="1:17">
      <c r="A334" s="19">
        <v>45116</v>
      </c>
      <c r="B334" t="s">
        <v>1231</v>
      </c>
      <c r="C334" t="s">
        <v>1232</v>
      </c>
      <c r="D334" t="s">
        <v>1233</v>
      </c>
      <c r="E334" t="s">
        <v>120</v>
      </c>
      <c r="F334" s="10">
        <v>4</v>
      </c>
      <c r="G334" s="10">
        <v>3022.72</v>
      </c>
      <c r="H334" s="10">
        <v>12090.88</v>
      </c>
      <c r="J334">
        <v>45042</v>
      </c>
      <c r="K334" t="str">
        <v>South</v>
      </c>
      <c r="L334" t="str">
        <v>Karnataka</v>
      </c>
      <c r="M334" t="str">
        <v>Hubli</v>
      </c>
      <c r="N334" t="str">
        <v>Clothing</v>
      </c>
      <c r="O334">
        <v>18</v>
      </c>
      <c r="P334">
        <v>1576.88</v>
      </c>
      <c r="Q334">
        <v>28383.84</v>
      </c>
    </row>
    <row r="335" spans="1:17">
      <c r="A335" s="19">
        <v>44979</v>
      </c>
      <c r="B335" t="s">
        <v>1242</v>
      </c>
      <c r="C335" t="s">
        <v>1243</v>
      </c>
      <c r="D335" t="s">
        <v>1244</v>
      </c>
      <c r="E335" t="s">
        <v>120</v>
      </c>
      <c r="F335" s="10">
        <v>3</v>
      </c>
      <c r="G335" s="10">
        <v>4020.68</v>
      </c>
      <c r="H335" s="10">
        <v>12062.04</v>
      </c>
      <c r="J335">
        <v>45047</v>
      </c>
      <c r="K335" t="str">
        <v>South</v>
      </c>
      <c r="L335" t="str">
        <v>Karnataka</v>
      </c>
      <c r="M335" t="str">
        <v>Hubli</v>
      </c>
      <c r="N335" t="str">
        <v>Clothing</v>
      </c>
      <c r="O335">
        <v>15</v>
      </c>
      <c r="P335">
        <v>1712.05</v>
      </c>
      <c r="Q335">
        <v>25680.75</v>
      </c>
    </row>
    <row r="336" spans="1:17">
      <c r="A336" s="19">
        <v>45013</v>
      </c>
      <c r="B336" t="s">
        <v>1242</v>
      </c>
      <c r="C336" t="s">
        <v>1243</v>
      </c>
      <c r="D336" t="s">
        <v>1244</v>
      </c>
      <c r="E336" t="s">
        <v>120</v>
      </c>
      <c r="F336" s="10">
        <v>11</v>
      </c>
      <c r="G336" s="10">
        <v>1069.3900000000001</v>
      </c>
      <c r="H336" s="10">
        <v>11763.29</v>
      </c>
      <c r="J336">
        <v>45289</v>
      </c>
      <c r="K336" t="str">
        <v>South</v>
      </c>
      <c r="L336" t="str">
        <v>Karnataka</v>
      </c>
      <c r="M336" t="str">
        <v>Hubli</v>
      </c>
      <c r="N336" t="str">
        <v>Clothing</v>
      </c>
      <c r="O336">
        <v>13</v>
      </c>
      <c r="P336">
        <v>1929.55</v>
      </c>
      <c r="Q336">
        <v>25084.15</v>
      </c>
    </row>
    <row r="337" spans="1:17">
      <c r="A337" s="19">
        <v>45191</v>
      </c>
      <c r="B337" t="s">
        <v>1242</v>
      </c>
      <c r="C337" t="s">
        <v>1243</v>
      </c>
      <c r="D337" t="s">
        <v>1247</v>
      </c>
      <c r="E337" t="s">
        <v>120</v>
      </c>
      <c r="F337" s="10">
        <v>11</v>
      </c>
      <c r="G337" s="10">
        <v>1065.6400000000001</v>
      </c>
      <c r="H337" s="10">
        <v>11722.04</v>
      </c>
      <c r="J337">
        <v>45208</v>
      </c>
      <c r="K337" t="str">
        <v>South</v>
      </c>
      <c r="L337" t="str">
        <v>Karnataka</v>
      </c>
      <c r="M337" t="str">
        <v>Hubli</v>
      </c>
      <c r="N337" t="str">
        <v>Clothing</v>
      </c>
      <c r="O337">
        <v>9</v>
      </c>
      <c r="P337">
        <v>2770.27</v>
      </c>
      <c r="Q337">
        <v>24932.43</v>
      </c>
    </row>
    <row r="338" spans="1:17">
      <c r="A338" s="19">
        <v>45054</v>
      </c>
      <c r="B338" t="s">
        <v>1229</v>
      </c>
      <c r="C338" t="s">
        <v>1230</v>
      </c>
      <c r="D338" t="s">
        <v>1248</v>
      </c>
      <c r="E338" t="s">
        <v>120</v>
      </c>
      <c r="F338" s="10">
        <v>3</v>
      </c>
      <c r="G338" s="10">
        <v>3861.09</v>
      </c>
      <c r="H338" s="10">
        <v>11583.27</v>
      </c>
      <c r="J338">
        <v>44941</v>
      </c>
      <c r="K338" t="str">
        <v>South</v>
      </c>
      <c r="L338" t="str">
        <v>Karnataka</v>
      </c>
      <c r="M338" t="str">
        <v>Hubli</v>
      </c>
      <c r="N338" t="str">
        <v>Clothing</v>
      </c>
      <c r="O338">
        <v>7</v>
      </c>
      <c r="P338">
        <v>3070.09</v>
      </c>
      <c r="Q338">
        <v>21490.63</v>
      </c>
    </row>
    <row r="339" spans="1:17">
      <c r="A339" s="19">
        <v>45134</v>
      </c>
      <c r="B339" t="s">
        <v>1229</v>
      </c>
      <c r="C339" t="s">
        <v>1237</v>
      </c>
      <c r="D339" t="s">
        <v>1239</v>
      </c>
      <c r="E339" t="s">
        <v>120</v>
      </c>
      <c r="F339" s="10">
        <v>9</v>
      </c>
      <c r="G339" s="10">
        <v>1280.74</v>
      </c>
      <c r="H339" s="10">
        <v>11526.66</v>
      </c>
      <c r="J339">
        <v>45274</v>
      </c>
      <c r="K339" t="str">
        <v>South</v>
      </c>
      <c r="L339" t="str">
        <v>Karnataka</v>
      </c>
      <c r="M339" t="str">
        <v>Hubli</v>
      </c>
      <c r="N339" t="str">
        <v>Clothing</v>
      </c>
      <c r="O339">
        <v>8</v>
      </c>
      <c r="P339">
        <v>1794.45</v>
      </c>
      <c r="Q339">
        <v>14355.6</v>
      </c>
    </row>
    <row r="340" spans="1:17">
      <c r="A340" s="19">
        <v>45028</v>
      </c>
      <c r="B340" t="s">
        <v>1229</v>
      </c>
      <c r="C340" t="s">
        <v>1237</v>
      </c>
      <c r="D340" t="s">
        <v>1239</v>
      </c>
      <c r="E340" t="s">
        <v>120</v>
      </c>
      <c r="F340" s="10">
        <v>7</v>
      </c>
      <c r="G340" s="10">
        <v>1576.4</v>
      </c>
      <c r="H340" s="10">
        <v>11034.8</v>
      </c>
      <c r="J340">
        <v>45262</v>
      </c>
      <c r="K340" t="str">
        <v>South</v>
      </c>
      <c r="L340" t="str">
        <v>Karnataka</v>
      </c>
      <c r="M340" t="str">
        <v>Hubli</v>
      </c>
      <c r="N340" t="str">
        <v>Clothing</v>
      </c>
      <c r="O340">
        <v>3</v>
      </c>
      <c r="P340">
        <v>3445.08</v>
      </c>
      <c r="Q340">
        <v>10335.24</v>
      </c>
    </row>
    <row r="341" spans="1:17">
      <c r="A341" s="19">
        <v>44951</v>
      </c>
      <c r="B341" t="s">
        <v>1231</v>
      </c>
      <c r="C341" t="s">
        <v>1235</v>
      </c>
      <c r="D341" t="s">
        <v>1238</v>
      </c>
      <c r="E341" t="s">
        <v>120</v>
      </c>
      <c r="F341" s="10">
        <v>4</v>
      </c>
      <c r="G341" s="10">
        <v>2625.31</v>
      </c>
      <c r="H341" s="10">
        <v>10501.24</v>
      </c>
      <c r="J341">
        <v>45067</v>
      </c>
      <c r="K341" t="str">
        <v>South</v>
      </c>
      <c r="L341" t="str">
        <v>Karnataka</v>
      </c>
      <c r="M341" t="str">
        <v>Hubli</v>
      </c>
      <c r="N341" t="str">
        <v>Clothing</v>
      </c>
      <c r="O341">
        <v>5</v>
      </c>
      <c r="P341">
        <v>1757.01</v>
      </c>
      <c r="Q341">
        <v>8785.0499999999993</v>
      </c>
    </row>
    <row r="342" spans="1:17">
      <c r="A342" s="19">
        <v>45146</v>
      </c>
      <c r="B342" t="s">
        <v>1229</v>
      </c>
      <c r="C342" t="s">
        <v>1237</v>
      </c>
      <c r="D342" t="s">
        <v>1171</v>
      </c>
      <c r="E342" t="s">
        <v>120</v>
      </c>
      <c r="F342" s="10">
        <v>6</v>
      </c>
      <c r="G342" s="10">
        <v>1701.04</v>
      </c>
      <c r="H342" s="10">
        <v>10206.24</v>
      </c>
      <c r="J342">
        <v>45144</v>
      </c>
      <c r="K342" t="str">
        <v>South</v>
      </c>
      <c r="L342" t="str">
        <v>Karnataka</v>
      </c>
      <c r="M342" t="str">
        <v>Hubli</v>
      </c>
      <c r="N342" t="str">
        <v>Clothing</v>
      </c>
      <c r="O342">
        <v>10</v>
      </c>
      <c r="P342">
        <v>812.98</v>
      </c>
      <c r="Q342">
        <v>8129.8</v>
      </c>
    </row>
    <row r="343" spans="1:17">
      <c r="A343" s="19">
        <v>45242</v>
      </c>
      <c r="B343" t="s">
        <v>1229</v>
      </c>
      <c r="C343" t="s">
        <v>1237</v>
      </c>
      <c r="D343" t="s">
        <v>1171</v>
      </c>
      <c r="E343" t="s">
        <v>120</v>
      </c>
      <c r="F343" s="10">
        <v>7</v>
      </c>
      <c r="G343" s="10">
        <v>1458</v>
      </c>
      <c r="H343" s="10">
        <v>10206</v>
      </c>
      <c r="J343">
        <v>45011</v>
      </c>
      <c r="K343" t="str">
        <v>South</v>
      </c>
      <c r="L343" t="str">
        <v>Karnataka</v>
      </c>
      <c r="M343" t="str">
        <v>Hubli</v>
      </c>
      <c r="N343" t="str">
        <v>Clothing</v>
      </c>
      <c r="O343">
        <v>4</v>
      </c>
      <c r="P343">
        <v>1434.97</v>
      </c>
      <c r="Q343">
        <v>5739.88</v>
      </c>
    </row>
    <row r="344" spans="1:17">
      <c r="A344" s="19">
        <v>44956</v>
      </c>
      <c r="B344" t="s">
        <v>1229</v>
      </c>
      <c r="C344" t="s">
        <v>1237</v>
      </c>
      <c r="D344" t="s">
        <v>1173</v>
      </c>
      <c r="E344" t="s">
        <v>120</v>
      </c>
      <c r="F344" s="10">
        <v>20</v>
      </c>
      <c r="G344" s="10">
        <v>486.25</v>
      </c>
      <c r="H344" s="10">
        <v>9725</v>
      </c>
      <c r="J344">
        <v>45033</v>
      </c>
      <c r="K344" t="str">
        <v>South</v>
      </c>
      <c r="L344" t="str">
        <v>Karnataka</v>
      </c>
      <c r="M344" t="str">
        <v>Hubli</v>
      </c>
      <c r="N344" t="str">
        <v>Clothing</v>
      </c>
      <c r="O344">
        <v>1</v>
      </c>
      <c r="P344">
        <v>3042.8</v>
      </c>
      <c r="Q344">
        <v>3042.8</v>
      </c>
    </row>
    <row r="345" spans="1:17">
      <c r="A345" s="19">
        <v>45141</v>
      </c>
      <c r="B345" t="s">
        <v>1231</v>
      </c>
      <c r="C345" t="s">
        <v>1235</v>
      </c>
      <c r="D345" t="s">
        <v>1238</v>
      </c>
      <c r="E345" t="s">
        <v>120</v>
      </c>
      <c r="F345" s="10">
        <v>15</v>
      </c>
      <c r="G345" s="10">
        <v>624.87</v>
      </c>
      <c r="H345" s="10">
        <v>9373.0499999999993</v>
      </c>
      <c r="J345">
        <v>45132</v>
      </c>
      <c r="K345" t="str">
        <v>South</v>
      </c>
      <c r="L345" t="str">
        <v>Karnataka</v>
      </c>
      <c r="M345" t="str">
        <v>Hubli</v>
      </c>
      <c r="N345" t="str">
        <v>Clothing</v>
      </c>
      <c r="O345">
        <v>10</v>
      </c>
      <c r="P345">
        <v>159.27000000000001</v>
      </c>
      <c r="Q345">
        <v>1592.7</v>
      </c>
    </row>
    <row r="346" spans="1:17">
      <c r="A346" s="19">
        <v>45229</v>
      </c>
      <c r="B346" t="s">
        <v>1231</v>
      </c>
      <c r="C346" t="s">
        <v>1232</v>
      </c>
      <c r="D346" t="s">
        <v>1234</v>
      </c>
      <c r="E346" t="s">
        <v>120</v>
      </c>
      <c r="F346" s="10">
        <v>7</v>
      </c>
      <c r="G346" s="10">
        <v>1316.13</v>
      </c>
      <c r="H346" s="10">
        <v>9212.91</v>
      </c>
      <c r="J346">
        <v>45126</v>
      </c>
      <c r="K346" t="str">
        <v>South</v>
      </c>
      <c r="L346" t="str">
        <v>Karnataka</v>
      </c>
      <c r="M346" t="str">
        <v>Hubli</v>
      </c>
      <c r="N346" t="str">
        <v>Clothing</v>
      </c>
      <c r="O346">
        <v>4</v>
      </c>
      <c r="P346">
        <v>277.45</v>
      </c>
      <c r="Q346">
        <v>1109.8</v>
      </c>
    </row>
    <row r="347" spans="1:17">
      <c r="A347" s="19">
        <v>45022</v>
      </c>
      <c r="B347" t="s">
        <v>1229</v>
      </c>
      <c r="C347" t="s">
        <v>1230</v>
      </c>
      <c r="D347" t="s">
        <v>1246</v>
      </c>
      <c r="E347" t="s">
        <v>120</v>
      </c>
      <c r="F347" s="10">
        <v>7</v>
      </c>
      <c r="G347" s="10">
        <v>1205.8900000000001</v>
      </c>
      <c r="H347" s="10">
        <v>8441.23</v>
      </c>
      <c r="J347">
        <v>45016</v>
      </c>
      <c r="K347" t="str">
        <v>South</v>
      </c>
      <c r="L347" t="str">
        <v>Karnataka</v>
      </c>
      <c r="M347" t="str">
        <v>Hubli</v>
      </c>
      <c r="N347" t="str">
        <v>Electronics</v>
      </c>
      <c r="O347">
        <v>18</v>
      </c>
      <c r="P347">
        <v>4450.2299999999996</v>
      </c>
      <c r="Q347">
        <v>80104.14</v>
      </c>
    </row>
    <row r="348" spans="1:17">
      <c r="A348" s="19">
        <v>44972</v>
      </c>
      <c r="B348" t="s">
        <v>1229</v>
      </c>
      <c r="C348" t="s">
        <v>1230</v>
      </c>
      <c r="D348" t="s">
        <v>1248</v>
      </c>
      <c r="E348" t="s">
        <v>120</v>
      </c>
      <c r="F348" s="10">
        <v>10</v>
      </c>
      <c r="G348" s="10">
        <v>843.5</v>
      </c>
      <c r="H348" s="10">
        <v>8435</v>
      </c>
      <c r="J348">
        <v>45201</v>
      </c>
      <c r="K348" t="str">
        <v>South</v>
      </c>
      <c r="L348" t="str">
        <v>Karnataka</v>
      </c>
      <c r="M348" t="str">
        <v>Hubli</v>
      </c>
      <c r="N348" t="str">
        <v>Electronics</v>
      </c>
      <c r="O348">
        <v>16</v>
      </c>
      <c r="P348">
        <v>4720.2299999999996</v>
      </c>
      <c r="Q348">
        <v>75523.679999999993</v>
      </c>
    </row>
    <row r="349" spans="1:17">
      <c r="A349" s="19">
        <v>45036</v>
      </c>
      <c r="B349" t="s">
        <v>1229</v>
      </c>
      <c r="C349" t="s">
        <v>1230</v>
      </c>
      <c r="D349" t="s">
        <v>1246</v>
      </c>
      <c r="E349" t="s">
        <v>120</v>
      </c>
      <c r="F349" s="10">
        <v>16</v>
      </c>
      <c r="G349" s="10">
        <v>523.29999999999995</v>
      </c>
      <c r="H349" s="10">
        <v>8372.7999999999993</v>
      </c>
      <c r="J349">
        <v>45139</v>
      </c>
      <c r="K349" t="str">
        <v>South</v>
      </c>
      <c r="L349" t="str">
        <v>Karnataka</v>
      </c>
      <c r="M349" t="str">
        <v>Hubli</v>
      </c>
      <c r="N349" t="str">
        <v>Electronics</v>
      </c>
      <c r="O349">
        <v>20</v>
      </c>
      <c r="P349">
        <v>3728.46</v>
      </c>
      <c r="Q349">
        <v>74569.2</v>
      </c>
    </row>
    <row r="350" spans="1:17">
      <c r="A350" s="19">
        <v>44960</v>
      </c>
      <c r="B350" t="s">
        <v>1231</v>
      </c>
      <c r="C350" t="s">
        <v>1235</v>
      </c>
      <c r="D350" t="s">
        <v>1241</v>
      </c>
      <c r="E350" t="s">
        <v>120</v>
      </c>
      <c r="F350" s="10">
        <v>7</v>
      </c>
      <c r="G350" s="10">
        <v>1164.5999999999999</v>
      </c>
      <c r="H350" s="10">
        <v>8152.2</v>
      </c>
      <c r="J350">
        <v>45187</v>
      </c>
      <c r="K350" t="str">
        <v>South</v>
      </c>
      <c r="L350" t="str">
        <v>Karnataka</v>
      </c>
      <c r="M350" t="str">
        <v>Hubli</v>
      </c>
      <c r="N350" t="str">
        <v>Electronics</v>
      </c>
      <c r="O350">
        <v>11</v>
      </c>
      <c r="P350">
        <v>2677.03</v>
      </c>
      <c r="Q350">
        <v>29447.33</v>
      </c>
    </row>
    <row r="351" spans="1:17">
      <c r="A351" s="19">
        <v>45038</v>
      </c>
      <c r="B351" t="s">
        <v>1231</v>
      </c>
      <c r="C351" t="s">
        <v>1235</v>
      </c>
      <c r="D351" t="s">
        <v>1236</v>
      </c>
      <c r="E351" t="s">
        <v>120</v>
      </c>
      <c r="F351" s="10">
        <v>5</v>
      </c>
      <c r="G351" s="10">
        <v>1566.04</v>
      </c>
      <c r="H351" s="10">
        <v>7830.2</v>
      </c>
      <c r="J351">
        <v>45044</v>
      </c>
      <c r="K351" t="str">
        <v>South</v>
      </c>
      <c r="L351" t="str">
        <v>Karnataka</v>
      </c>
      <c r="M351" t="str">
        <v>Hubli</v>
      </c>
      <c r="N351" t="str">
        <v>Electronics</v>
      </c>
      <c r="O351">
        <v>12</v>
      </c>
      <c r="P351">
        <v>1104.74</v>
      </c>
      <c r="Q351">
        <v>13256.88</v>
      </c>
    </row>
    <row r="352" spans="1:17">
      <c r="A352" s="19">
        <v>44943</v>
      </c>
      <c r="B352" t="s">
        <v>1231</v>
      </c>
      <c r="C352" t="s">
        <v>1235</v>
      </c>
      <c r="D352" t="s">
        <v>1236</v>
      </c>
      <c r="E352" t="s">
        <v>120</v>
      </c>
      <c r="F352" s="10">
        <v>8</v>
      </c>
      <c r="G352" s="10">
        <v>918.76</v>
      </c>
      <c r="H352" s="10">
        <v>7350.08</v>
      </c>
      <c r="J352">
        <v>44932</v>
      </c>
      <c r="K352" t="str">
        <v>South</v>
      </c>
      <c r="L352" t="str">
        <v>Karnataka</v>
      </c>
      <c r="M352" t="str">
        <v>Hubli</v>
      </c>
      <c r="N352" t="str">
        <v>Electronics</v>
      </c>
      <c r="O352">
        <v>12</v>
      </c>
      <c r="P352">
        <v>1061.49</v>
      </c>
      <c r="Q352">
        <v>12737.88</v>
      </c>
    </row>
    <row r="353" spans="1:17">
      <c r="A353" s="19">
        <v>45164</v>
      </c>
      <c r="B353" t="s">
        <v>1229</v>
      </c>
      <c r="C353" t="s">
        <v>1237</v>
      </c>
      <c r="D353" t="s">
        <v>1171</v>
      </c>
      <c r="E353" t="s">
        <v>120</v>
      </c>
      <c r="F353" s="10">
        <v>4</v>
      </c>
      <c r="G353" s="10">
        <v>1788.95</v>
      </c>
      <c r="H353" s="10">
        <v>7155.8</v>
      </c>
      <c r="J353">
        <v>45055</v>
      </c>
      <c r="K353" t="str">
        <v>South</v>
      </c>
      <c r="L353" t="str">
        <v>Karnataka</v>
      </c>
      <c r="M353" t="str">
        <v>Hubli</v>
      </c>
      <c r="N353" t="str">
        <v>Electronics</v>
      </c>
      <c r="O353">
        <v>18</v>
      </c>
      <c r="P353">
        <v>696.83</v>
      </c>
      <c r="Q353">
        <v>12542.94</v>
      </c>
    </row>
    <row r="354" spans="1:17">
      <c r="A354" s="19">
        <v>45118</v>
      </c>
      <c r="B354" t="s">
        <v>1231</v>
      </c>
      <c r="C354" t="s">
        <v>1235</v>
      </c>
      <c r="D354" t="s">
        <v>1236</v>
      </c>
      <c r="E354" t="s">
        <v>120</v>
      </c>
      <c r="F354" s="10">
        <v>9</v>
      </c>
      <c r="G354" s="10">
        <v>773.71</v>
      </c>
      <c r="H354" s="10">
        <v>6963.39</v>
      </c>
      <c r="J354">
        <v>45199</v>
      </c>
      <c r="K354" t="str">
        <v>South</v>
      </c>
      <c r="L354" t="str">
        <v>Karnataka</v>
      </c>
      <c r="M354" t="str">
        <v>Hubli</v>
      </c>
      <c r="N354" t="str">
        <v>Electronics</v>
      </c>
      <c r="O354">
        <v>18</v>
      </c>
      <c r="P354">
        <v>678.76</v>
      </c>
      <c r="Q354">
        <v>12217.68</v>
      </c>
    </row>
    <row r="355" spans="1:17">
      <c r="A355" s="19">
        <v>45268</v>
      </c>
      <c r="B355" t="s">
        <v>1231</v>
      </c>
      <c r="C355" t="s">
        <v>1235</v>
      </c>
      <c r="D355" t="s">
        <v>1241</v>
      </c>
      <c r="E355" t="s">
        <v>120</v>
      </c>
      <c r="F355" s="10">
        <v>5</v>
      </c>
      <c r="G355" s="10">
        <v>1372.78</v>
      </c>
      <c r="H355" s="10">
        <v>6863.9</v>
      </c>
      <c r="J355">
        <v>44951</v>
      </c>
      <c r="K355" t="str">
        <v>South</v>
      </c>
      <c r="L355" t="str">
        <v>Karnataka</v>
      </c>
      <c r="M355" t="str">
        <v>Hubli</v>
      </c>
      <c r="N355" t="str">
        <v>Electronics</v>
      </c>
      <c r="O355">
        <v>4</v>
      </c>
      <c r="P355">
        <v>2625.31</v>
      </c>
      <c r="Q355">
        <v>10501.24</v>
      </c>
    </row>
    <row r="356" spans="1:17">
      <c r="A356" s="19">
        <v>45096</v>
      </c>
      <c r="B356" t="s">
        <v>1229</v>
      </c>
      <c r="C356" t="s">
        <v>1237</v>
      </c>
      <c r="D356" t="s">
        <v>1171</v>
      </c>
      <c r="E356" t="s">
        <v>120</v>
      </c>
      <c r="F356" s="10">
        <v>2</v>
      </c>
      <c r="G356" s="10">
        <v>3239.94</v>
      </c>
      <c r="H356" s="10">
        <v>6479.88</v>
      </c>
      <c r="J356">
        <v>45141</v>
      </c>
      <c r="K356" t="str">
        <v>South</v>
      </c>
      <c r="L356" t="str">
        <v>Karnataka</v>
      </c>
      <c r="M356" t="str">
        <v>Hubli</v>
      </c>
      <c r="N356" t="str">
        <v>Electronics</v>
      </c>
      <c r="O356">
        <v>15</v>
      </c>
      <c r="P356">
        <v>624.87</v>
      </c>
      <c r="Q356">
        <v>9373.0499999999993</v>
      </c>
    </row>
    <row r="357" spans="1:17">
      <c r="A357" s="19">
        <v>45098</v>
      </c>
      <c r="B357" t="s">
        <v>1229</v>
      </c>
      <c r="C357" t="s">
        <v>1237</v>
      </c>
      <c r="D357" t="s">
        <v>1173</v>
      </c>
      <c r="E357" t="s">
        <v>120</v>
      </c>
      <c r="F357" s="10">
        <v>7</v>
      </c>
      <c r="G357" s="10">
        <v>859.87</v>
      </c>
      <c r="H357" s="10">
        <v>6019.09</v>
      </c>
      <c r="J357">
        <v>45104</v>
      </c>
      <c r="K357" t="str">
        <v>South</v>
      </c>
      <c r="L357" t="str">
        <v>Karnataka</v>
      </c>
      <c r="M357" t="str">
        <v>Hubli</v>
      </c>
      <c r="N357" t="str">
        <v>Electronics</v>
      </c>
      <c r="O357">
        <v>8</v>
      </c>
      <c r="P357">
        <v>720.07</v>
      </c>
      <c r="Q357">
        <v>5760.56</v>
      </c>
    </row>
    <row r="358" spans="1:17">
      <c r="A358" s="19">
        <v>45104</v>
      </c>
      <c r="B358" t="s">
        <v>1231</v>
      </c>
      <c r="C358" t="s">
        <v>1235</v>
      </c>
      <c r="D358" t="s">
        <v>1238</v>
      </c>
      <c r="E358" t="s">
        <v>120</v>
      </c>
      <c r="F358" s="10">
        <v>8</v>
      </c>
      <c r="G358" s="10">
        <v>720.07</v>
      </c>
      <c r="H358" s="10">
        <v>5760.56</v>
      </c>
      <c r="J358">
        <v>45288</v>
      </c>
      <c r="K358" t="str">
        <v>South</v>
      </c>
      <c r="L358" t="str">
        <v>Karnataka</v>
      </c>
      <c r="M358" t="str">
        <v>Hubli</v>
      </c>
      <c r="N358" t="str">
        <v>Electronics</v>
      </c>
      <c r="O358">
        <v>1</v>
      </c>
      <c r="P358">
        <v>979.17</v>
      </c>
      <c r="Q358">
        <v>979.17</v>
      </c>
    </row>
    <row r="359" spans="1:17">
      <c r="A359" s="19">
        <v>45061</v>
      </c>
      <c r="B359" t="s">
        <v>1231</v>
      </c>
      <c r="C359" t="s">
        <v>1232</v>
      </c>
      <c r="D359" t="s">
        <v>1240</v>
      </c>
      <c r="E359" t="s">
        <v>120</v>
      </c>
      <c r="F359" s="10">
        <v>16</v>
      </c>
      <c r="G359" s="10">
        <v>325.52</v>
      </c>
      <c r="H359" s="10">
        <v>5208.32</v>
      </c>
      <c r="J359">
        <v>44955</v>
      </c>
      <c r="K359" t="str">
        <v>South</v>
      </c>
      <c r="L359" t="str">
        <v>Karnataka</v>
      </c>
      <c r="M359" t="str">
        <v>Hubli</v>
      </c>
      <c r="N359" t="str">
        <v>Electronics</v>
      </c>
      <c r="O359">
        <v>2</v>
      </c>
      <c r="P359">
        <v>161.19</v>
      </c>
      <c r="Q359">
        <v>322.38</v>
      </c>
    </row>
    <row r="360" spans="1:17">
      <c r="A360" s="19">
        <v>45214</v>
      </c>
      <c r="B360" t="s">
        <v>1231</v>
      </c>
      <c r="C360" t="s">
        <v>1232</v>
      </c>
      <c r="D360" t="s">
        <v>1240</v>
      </c>
      <c r="E360" t="s">
        <v>120</v>
      </c>
      <c r="F360" s="10">
        <v>15</v>
      </c>
      <c r="G360" s="10">
        <v>346.45</v>
      </c>
      <c r="H360" s="10">
        <v>5196.75</v>
      </c>
      <c r="J360">
        <v>45290</v>
      </c>
      <c r="K360" t="str">
        <v>South</v>
      </c>
      <c r="L360" t="str">
        <v>Karnataka</v>
      </c>
      <c r="M360" t="str">
        <v>Hubli</v>
      </c>
      <c r="N360" t="str">
        <v>Furniture</v>
      </c>
      <c r="O360">
        <v>19</v>
      </c>
      <c r="P360">
        <v>4411.57</v>
      </c>
      <c r="Q360">
        <v>83819.83</v>
      </c>
    </row>
    <row r="361" spans="1:17">
      <c r="A361" s="19">
        <v>45209</v>
      </c>
      <c r="B361" t="s">
        <v>1231</v>
      </c>
      <c r="C361" t="s">
        <v>1235</v>
      </c>
      <c r="D361" t="s">
        <v>1236</v>
      </c>
      <c r="E361" t="s">
        <v>120</v>
      </c>
      <c r="F361" s="10">
        <v>7</v>
      </c>
      <c r="G361" s="10">
        <v>702.24</v>
      </c>
      <c r="H361" s="10">
        <v>4915.68</v>
      </c>
      <c r="J361">
        <v>45290</v>
      </c>
      <c r="K361" t="str">
        <v>South</v>
      </c>
      <c r="L361" t="str">
        <v>Karnataka</v>
      </c>
      <c r="M361" t="str">
        <v>Hubli</v>
      </c>
      <c r="N361" t="str">
        <v>Furniture</v>
      </c>
      <c r="O361">
        <v>15</v>
      </c>
      <c r="P361">
        <v>4402.43</v>
      </c>
      <c r="Q361">
        <v>66036.45</v>
      </c>
    </row>
    <row r="362" spans="1:17">
      <c r="A362" s="19">
        <v>44961</v>
      </c>
      <c r="B362" t="s">
        <v>1242</v>
      </c>
      <c r="C362" t="s">
        <v>1243</v>
      </c>
      <c r="D362" t="s">
        <v>1244</v>
      </c>
      <c r="E362" t="s">
        <v>120</v>
      </c>
      <c r="F362" s="10">
        <v>5</v>
      </c>
      <c r="G362" s="10">
        <v>968.86</v>
      </c>
      <c r="H362" s="10">
        <v>4844.3</v>
      </c>
      <c r="J362">
        <v>45201</v>
      </c>
      <c r="K362" t="str">
        <v>South</v>
      </c>
      <c r="L362" t="str">
        <v>Karnataka</v>
      </c>
      <c r="M362" t="str">
        <v>Hubli</v>
      </c>
      <c r="N362" t="str">
        <v>Furniture</v>
      </c>
      <c r="O362">
        <v>12</v>
      </c>
      <c r="P362">
        <v>4945.7700000000004</v>
      </c>
      <c r="Q362">
        <v>59349.24</v>
      </c>
    </row>
    <row r="363" spans="1:17">
      <c r="A363" s="19">
        <v>45270</v>
      </c>
      <c r="B363" t="s">
        <v>1229</v>
      </c>
      <c r="C363" t="s">
        <v>1230</v>
      </c>
      <c r="D363" t="s">
        <v>1169</v>
      </c>
      <c r="E363" t="s">
        <v>120</v>
      </c>
      <c r="F363" s="10">
        <v>4</v>
      </c>
      <c r="G363" s="10">
        <v>1208.21</v>
      </c>
      <c r="H363" s="10">
        <v>4832.84</v>
      </c>
      <c r="J363">
        <v>44938</v>
      </c>
      <c r="K363" t="str">
        <v>South</v>
      </c>
      <c r="L363" t="str">
        <v>Karnataka</v>
      </c>
      <c r="M363" t="str">
        <v>Hubli</v>
      </c>
      <c r="N363" t="str">
        <v>Furniture</v>
      </c>
      <c r="O363">
        <v>16</v>
      </c>
      <c r="P363">
        <v>2976.17</v>
      </c>
      <c r="Q363">
        <v>47618.720000000001</v>
      </c>
    </row>
    <row r="364" spans="1:17">
      <c r="A364" s="19">
        <v>44994</v>
      </c>
      <c r="B364" t="s">
        <v>1242</v>
      </c>
      <c r="C364" t="s">
        <v>1243</v>
      </c>
      <c r="D364" t="s">
        <v>1244</v>
      </c>
      <c r="E364" t="s">
        <v>120</v>
      </c>
      <c r="F364" s="10">
        <v>4</v>
      </c>
      <c r="G364" s="10">
        <v>1181.3900000000001</v>
      </c>
      <c r="H364" s="10">
        <v>4725.5600000000004</v>
      </c>
      <c r="J364">
        <v>44970</v>
      </c>
      <c r="K364" t="str">
        <v>South</v>
      </c>
      <c r="L364" t="str">
        <v>Karnataka</v>
      </c>
      <c r="M364" t="str">
        <v>Hubli</v>
      </c>
      <c r="N364" t="str">
        <v>Furniture</v>
      </c>
      <c r="O364">
        <v>20</v>
      </c>
      <c r="P364">
        <v>1310.3699999999999</v>
      </c>
      <c r="Q364">
        <v>26207.4</v>
      </c>
    </row>
    <row r="365" spans="1:17">
      <c r="A365" s="19">
        <v>45231</v>
      </c>
      <c r="B365" t="s">
        <v>1231</v>
      </c>
      <c r="C365" t="s">
        <v>1232</v>
      </c>
      <c r="D365" t="s">
        <v>1234</v>
      </c>
      <c r="E365" t="s">
        <v>120</v>
      </c>
      <c r="F365" s="10">
        <v>18</v>
      </c>
      <c r="G365" s="10">
        <v>262.12</v>
      </c>
      <c r="H365" s="10">
        <v>4718.16</v>
      </c>
      <c r="J365">
        <v>45260</v>
      </c>
      <c r="K365" t="str">
        <v>South</v>
      </c>
      <c r="L365" t="str">
        <v>Karnataka</v>
      </c>
      <c r="M365" t="str">
        <v>Hubli</v>
      </c>
      <c r="N365" t="str">
        <v>Furniture</v>
      </c>
      <c r="O365">
        <v>7</v>
      </c>
      <c r="P365">
        <v>3402.48</v>
      </c>
      <c r="Q365">
        <v>23817.360000000001</v>
      </c>
    </row>
    <row r="366" spans="1:17">
      <c r="A366" s="19">
        <v>45159</v>
      </c>
      <c r="B366" t="s">
        <v>1231</v>
      </c>
      <c r="C366" t="s">
        <v>1235</v>
      </c>
      <c r="D366" t="s">
        <v>1241</v>
      </c>
      <c r="E366" t="s">
        <v>120</v>
      </c>
      <c r="F366" s="10">
        <v>9</v>
      </c>
      <c r="G366" s="10">
        <v>515.97</v>
      </c>
      <c r="H366" s="10">
        <v>4643.7299999999996</v>
      </c>
      <c r="J366">
        <v>45019</v>
      </c>
      <c r="K366" t="str">
        <v>South</v>
      </c>
      <c r="L366" t="str">
        <v>Karnataka</v>
      </c>
      <c r="M366" t="str">
        <v>Hubli</v>
      </c>
      <c r="N366" t="str">
        <v>Furniture</v>
      </c>
      <c r="O366">
        <v>14</v>
      </c>
      <c r="P366">
        <v>1658.39</v>
      </c>
      <c r="Q366">
        <v>23217.46</v>
      </c>
    </row>
    <row r="367" spans="1:17">
      <c r="A367" s="19">
        <v>45205</v>
      </c>
      <c r="B367" t="s">
        <v>1242</v>
      </c>
      <c r="C367" t="s">
        <v>1243</v>
      </c>
      <c r="D367" t="s">
        <v>1245</v>
      </c>
      <c r="E367" t="s">
        <v>120</v>
      </c>
      <c r="F367" s="10">
        <v>4</v>
      </c>
      <c r="G367" s="10">
        <v>1147.06</v>
      </c>
      <c r="H367" s="10">
        <v>4588.24</v>
      </c>
      <c r="J367">
        <v>45276</v>
      </c>
      <c r="K367" t="str">
        <v>South</v>
      </c>
      <c r="L367" t="str">
        <v>Karnataka</v>
      </c>
      <c r="M367" t="str">
        <v>Hubli</v>
      </c>
      <c r="N367" t="str">
        <v>Furniture</v>
      </c>
      <c r="O367">
        <v>7</v>
      </c>
      <c r="P367">
        <v>3052.99</v>
      </c>
      <c r="Q367">
        <v>21370.93</v>
      </c>
    </row>
    <row r="368" spans="1:17">
      <c r="A368" s="19">
        <v>45230</v>
      </c>
      <c r="B368" t="s">
        <v>1231</v>
      </c>
      <c r="C368" t="s">
        <v>1235</v>
      </c>
      <c r="D368" t="s">
        <v>1241</v>
      </c>
      <c r="E368" t="s">
        <v>120</v>
      </c>
      <c r="F368" s="10">
        <v>2</v>
      </c>
      <c r="G368" s="10">
        <v>2287.09</v>
      </c>
      <c r="H368" s="10">
        <v>4574.18</v>
      </c>
      <c r="J368">
        <v>45188</v>
      </c>
      <c r="K368" t="str">
        <v>South</v>
      </c>
      <c r="L368" t="str">
        <v>Karnataka</v>
      </c>
      <c r="M368" t="str">
        <v>Hubli</v>
      </c>
      <c r="N368" t="str">
        <v>Furniture</v>
      </c>
      <c r="O368">
        <v>18</v>
      </c>
      <c r="P368">
        <v>883.32</v>
      </c>
      <c r="Q368">
        <v>15899.76</v>
      </c>
    </row>
    <row r="369" spans="1:17">
      <c r="A369" s="19">
        <v>44994</v>
      </c>
      <c r="B369" t="s">
        <v>1242</v>
      </c>
      <c r="C369" t="s">
        <v>1243</v>
      </c>
      <c r="D369" t="s">
        <v>1244</v>
      </c>
      <c r="E369" t="s">
        <v>120</v>
      </c>
      <c r="F369" s="10">
        <v>5</v>
      </c>
      <c r="G369" s="10">
        <v>912.33</v>
      </c>
      <c r="H369" s="10">
        <v>4561.6499999999996</v>
      </c>
      <c r="J369">
        <v>45229</v>
      </c>
      <c r="K369" t="str">
        <v>South</v>
      </c>
      <c r="L369" t="str">
        <v>Karnataka</v>
      </c>
      <c r="M369" t="str">
        <v>Hubli</v>
      </c>
      <c r="N369" t="str">
        <v>Furniture</v>
      </c>
      <c r="O369">
        <v>5</v>
      </c>
      <c r="P369">
        <v>3103.12</v>
      </c>
      <c r="Q369">
        <v>15515.6</v>
      </c>
    </row>
    <row r="370" spans="1:17">
      <c r="A370" s="19">
        <v>45282</v>
      </c>
      <c r="B370" t="s">
        <v>1242</v>
      </c>
      <c r="C370" t="s">
        <v>1243</v>
      </c>
      <c r="D370" t="s">
        <v>1247</v>
      </c>
      <c r="E370" t="s">
        <v>120</v>
      </c>
      <c r="F370" s="10">
        <v>4</v>
      </c>
      <c r="G370" s="10">
        <v>1128.8900000000001</v>
      </c>
      <c r="H370" s="10">
        <v>4515.5600000000004</v>
      </c>
      <c r="J370">
        <v>45109</v>
      </c>
      <c r="K370" t="str">
        <v>South</v>
      </c>
      <c r="L370" t="str">
        <v>Karnataka</v>
      </c>
      <c r="M370" t="str">
        <v>Hubli</v>
      </c>
      <c r="N370" t="str">
        <v>Furniture</v>
      </c>
      <c r="O370">
        <v>20</v>
      </c>
      <c r="P370">
        <v>722.13</v>
      </c>
      <c r="Q370">
        <v>14442.6</v>
      </c>
    </row>
    <row r="371" spans="1:17">
      <c r="A371" s="19">
        <v>45120</v>
      </c>
      <c r="B371" t="s">
        <v>1231</v>
      </c>
      <c r="C371" t="s">
        <v>1232</v>
      </c>
      <c r="D371" t="s">
        <v>1234</v>
      </c>
      <c r="E371" t="s">
        <v>120</v>
      </c>
      <c r="F371" s="10">
        <v>9</v>
      </c>
      <c r="G371" s="10">
        <v>491.64</v>
      </c>
      <c r="H371" s="10">
        <v>4424.76</v>
      </c>
      <c r="J371">
        <v>45125</v>
      </c>
      <c r="K371" t="str">
        <v>South</v>
      </c>
      <c r="L371" t="str">
        <v>Karnataka</v>
      </c>
      <c r="M371" t="str">
        <v>Hubli</v>
      </c>
      <c r="N371" t="str">
        <v>Furniture</v>
      </c>
      <c r="O371">
        <v>8</v>
      </c>
      <c r="P371">
        <v>1366.18</v>
      </c>
      <c r="Q371">
        <v>10929.44</v>
      </c>
    </row>
    <row r="372" spans="1:17">
      <c r="A372" s="19">
        <v>45076</v>
      </c>
      <c r="B372" t="s">
        <v>1242</v>
      </c>
      <c r="C372" t="s">
        <v>1243</v>
      </c>
      <c r="D372" t="s">
        <v>1247</v>
      </c>
      <c r="E372" t="s">
        <v>120</v>
      </c>
      <c r="F372" s="10">
        <v>2</v>
      </c>
      <c r="G372" s="10">
        <v>2119.5100000000002</v>
      </c>
      <c r="H372" s="10">
        <v>4239.0200000000004</v>
      </c>
      <c r="J372">
        <v>45074</v>
      </c>
      <c r="K372" t="str">
        <v>South</v>
      </c>
      <c r="L372" t="str">
        <v>Karnataka</v>
      </c>
      <c r="M372" t="str">
        <v>Hubli</v>
      </c>
      <c r="N372" t="str">
        <v>Furniture</v>
      </c>
      <c r="O372">
        <v>2</v>
      </c>
      <c r="P372">
        <v>4019.4</v>
      </c>
      <c r="Q372">
        <v>8038.8</v>
      </c>
    </row>
    <row r="373" spans="1:17">
      <c r="A373" s="19">
        <v>44993</v>
      </c>
      <c r="B373" t="s">
        <v>1242</v>
      </c>
      <c r="C373" t="s">
        <v>1243</v>
      </c>
      <c r="D373" t="s">
        <v>1247</v>
      </c>
      <c r="E373" t="s">
        <v>120</v>
      </c>
      <c r="F373" s="10">
        <v>11</v>
      </c>
      <c r="G373" s="10">
        <v>377.1</v>
      </c>
      <c r="H373" s="10">
        <v>4148.1000000000004</v>
      </c>
      <c r="J373">
        <v>45195</v>
      </c>
      <c r="K373" t="str">
        <v>South</v>
      </c>
      <c r="L373" t="str">
        <v>Karnataka</v>
      </c>
      <c r="M373" t="str">
        <v>Hubli</v>
      </c>
      <c r="N373" t="str">
        <v>Furniture</v>
      </c>
      <c r="O373">
        <v>15</v>
      </c>
      <c r="P373">
        <v>413.63</v>
      </c>
      <c r="Q373">
        <v>6204.45</v>
      </c>
    </row>
    <row r="374" spans="1:17">
      <c r="A374" s="19">
        <v>45192</v>
      </c>
      <c r="B374" t="s">
        <v>1229</v>
      </c>
      <c r="C374" t="s">
        <v>1237</v>
      </c>
      <c r="D374" t="s">
        <v>1171</v>
      </c>
      <c r="E374" t="s">
        <v>120</v>
      </c>
      <c r="F374" s="10">
        <v>6</v>
      </c>
      <c r="G374" s="10">
        <v>686.38</v>
      </c>
      <c r="H374" s="10">
        <v>4118.28</v>
      </c>
      <c r="J374">
        <v>45115</v>
      </c>
      <c r="K374" t="str">
        <v>South</v>
      </c>
      <c r="L374" t="str">
        <v>Karnataka</v>
      </c>
      <c r="M374" t="str">
        <v>Hubli</v>
      </c>
      <c r="N374" t="str">
        <v>Furniture</v>
      </c>
      <c r="O374">
        <v>5</v>
      </c>
      <c r="P374">
        <v>1185.45</v>
      </c>
      <c r="Q374">
        <v>5927.25</v>
      </c>
    </row>
    <row r="375" spans="1:17">
      <c r="A375" s="19">
        <v>44930</v>
      </c>
      <c r="B375" t="s">
        <v>1229</v>
      </c>
      <c r="C375" t="s">
        <v>1230</v>
      </c>
      <c r="D375" t="s">
        <v>1169</v>
      </c>
      <c r="E375" t="s">
        <v>120</v>
      </c>
      <c r="F375" s="10">
        <v>4</v>
      </c>
      <c r="G375" s="10">
        <v>1027.32</v>
      </c>
      <c r="H375" s="10">
        <v>4109.28</v>
      </c>
      <c r="J375">
        <v>45011</v>
      </c>
      <c r="K375" t="str">
        <v>South</v>
      </c>
      <c r="L375" t="str">
        <v>Karnataka</v>
      </c>
      <c r="M375" t="str">
        <v>Hubli</v>
      </c>
      <c r="N375" t="str">
        <v>Groceries</v>
      </c>
      <c r="O375">
        <v>17</v>
      </c>
      <c r="P375">
        <v>4825.24</v>
      </c>
      <c r="Q375">
        <v>82029.08</v>
      </c>
    </row>
    <row r="376" spans="1:17">
      <c r="A376" s="19">
        <v>45070</v>
      </c>
      <c r="B376" t="s">
        <v>1242</v>
      </c>
      <c r="C376" t="s">
        <v>1243</v>
      </c>
      <c r="D376" t="s">
        <v>1245</v>
      </c>
      <c r="E376" t="s">
        <v>120</v>
      </c>
      <c r="F376" s="10">
        <v>4</v>
      </c>
      <c r="G376" s="10">
        <v>1020.23</v>
      </c>
      <c r="H376" s="10">
        <v>4080.92</v>
      </c>
      <c r="J376">
        <v>44980</v>
      </c>
      <c r="K376" t="str">
        <v>South</v>
      </c>
      <c r="L376" t="str">
        <v>Karnataka</v>
      </c>
      <c r="M376" t="str">
        <v>Hubli</v>
      </c>
      <c r="N376" t="str">
        <v>Groceries</v>
      </c>
      <c r="O376">
        <v>12</v>
      </c>
      <c r="P376">
        <v>4964.87</v>
      </c>
      <c r="Q376">
        <v>59578.44</v>
      </c>
    </row>
    <row r="377" spans="1:17">
      <c r="A377" s="19">
        <v>45183</v>
      </c>
      <c r="B377" t="s">
        <v>1231</v>
      </c>
      <c r="C377" t="s">
        <v>1232</v>
      </c>
      <c r="D377" t="s">
        <v>1234</v>
      </c>
      <c r="E377" t="s">
        <v>120</v>
      </c>
      <c r="F377" s="10">
        <v>2</v>
      </c>
      <c r="G377" s="10">
        <v>1983.93</v>
      </c>
      <c r="H377" s="10">
        <v>3967.86</v>
      </c>
      <c r="J377">
        <v>45146</v>
      </c>
      <c r="K377" t="str">
        <v>South</v>
      </c>
      <c r="L377" t="str">
        <v>Karnataka</v>
      </c>
      <c r="M377" t="str">
        <v>Hubli</v>
      </c>
      <c r="N377" t="str">
        <v>Groceries</v>
      </c>
      <c r="O377">
        <v>15</v>
      </c>
      <c r="P377">
        <v>3943.63</v>
      </c>
      <c r="Q377">
        <v>59154.45</v>
      </c>
    </row>
    <row r="378" spans="1:17">
      <c r="A378" s="19">
        <v>45001</v>
      </c>
      <c r="B378" t="s">
        <v>1229</v>
      </c>
      <c r="C378" t="s">
        <v>1230</v>
      </c>
      <c r="D378" t="s">
        <v>1169</v>
      </c>
      <c r="E378" t="s">
        <v>120</v>
      </c>
      <c r="F378" s="10">
        <v>2</v>
      </c>
      <c r="G378" s="10">
        <v>1971</v>
      </c>
      <c r="H378" s="10">
        <v>3942</v>
      </c>
      <c r="J378">
        <v>45236</v>
      </c>
      <c r="K378" t="str">
        <v>South</v>
      </c>
      <c r="L378" t="str">
        <v>Karnataka</v>
      </c>
      <c r="M378" t="str">
        <v>Hubli</v>
      </c>
      <c r="N378" t="str">
        <v>Groceries</v>
      </c>
      <c r="O378">
        <v>13</v>
      </c>
      <c r="P378">
        <v>4226.47</v>
      </c>
      <c r="Q378">
        <v>54944.11</v>
      </c>
    </row>
    <row r="379" spans="1:17">
      <c r="A379" s="19">
        <v>44955</v>
      </c>
      <c r="B379" t="s">
        <v>1229</v>
      </c>
      <c r="C379" t="s">
        <v>1230</v>
      </c>
      <c r="D379" t="s">
        <v>1169</v>
      </c>
      <c r="E379" t="s">
        <v>120</v>
      </c>
      <c r="F379" s="10">
        <v>5</v>
      </c>
      <c r="G379" s="10">
        <v>714.68</v>
      </c>
      <c r="H379" s="10">
        <v>3573.4</v>
      </c>
      <c r="J379">
        <v>45101</v>
      </c>
      <c r="K379" t="str">
        <v>South</v>
      </c>
      <c r="L379" t="str">
        <v>Karnataka</v>
      </c>
      <c r="M379" t="str">
        <v>Hubli</v>
      </c>
      <c r="N379" t="str">
        <v>Groceries</v>
      </c>
      <c r="O379">
        <v>12</v>
      </c>
      <c r="P379">
        <v>4572.79</v>
      </c>
      <c r="Q379">
        <v>54873.48</v>
      </c>
    </row>
    <row r="380" spans="1:17">
      <c r="A380" s="19">
        <v>45100</v>
      </c>
      <c r="B380" t="s">
        <v>1229</v>
      </c>
      <c r="C380" t="s">
        <v>1230</v>
      </c>
      <c r="D380" t="s">
        <v>1248</v>
      </c>
      <c r="E380" t="s">
        <v>120</v>
      </c>
      <c r="F380" s="10">
        <v>12</v>
      </c>
      <c r="G380" s="10">
        <v>255.59</v>
      </c>
      <c r="H380" s="10">
        <v>3067.08</v>
      </c>
      <c r="J380">
        <v>44974</v>
      </c>
      <c r="K380" t="str">
        <v>South</v>
      </c>
      <c r="L380" t="str">
        <v>Karnataka</v>
      </c>
      <c r="M380" t="str">
        <v>Hubli</v>
      </c>
      <c r="N380" t="str">
        <v>Groceries</v>
      </c>
      <c r="O380">
        <v>10</v>
      </c>
      <c r="P380">
        <v>4196.24</v>
      </c>
      <c r="Q380">
        <v>41962.400000000001</v>
      </c>
    </row>
    <row r="381" spans="1:17">
      <c r="A381" s="19">
        <v>44985</v>
      </c>
      <c r="B381" t="s">
        <v>1231</v>
      </c>
      <c r="C381" t="s">
        <v>1235</v>
      </c>
      <c r="D381" t="s">
        <v>1241</v>
      </c>
      <c r="E381" t="s">
        <v>120</v>
      </c>
      <c r="F381" s="10">
        <v>8</v>
      </c>
      <c r="G381" s="10">
        <v>372.22</v>
      </c>
      <c r="H381" s="10">
        <v>2977.76</v>
      </c>
      <c r="J381">
        <v>45210</v>
      </c>
      <c r="K381" t="str">
        <v>South</v>
      </c>
      <c r="L381" t="str">
        <v>Karnataka</v>
      </c>
      <c r="M381" t="str">
        <v>Hubli</v>
      </c>
      <c r="N381" t="str">
        <v>Groceries</v>
      </c>
      <c r="O381">
        <v>16</v>
      </c>
      <c r="P381">
        <v>2619.73</v>
      </c>
      <c r="Q381">
        <v>41915.68</v>
      </c>
    </row>
    <row r="382" spans="1:17">
      <c r="A382" s="19">
        <v>45039</v>
      </c>
      <c r="B382" t="s">
        <v>1231</v>
      </c>
      <c r="C382" t="s">
        <v>1232</v>
      </c>
      <c r="D382" t="s">
        <v>1240</v>
      </c>
      <c r="E382" t="s">
        <v>120</v>
      </c>
      <c r="F382" s="10">
        <v>3</v>
      </c>
      <c r="G382" s="10">
        <v>938.33</v>
      </c>
      <c r="H382" s="10">
        <v>2814.99</v>
      </c>
      <c r="J382">
        <v>45264</v>
      </c>
      <c r="K382" t="str">
        <v>South</v>
      </c>
      <c r="L382" t="str">
        <v>Karnataka</v>
      </c>
      <c r="M382" t="str">
        <v>Hubli</v>
      </c>
      <c r="N382" t="str">
        <v>Groceries</v>
      </c>
      <c r="O382">
        <v>15</v>
      </c>
      <c r="P382">
        <v>2346.4</v>
      </c>
      <c r="Q382">
        <v>35196</v>
      </c>
    </row>
    <row r="383" spans="1:17">
      <c r="A383" s="19">
        <v>45162</v>
      </c>
      <c r="B383" t="s">
        <v>1231</v>
      </c>
      <c r="C383" t="s">
        <v>1235</v>
      </c>
      <c r="D383" t="s">
        <v>1236</v>
      </c>
      <c r="E383" t="s">
        <v>120</v>
      </c>
      <c r="F383" s="10">
        <v>1</v>
      </c>
      <c r="G383" s="10">
        <v>2710.27</v>
      </c>
      <c r="H383" s="10">
        <v>2710.27</v>
      </c>
      <c r="J383">
        <v>45253</v>
      </c>
      <c r="K383" t="str">
        <v>South</v>
      </c>
      <c r="L383" t="str">
        <v>Karnataka</v>
      </c>
      <c r="M383" t="str">
        <v>Hubli</v>
      </c>
      <c r="N383" t="str">
        <v>Groceries</v>
      </c>
      <c r="O383">
        <v>12</v>
      </c>
      <c r="P383">
        <v>1748.6</v>
      </c>
      <c r="Q383">
        <v>20983.200000000001</v>
      </c>
    </row>
    <row r="384" spans="1:17">
      <c r="A384" s="19">
        <v>45233</v>
      </c>
      <c r="B384" t="s">
        <v>1229</v>
      </c>
      <c r="C384" t="s">
        <v>1230</v>
      </c>
      <c r="D384" t="s">
        <v>1248</v>
      </c>
      <c r="E384" t="s">
        <v>120</v>
      </c>
      <c r="F384" s="10">
        <v>3</v>
      </c>
      <c r="G384" s="10">
        <v>884.5</v>
      </c>
      <c r="H384" s="10">
        <v>2653.5</v>
      </c>
      <c r="J384">
        <v>45019</v>
      </c>
      <c r="K384" t="str">
        <v>South</v>
      </c>
      <c r="L384" t="str">
        <v>Karnataka</v>
      </c>
      <c r="M384" t="str">
        <v>Hubli</v>
      </c>
      <c r="N384" t="str">
        <v>Groceries</v>
      </c>
      <c r="O384">
        <v>6</v>
      </c>
      <c r="P384">
        <v>3466.7</v>
      </c>
      <c r="Q384">
        <v>20800.2</v>
      </c>
    </row>
    <row r="385" spans="1:17">
      <c r="A385" s="19">
        <v>45199</v>
      </c>
      <c r="B385" t="s">
        <v>1229</v>
      </c>
      <c r="C385" t="s">
        <v>1230</v>
      </c>
      <c r="D385" t="s">
        <v>1246</v>
      </c>
      <c r="E385" t="s">
        <v>120</v>
      </c>
      <c r="F385" s="10">
        <v>1</v>
      </c>
      <c r="G385" s="10">
        <v>2571.59</v>
      </c>
      <c r="H385" s="10">
        <v>2571.59</v>
      </c>
      <c r="J385">
        <v>45021</v>
      </c>
      <c r="K385" t="str">
        <v>South</v>
      </c>
      <c r="L385" t="str">
        <v>Karnataka</v>
      </c>
      <c r="M385" t="str">
        <v>Hubli</v>
      </c>
      <c r="N385" t="str">
        <v>Groceries</v>
      </c>
      <c r="O385">
        <v>6</v>
      </c>
      <c r="P385">
        <v>3457.43</v>
      </c>
      <c r="Q385">
        <v>20744.580000000002</v>
      </c>
    </row>
    <row r="386" spans="1:17">
      <c r="A386" s="19">
        <v>45284</v>
      </c>
      <c r="B386" t="s">
        <v>1231</v>
      </c>
      <c r="C386" t="s">
        <v>1232</v>
      </c>
      <c r="D386" t="s">
        <v>1233</v>
      </c>
      <c r="E386" t="s">
        <v>120</v>
      </c>
      <c r="F386" s="10">
        <v>15</v>
      </c>
      <c r="G386" s="10">
        <v>170.6</v>
      </c>
      <c r="H386" s="10">
        <v>2559</v>
      </c>
      <c r="J386">
        <v>45049</v>
      </c>
      <c r="K386" t="str">
        <v>South</v>
      </c>
      <c r="L386" t="str">
        <v>Karnataka</v>
      </c>
      <c r="M386" t="str">
        <v>Hubli</v>
      </c>
      <c r="N386" t="str">
        <v>Groceries</v>
      </c>
      <c r="O386">
        <v>5</v>
      </c>
      <c r="P386">
        <v>3898.88</v>
      </c>
      <c r="Q386">
        <v>19494.400000000001</v>
      </c>
    </row>
    <row r="387" spans="1:17">
      <c r="A387" s="19">
        <v>45095</v>
      </c>
      <c r="B387" t="s">
        <v>1231</v>
      </c>
      <c r="C387" t="s">
        <v>1232</v>
      </c>
      <c r="D387" t="s">
        <v>1240</v>
      </c>
      <c r="E387" t="s">
        <v>120</v>
      </c>
      <c r="F387" s="10">
        <v>8</v>
      </c>
      <c r="G387" s="10">
        <v>308.68</v>
      </c>
      <c r="H387" s="10">
        <v>2469.44</v>
      </c>
      <c r="J387">
        <v>44965</v>
      </c>
      <c r="K387" t="str">
        <v>South</v>
      </c>
      <c r="L387" t="str">
        <v>Karnataka</v>
      </c>
      <c r="M387" t="str">
        <v>Hubli</v>
      </c>
      <c r="N387" t="str">
        <v>Groceries</v>
      </c>
      <c r="O387">
        <v>13</v>
      </c>
      <c r="P387">
        <v>1030.9000000000001</v>
      </c>
      <c r="Q387">
        <v>13401.7</v>
      </c>
    </row>
    <row r="388" spans="1:17">
      <c r="A388" s="19">
        <v>45104</v>
      </c>
      <c r="B388" t="s">
        <v>1231</v>
      </c>
      <c r="C388" t="s">
        <v>1235</v>
      </c>
      <c r="D388" t="s">
        <v>1241</v>
      </c>
      <c r="E388" t="s">
        <v>120</v>
      </c>
      <c r="F388" s="10">
        <v>3</v>
      </c>
      <c r="G388" s="10">
        <v>772.21</v>
      </c>
      <c r="H388" s="10">
        <v>2316.63</v>
      </c>
      <c r="J388">
        <v>45270</v>
      </c>
      <c r="K388" t="str">
        <v>South</v>
      </c>
      <c r="L388" t="str">
        <v>Karnataka</v>
      </c>
      <c r="M388" t="str">
        <v>Hubli</v>
      </c>
      <c r="N388" t="str">
        <v>Groceries</v>
      </c>
      <c r="O388">
        <v>10</v>
      </c>
      <c r="P388">
        <v>642.49</v>
      </c>
      <c r="Q388">
        <v>6424.9</v>
      </c>
    </row>
    <row r="389" spans="1:17">
      <c r="A389" s="19">
        <v>45013</v>
      </c>
      <c r="B389" t="s">
        <v>1242</v>
      </c>
      <c r="C389" t="s">
        <v>1243</v>
      </c>
      <c r="D389" t="s">
        <v>1245</v>
      </c>
      <c r="E389" t="s">
        <v>120</v>
      </c>
      <c r="F389" s="10">
        <v>1</v>
      </c>
      <c r="G389" s="10">
        <v>1967.8</v>
      </c>
      <c r="H389" s="10">
        <v>1967.8</v>
      </c>
      <c r="J389">
        <v>45028</v>
      </c>
      <c r="K389" t="str">
        <v>South</v>
      </c>
      <c r="L389" t="str">
        <v>Karnataka</v>
      </c>
      <c r="M389" t="str">
        <v>Hubli</v>
      </c>
      <c r="N389" t="str">
        <v>Groceries</v>
      </c>
      <c r="O389">
        <v>2</v>
      </c>
      <c r="P389">
        <v>2493.06</v>
      </c>
      <c r="Q389">
        <v>4986.12</v>
      </c>
    </row>
    <row r="390" spans="1:17">
      <c r="A390" s="19">
        <v>45082</v>
      </c>
      <c r="B390" t="s">
        <v>1242</v>
      </c>
      <c r="C390" t="s">
        <v>1243</v>
      </c>
      <c r="D390" t="s">
        <v>1247</v>
      </c>
      <c r="E390" t="s">
        <v>120</v>
      </c>
      <c r="F390" s="10">
        <v>1</v>
      </c>
      <c r="G390" s="10">
        <v>1591.88</v>
      </c>
      <c r="H390" s="10">
        <v>1591.88</v>
      </c>
      <c r="J390">
        <v>44997</v>
      </c>
      <c r="K390" t="str">
        <v>South</v>
      </c>
      <c r="L390" t="str">
        <v>Karnataka</v>
      </c>
      <c r="M390" t="str">
        <v>Hubli</v>
      </c>
      <c r="N390" t="str">
        <v>Groceries</v>
      </c>
      <c r="O390">
        <v>2</v>
      </c>
      <c r="P390">
        <v>1888.47</v>
      </c>
      <c r="Q390">
        <v>3776.94</v>
      </c>
    </row>
    <row r="391" spans="1:17">
      <c r="A391" s="19">
        <v>45127</v>
      </c>
      <c r="B391" t="s">
        <v>1231</v>
      </c>
      <c r="C391" t="s">
        <v>1232</v>
      </c>
      <c r="D391" t="s">
        <v>1234</v>
      </c>
      <c r="E391" t="s">
        <v>120</v>
      </c>
      <c r="F391" s="10">
        <v>7</v>
      </c>
      <c r="G391" s="10">
        <v>222.61</v>
      </c>
      <c r="H391" s="10">
        <v>1558.27</v>
      </c>
      <c r="J391">
        <v>45224</v>
      </c>
      <c r="K391" t="str">
        <v>South</v>
      </c>
      <c r="L391" t="str">
        <v>Karnataka</v>
      </c>
      <c r="M391" t="str">
        <v>Hubli</v>
      </c>
      <c r="N391" t="str">
        <v>Stationery</v>
      </c>
      <c r="O391">
        <v>18</v>
      </c>
      <c r="P391">
        <v>4888.0200000000004</v>
      </c>
      <c r="Q391">
        <v>87984.36</v>
      </c>
    </row>
    <row r="392" spans="1:17">
      <c r="A392" s="19">
        <v>45114</v>
      </c>
      <c r="B392" t="s">
        <v>1231</v>
      </c>
      <c r="C392" t="s">
        <v>1232</v>
      </c>
      <c r="D392" t="s">
        <v>1234</v>
      </c>
      <c r="E392" t="s">
        <v>120</v>
      </c>
      <c r="F392" s="10">
        <v>1</v>
      </c>
      <c r="G392" s="10">
        <v>1355.14</v>
      </c>
      <c r="H392" s="10">
        <v>1355.14</v>
      </c>
      <c r="J392">
        <v>44985</v>
      </c>
      <c r="K392" t="str">
        <v>South</v>
      </c>
      <c r="L392" t="str">
        <v>Karnataka</v>
      </c>
      <c r="M392" t="str">
        <v>Hubli</v>
      </c>
      <c r="N392" t="str">
        <v>Stationery</v>
      </c>
      <c r="O392">
        <v>18</v>
      </c>
      <c r="P392">
        <v>3102.47</v>
      </c>
      <c r="Q392">
        <v>55844.46</v>
      </c>
    </row>
    <row r="393" spans="1:17">
      <c r="A393" s="19">
        <v>44940</v>
      </c>
      <c r="B393" t="s">
        <v>1231</v>
      </c>
      <c r="C393" t="s">
        <v>1235</v>
      </c>
      <c r="D393" t="s">
        <v>1236</v>
      </c>
      <c r="E393" t="s">
        <v>120</v>
      </c>
      <c r="F393" s="10">
        <v>2</v>
      </c>
      <c r="G393" s="10">
        <v>659.83</v>
      </c>
      <c r="H393" s="10">
        <v>1319.66</v>
      </c>
      <c r="J393">
        <v>45226</v>
      </c>
      <c r="K393" t="str">
        <v>South</v>
      </c>
      <c r="L393" t="str">
        <v>Karnataka</v>
      </c>
      <c r="M393" t="str">
        <v>Hubli</v>
      </c>
      <c r="N393" t="str">
        <v>Stationery</v>
      </c>
      <c r="O393">
        <v>19</v>
      </c>
      <c r="P393">
        <v>2386.59</v>
      </c>
      <c r="Q393">
        <v>45345.21</v>
      </c>
    </row>
    <row r="394" spans="1:17">
      <c r="A394" s="19">
        <v>45162</v>
      </c>
      <c r="B394" t="s">
        <v>1229</v>
      </c>
      <c r="C394" t="s">
        <v>1230</v>
      </c>
      <c r="D394" t="s">
        <v>1246</v>
      </c>
      <c r="E394" t="s">
        <v>120</v>
      </c>
      <c r="F394" s="10">
        <v>3</v>
      </c>
      <c r="G394" s="10">
        <v>403.5</v>
      </c>
      <c r="H394" s="10">
        <v>1210.5</v>
      </c>
      <c r="J394">
        <v>45250</v>
      </c>
      <c r="K394" t="str">
        <v>South</v>
      </c>
      <c r="L394" t="str">
        <v>Karnataka</v>
      </c>
      <c r="M394" t="str">
        <v>Hubli</v>
      </c>
      <c r="N394" t="str">
        <v>Stationery</v>
      </c>
      <c r="O394">
        <v>12</v>
      </c>
      <c r="P394">
        <v>3703.31</v>
      </c>
      <c r="Q394">
        <v>44439.72</v>
      </c>
    </row>
    <row r="395" spans="1:17">
      <c r="A395" s="19">
        <v>45257</v>
      </c>
      <c r="B395" t="s">
        <v>1229</v>
      </c>
      <c r="C395" t="s">
        <v>1230</v>
      </c>
      <c r="D395" t="s">
        <v>1246</v>
      </c>
      <c r="E395" t="s">
        <v>120</v>
      </c>
      <c r="F395" s="10">
        <v>1</v>
      </c>
      <c r="G395" s="10">
        <v>983.24</v>
      </c>
      <c r="H395" s="10">
        <v>983.24</v>
      </c>
      <c r="J395">
        <v>45201</v>
      </c>
      <c r="K395" t="str">
        <v>South</v>
      </c>
      <c r="L395" t="str">
        <v>Karnataka</v>
      </c>
      <c r="M395" t="str">
        <v>Hubli</v>
      </c>
      <c r="N395" t="str">
        <v>Stationery</v>
      </c>
      <c r="O395">
        <v>9</v>
      </c>
      <c r="P395">
        <v>4781.72</v>
      </c>
      <c r="Q395">
        <v>43035.48</v>
      </c>
    </row>
    <row r="396" spans="1:17">
      <c r="A396" s="19">
        <v>45288</v>
      </c>
      <c r="B396" t="s">
        <v>1231</v>
      </c>
      <c r="C396" t="s">
        <v>1235</v>
      </c>
      <c r="D396" t="s">
        <v>1238</v>
      </c>
      <c r="E396" t="s">
        <v>120</v>
      </c>
      <c r="F396" s="10">
        <v>1</v>
      </c>
      <c r="G396" s="10">
        <v>979.17</v>
      </c>
      <c r="H396" s="10">
        <v>979.17</v>
      </c>
      <c r="J396">
        <v>45003</v>
      </c>
      <c r="K396" t="str">
        <v>South</v>
      </c>
      <c r="L396" t="str">
        <v>Karnataka</v>
      </c>
      <c r="M396" t="str">
        <v>Hubli</v>
      </c>
      <c r="N396" t="str">
        <v>Stationery</v>
      </c>
      <c r="O396">
        <v>14</v>
      </c>
      <c r="P396">
        <v>2746.27</v>
      </c>
      <c r="Q396">
        <v>38447.78</v>
      </c>
    </row>
    <row r="397" spans="1:17">
      <c r="A397" s="19">
        <v>45236</v>
      </c>
      <c r="B397" t="s">
        <v>1231</v>
      </c>
      <c r="C397" t="s">
        <v>1232</v>
      </c>
      <c r="D397" t="s">
        <v>1240</v>
      </c>
      <c r="E397" t="s">
        <v>120</v>
      </c>
      <c r="F397" s="10">
        <v>1</v>
      </c>
      <c r="G397" s="10">
        <v>585.58000000000004</v>
      </c>
      <c r="H397" s="10">
        <v>585.58000000000004</v>
      </c>
      <c r="J397">
        <v>45255</v>
      </c>
      <c r="K397" t="str">
        <v>South</v>
      </c>
      <c r="L397" t="str">
        <v>Karnataka</v>
      </c>
      <c r="M397" t="str">
        <v>Hubli</v>
      </c>
      <c r="N397" t="str">
        <v>Stationery</v>
      </c>
      <c r="O397">
        <v>15</v>
      </c>
      <c r="P397">
        <v>2081.27</v>
      </c>
      <c r="Q397">
        <v>31219.05</v>
      </c>
    </row>
    <row r="398" spans="1:17">
      <c r="A398" s="19">
        <v>45001</v>
      </c>
      <c r="B398" t="s">
        <v>1229</v>
      </c>
      <c r="C398" t="s">
        <v>1237</v>
      </c>
      <c r="D398" t="s">
        <v>1171</v>
      </c>
      <c r="E398" t="s">
        <v>120</v>
      </c>
      <c r="F398" s="10">
        <v>1</v>
      </c>
      <c r="G398" s="10">
        <v>568.54999999999995</v>
      </c>
      <c r="H398" s="10">
        <v>568.54999999999995</v>
      </c>
      <c r="J398">
        <v>44958</v>
      </c>
      <c r="K398" t="str">
        <v>South</v>
      </c>
      <c r="L398" t="str">
        <v>Karnataka</v>
      </c>
      <c r="M398" t="str">
        <v>Hubli</v>
      </c>
      <c r="N398" t="str">
        <v>Stationery</v>
      </c>
      <c r="O398">
        <v>20</v>
      </c>
      <c r="P398">
        <v>1514.3</v>
      </c>
      <c r="Q398">
        <v>30286</v>
      </c>
    </row>
    <row r="399" spans="1:17">
      <c r="A399" s="19">
        <v>44955</v>
      </c>
      <c r="B399" t="s">
        <v>1231</v>
      </c>
      <c r="C399" t="s">
        <v>1235</v>
      </c>
      <c r="D399" t="s">
        <v>1238</v>
      </c>
      <c r="E399" t="s">
        <v>120</v>
      </c>
      <c r="F399" s="10">
        <v>2</v>
      </c>
      <c r="G399" s="10">
        <v>161.19</v>
      </c>
      <c r="H399" s="10">
        <v>322.38</v>
      </c>
      <c r="J399">
        <v>44978</v>
      </c>
      <c r="K399" t="str">
        <v>South</v>
      </c>
      <c r="L399" t="str">
        <v>Karnataka</v>
      </c>
      <c r="M399" t="str">
        <v>Hubli</v>
      </c>
      <c r="N399" t="str">
        <v>Stationery</v>
      </c>
      <c r="O399">
        <v>17</v>
      </c>
      <c r="P399">
        <v>1777.42</v>
      </c>
      <c r="Q399">
        <v>30216.14</v>
      </c>
    </row>
    <row r="400" spans="1:17">
      <c r="A400" s="19">
        <v>45267</v>
      </c>
      <c r="B400" t="s">
        <v>1242</v>
      </c>
      <c r="C400" t="s">
        <v>1243</v>
      </c>
      <c r="D400" t="s">
        <v>1244</v>
      </c>
      <c r="E400" t="s">
        <v>132</v>
      </c>
      <c r="F400" s="10">
        <v>20</v>
      </c>
      <c r="G400" s="10">
        <v>4821.82</v>
      </c>
      <c r="H400" s="10">
        <v>96436.4</v>
      </c>
      <c r="J400">
        <v>45037</v>
      </c>
      <c r="K400" t="str">
        <v>South</v>
      </c>
      <c r="L400" t="str">
        <v>Karnataka</v>
      </c>
      <c r="M400" t="str">
        <v>Hubli</v>
      </c>
      <c r="N400" t="str">
        <v>Stationery</v>
      </c>
      <c r="O400">
        <v>17</v>
      </c>
      <c r="P400">
        <v>1071.3</v>
      </c>
      <c r="Q400">
        <v>18212.099999999999</v>
      </c>
    </row>
    <row r="401" spans="1:17">
      <c r="A401" s="19">
        <v>44942</v>
      </c>
      <c r="B401" t="s">
        <v>1231</v>
      </c>
      <c r="C401" t="s">
        <v>1232</v>
      </c>
      <c r="D401" t="s">
        <v>1240</v>
      </c>
      <c r="E401" t="s">
        <v>132</v>
      </c>
      <c r="F401" s="10">
        <v>19</v>
      </c>
      <c r="G401" s="10">
        <v>4771.5</v>
      </c>
      <c r="H401" s="10">
        <v>90658.5</v>
      </c>
      <c r="J401">
        <v>45069</v>
      </c>
      <c r="K401" t="str">
        <v>South</v>
      </c>
      <c r="L401" t="str">
        <v>Karnataka</v>
      </c>
      <c r="M401" t="str">
        <v>Hubli</v>
      </c>
      <c r="N401" t="str">
        <v>Stationery</v>
      </c>
      <c r="O401">
        <v>2</v>
      </c>
      <c r="P401">
        <v>4762.71</v>
      </c>
      <c r="Q401">
        <v>9525.42</v>
      </c>
    </row>
    <row r="402" spans="1:17">
      <c r="A402" s="19">
        <v>45051</v>
      </c>
      <c r="B402" t="s">
        <v>1229</v>
      </c>
      <c r="C402" t="s">
        <v>1237</v>
      </c>
      <c r="D402" t="s">
        <v>1171</v>
      </c>
      <c r="E402" t="s">
        <v>132</v>
      </c>
      <c r="F402" s="10">
        <v>20</v>
      </c>
      <c r="G402" s="10">
        <v>4270.08</v>
      </c>
      <c r="H402" s="10">
        <v>85401.600000000006</v>
      </c>
      <c r="J402">
        <v>44997</v>
      </c>
      <c r="K402" t="str">
        <v>South</v>
      </c>
      <c r="L402" t="str">
        <v>Karnataka</v>
      </c>
      <c r="M402" t="str">
        <v>Hubli</v>
      </c>
      <c r="N402" t="str">
        <v>Stationery</v>
      </c>
      <c r="O402">
        <v>6</v>
      </c>
      <c r="P402">
        <v>827.78</v>
      </c>
      <c r="Q402">
        <v>4966.68</v>
      </c>
    </row>
    <row r="403" spans="1:17">
      <c r="A403" s="19">
        <v>45114</v>
      </c>
      <c r="B403" t="s">
        <v>1231</v>
      </c>
      <c r="C403" t="s">
        <v>1235</v>
      </c>
      <c r="D403" t="s">
        <v>1236</v>
      </c>
      <c r="E403" t="s">
        <v>132</v>
      </c>
      <c r="F403" s="10">
        <v>19</v>
      </c>
      <c r="G403" s="10">
        <v>4421.6899999999996</v>
      </c>
      <c r="H403" s="10">
        <v>84012.11</v>
      </c>
      <c r="J403">
        <v>45199</v>
      </c>
      <c r="K403" t="str">
        <v>South</v>
      </c>
      <c r="L403" t="str">
        <v>Karnataka</v>
      </c>
      <c r="M403" t="str">
        <v>Hubli</v>
      </c>
      <c r="N403" t="str">
        <v>Stationery</v>
      </c>
      <c r="O403">
        <v>1</v>
      </c>
      <c r="P403">
        <v>3754.28</v>
      </c>
      <c r="Q403">
        <v>3754.28</v>
      </c>
    </row>
    <row r="404" spans="1:17">
      <c r="A404" s="19">
        <v>45290</v>
      </c>
      <c r="B404" t="s">
        <v>1231</v>
      </c>
      <c r="C404" t="s">
        <v>1235</v>
      </c>
      <c r="D404" t="s">
        <v>1238</v>
      </c>
      <c r="E404" t="s">
        <v>132</v>
      </c>
      <c r="F404" s="10">
        <v>19</v>
      </c>
      <c r="G404" s="10">
        <v>4411.57</v>
      </c>
      <c r="H404" s="10">
        <v>83819.83</v>
      </c>
      <c r="J404">
        <v>45181</v>
      </c>
      <c r="K404" t="str">
        <v>South</v>
      </c>
      <c r="L404" t="str">
        <v>Karnataka</v>
      </c>
      <c r="M404" t="str">
        <v>Hubli</v>
      </c>
      <c r="N404" t="str">
        <v>Stationery</v>
      </c>
      <c r="O404">
        <v>11</v>
      </c>
      <c r="P404">
        <v>268.13</v>
      </c>
      <c r="Q404">
        <v>2949.43</v>
      </c>
    </row>
    <row r="405" spans="1:17">
      <c r="A405" s="19">
        <v>45260</v>
      </c>
      <c r="B405" t="s">
        <v>1231</v>
      </c>
      <c r="C405" t="s">
        <v>1232</v>
      </c>
      <c r="D405" t="s">
        <v>1240</v>
      </c>
      <c r="E405" t="s">
        <v>132</v>
      </c>
      <c r="F405" s="10">
        <v>17</v>
      </c>
      <c r="G405" s="10">
        <v>4890.5</v>
      </c>
      <c r="H405" s="10">
        <v>83138.5</v>
      </c>
      <c r="J405">
        <v>45008</v>
      </c>
      <c r="K405" t="str">
        <v>North</v>
      </c>
      <c r="L405" t="str">
        <v>Delhi</v>
      </c>
      <c r="M405" t="str">
        <v>Karol Bagh</v>
      </c>
      <c r="N405" t="str">
        <v>Clothing</v>
      </c>
      <c r="O405">
        <v>20</v>
      </c>
      <c r="P405">
        <v>2580.02</v>
      </c>
      <c r="Q405">
        <v>51600.4</v>
      </c>
    </row>
    <row r="406" spans="1:17">
      <c r="A406" s="19">
        <v>45113</v>
      </c>
      <c r="B406" t="s">
        <v>1229</v>
      </c>
      <c r="C406" t="s">
        <v>1230</v>
      </c>
      <c r="D406" t="s">
        <v>1248</v>
      </c>
      <c r="E406" t="s">
        <v>132</v>
      </c>
      <c r="F406" s="10">
        <v>19</v>
      </c>
      <c r="G406" s="10">
        <v>4348.7299999999996</v>
      </c>
      <c r="H406" s="10">
        <v>82625.87</v>
      </c>
      <c r="J406">
        <v>45174</v>
      </c>
      <c r="K406" t="str">
        <v>North</v>
      </c>
      <c r="L406" t="str">
        <v>Delhi</v>
      </c>
      <c r="M406" t="str">
        <v>Karol Bagh</v>
      </c>
      <c r="N406" t="str">
        <v>Clothing</v>
      </c>
      <c r="O406">
        <v>13</v>
      </c>
      <c r="P406">
        <v>3724.27</v>
      </c>
      <c r="Q406">
        <v>48415.51</v>
      </c>
    </row>
    <row r="407" spans="1:17">
      <c r="A407" s="19">
        <v>45258</v>
      </c>
      <c r="B407" t="s">
        <v>1229</v>
      </c>
      <c r="C407" t="s">
        <v>1230</v>
      </c>
      <c r="D407" t="s">
        <v>1169</v>
      </c>
      <c r="E407" t="s">
        <v>132</v>
      </c>
      <c r="F407" s="10">
        <v>20</v>
      </c>
      <c r="G407" s="10">
        <v>4066.74</v>
      </c>
      <c r="H407" s="10">
        <v>81334.8</v>
      </c>
      <c r="J407">
        <v>45249</v>
      </c>
      <c r="K407" t="str">
        <v>North</v>
      </c>
      <c r="L407" t="str">
        <v>Delhi</v>
      </c>
      <c r="M407" t="str">
        <v>Karol Bagh</v>
      </c>
      <c r="N407" t="str">
        <v>Clothing</v>
      </c>
      <c r="O407">
        <v>18</v>
      </c>
      <c r="P407">
        <v>2149.9899999999998</v>
      </c>
      <c r="Q407">
        <v>38699.82</v>
      </c>
    </row>
    <row r="408" spans="1:17">
      <c r="A408" s="19">
        <v>45097</v>
      </c>
      <c r="B408" t="s">
        <v>1242</v>
      </c>
      <c r="C408" t="s">
        <v>1243</v>
      </c>
      <c r="D408" t="s">
        <v>1245</v>
      </c>
      <c r="E408" t="s">
        <v>132</v>
      </c>
      <c r="F408" s="10">
        <v>20</v>
      </c>
      <c r="G408" s="10">
        <v>4035.61</v>
      </c>
      <c r="H408" s="10">
        <v>80712.2</v>
      </c>
      <c r="J408">
        <v>45228</v>
      </c>
      <c r="K408" t="str">
        <v>North</v>
      </c>
      <c r="L408" t="str">
        <v>Delhi</v>
      </c>
      <c r="M408" t="str">
        <v>Karol Bagh</v>
      </c>
      <c r="N408" t="str">
        <v>Clothing</v>
      </c>
      <c r="O408">
        <v>7</v>
      </c>
      <c r="P408">
        <v>3415.15</v>
      </c>
      <c r="Q408">
        <v>23906.05</v>
      </c>
    </row>
    <row r="409" spans="1:17">
      <c r="A409" s="19">
        <v>45127</v>
      </c>
      <c r="B409" t="s">
        <v>1242</v>
      </c>
      <c r="C409" t="s">
        <v>1243</v>
      </c>
      <c r="D409" t="s">
        <v>1245</v>
      </c>
      <c r="E409" t="s">
        <v>132</v>
      </c>
      <c r="F409" s="10">
        <v>17</v>
      </c>
      <c r="G409" s="10">
        <v>4502.3900000000003</v>
      </c>
      <c r="H409" s="10">
        <v>76540.63</v>
      </c>
      <c r="J409">
        <v>45245</v>
      </c>
      <c r="K409" t="str">
        <v>North</v>
      </c>
      <c r="L409" t="str">
        <v>Delhi</v>
      </c>
      <c r="M409" t="str">
        <v>Karol Bagh</v>
      </c>
      <c r="N409" t="str">
        <v>Clothing</v>
      </c>
      <c r="O409">
        <v>6</v>
      </c>
      <c r="P409">
        <v>3175.44</v>
      </c>
      <c r="Q409">
        <v>19052.64</v>
      </c>
    </row>
    <row r="410" spans="1:17">
      <c r="A410" s="19">
        <v>45091</v>
      </c>
      <c r="B410" t="s">
        <v>1242</v>
      </c>
      <c r="C410" t="s">
        <v>1243</v>
      </c>
      <c r="D410" t="s">
        <v>1244</v>
      </c>
      <c r="E410" t="s">
        <v>132</v>
      </c>
      <c r="F410" s="10">
        <v>20</v>
      </c>
      <c r="G410" s="10">
        <v>3753.15</v>
      </c>
      <c r="H410" s="10">
        <v>75063</v>
      </c>
      <c r="J410">
        <v>44963</v>
      </c>
      <c r="K410" t="str">
        <v>North</v>
      </c>
      <c r="L410" t="str">
        <v>Delhi</v>
      </c>
      <c r="M410" t="str">
        <v>Karol Bagh</v>
      </c>
      <c r="N410" t="str">
        <v>Clothing</v>
      </c>
      <c r="O410">
        <v>6</v>
      </c>
      <c r="P410">
        <v>2772.51</v>
      </c>
      <c r="Q410">
        <v>16635.060000000001</v>
      </c>
    </row>
    <row r="411" spans="1:17">
      <c r="A411" s="19">
        <v>45223</v>
      </c>
      <c r="B411" t="s">
        <v>1229</v>
      </c>
      <c r="C411" t="s">
        <v>1230</v>
      </c>
      <c r="D411" t="s">
        <v>1248</v>
      </c>
      <c r="E411" t="s">
        <v>132</v>
      </c>
      <c r="F411" s="10">
        <v>19</v>
      </c>
      <c r="G411" s="10">
        <v>3907.56</v>
      </c>
      <c r="H411" s="10">
        <v>74243.64</v>
      </c>
      <c r="J411">
        <v>45033</v>
      </c>
      <c r="K411" t="str">
        <v>North</v>
      </c>
      <c r="L411" t="str">
        <v>Delhi</v>
      </c>
      <c r="M411" t="str">
        <v>Karol Bagh</v>
      </c>
      <c r="N411" t="str">
        <v>Clothing</v>
      </c>
      <c r="O411">
        <v>13</v>
      </c>
      <c r="P411">
        <v>993.43</v>
      </c>
      <c r="Q411">
        <v>12914.59</v>
      </c>
    </row>
    <row r="412" spans="1:17">
      <c r="A412" s="19">
        <v>44944</v>
      </c>
      <c r="B412" t="s">
        <v>1229</v>
      </c>
      <c r="C412" t="s">
        <v>1230</v>
      </c>
      <c r="D412" t="s">
        <v>1246</v>
      </c>
      <c r="E412" t="s">
        <v>132</v>
      </c>
      <c r="F412" s="10">
        <v>16</v>
      </c>
      <c r="G412" s="10">
        <v>4614.01</v>
      </c>
      <c r="H412" s="10">
        <v>73824.160000000003</v>
      </c>
      <c r="J412">
        <v>45109</v>
      </c>
      <c r="K412" t="str">
        <v>North</v>
      </c>
      <c r="L412" t="str">
        <v>Delhi</v>
      </c>
      <c r="M412" t="str">
        <v>Karol Bagh</v>
      </c>
      <c r="N412" t="str">
        <v>Clothing</v>
      </c>
      <c r="O412">
        <v>4</v>
      </c>
      <c r="P412">
        <v>2984.27</v>
      </c>
      <c r="Q412">
        <v>11937.08</v>
      </c>
    </row>
    <row r="413" spans="1:17">
      <c r="A413" s="19">
        <v>45249</v>
      </c>
      <c r="B413" t="s">
        <v>1229</v>
      </c>
      <c r="C413" t="s">
        <v>1237</v>
      </c>
      <c r="D413" t="s">
        <v>1171</v>
      </c>
      <c r="E413" t="s">
        <v>132</v>
      </c>
      <c r="F413" s="10">
        <v>15</v>
      </c>
      <c r="G413" s="10">
        <v>4785.6099999999997</v>
      </c>
      <c r="H413" s="10">
        <v>71784.149999999994</v>
      </c>
      <c r="J413">
        <v>44954</v>
      </c>
      <c r="K413" t="str">
        <v>North</v>
      </c>
      <c r="L413" t="str">
        <v>Delhi</v>
      </c>
      <c r="M413" t="str">
        <v>Karol Bagh</v>
      </c>
      <c r="N413" t="str">
        <v>Clothing</v>
      </c>
      <c r="O413">
        <v>4</v>
      </c>
      <c r="P413">
        <v>2169.61</v>
      </c>
      <c r="Q413">
        <v>8678.44</v>
      </c>
    </row>
    <row r="414" spans="1:17">
      <c r="A414" s="19">
        <v>45129</v>
      </c>
      <c r="B414" t="s">
        <v>1242</v>
      </c>
      <c r="C414" t="s">
        <v>1243</v>
      </c>
      <c r="D414" t="s">
        <v>1244</v>
      </c>
      <c r="E414" t="s">
        <v>132</v>
      </c>
      <c r="F414" s="10">
        <v>19</v>
      </c>
      <c r="G414" s="10">
        <v>3694.62</v>
      </c>
      <c r="H414" s="10">
        <v>70197.78</v>
      </c>
      <c r="J414">
        <v>44960</v>
      </c>
      <c r="K414" t="str">
        <v>North</v>
      </c>
      <c r="L414" t="str">
        <v>Delhi</v>
      </c>
      <c r="M414" t="str">
        <v>Karol Bagh</v>
      </c>
      <c r="N414" t="str">
        <v>Clothing</v>
      </c>
      <c r="O414">
        <v>4</v>
      </c>
      <c r="P414">
        <v>1938.6</v>
      </c>
      <c r="Q414">
        <v>7754.4</v>
      </c>
    </row>
    <row r="415" spans="1:17">
      <c r="A415" s="19">
        <v>44965</v>
      </c>
      <c r="B415" t="s">
        <v>1229</v>
      </c>
      <c r="C415" t="s">
        <v>1230</v>
      </c>
      <c r="D415" t="s">
        <v>1246</v>
      </c>
      <c r="E415" t="s">
        <v>132</v>
      </c>
      <c r="F415" s="10">
        <v>15</v>
      </c>
      <c r="G415" s="10">
        <v>4678.57</v>
      </c>
      <c r="H415" s="10">
        <v>70178.55</v>
      </c>
      <c r="J415">
        <v>45150</v>
      </c>
      <c r="K415" t="str">
        <v>North</v>
      </c>
      <c r="L415" t="str">
        <v>Delhi</v>
      </c>
      <c r="M415" t="str">
        <v>Karol Bagh</v>
      </c>
      <c r="N415" t="str">
        <v>Clothing</v>
      </c>
      <c r="O415">
        <v>15</v>
      </c>
      <c r="P415">
        <v>318.32</v>
      </c>
      <c r="Q415">
        <v>4774.8</v>
      </c>
    </row>
    <row r="416" spans="1:17">
      <c r="A416" s="19">
        <v>45105</v>
      </c>
      <c r="B416" t="s">
        <v>1242</v>
      </c>
      <c r="C416" t="s">
        <v>1243</v>
      </c>
      <c r="D416" t="s">
        <v>1245</v>
      </c>
      <c r="E416" t="s">
        <v>132</v>
      </c>
      <c r="F416" s="10">
        <v>16</v>
      </c>
      <c r="G416" s="10">
        <v>4364.8999999999996</v>
      </c>
      <c r="H416" s="10">
        <v>69838.399999999994</v>
      </c>
      <c r="J416">
        <v>45058</v>
      </c>
      <c r="K416" t="str">
        <v>North</v>
      </c>
      <c r="L416" t="str">
        <v>Delhi</v>
      </c>
      <c r="M416" t="str">
        <v>Karol Bagh</v>
      </c>
      <c r="N416" t="str">
        <v>Clothing</v>
      </c>
      <c r="O416">
        <v>16</v>
      </c>
      <c r="P416">
        <v>199.87</v>
      </c>
      <c r="Q416">
        <v>3197.92</v>
      </c>
    </row>
    <row r="417" spans="1:17">
      <c r="A417" s="19">
        <v>45174</v>
      </c>
      <c r="B417" t="s">
        <v>1229</v>
      </c>
      <c r="C417" t="s">
        <v>1237</v>
      </c>
      <c r="D417" t="s">
        <v>1239</v>
      </c>
      <c r="E417" t="s">
        <v>132</v>
      </c>
      <c r="F417" s="10">
        <v>20</v>
      </c>
      <c r="G417" s="10">
        <v>3474.05</v>
      </c>
      <c r="H417" s="10">
        <v>69481</v>
      </c>
      <c r="J417">
        <v>45227</v>
      </c>
      <c r="K417" t="str">
        <v>North</v>
      </c>
      <c r="L417" t="str">
        <v>Delhi</v>
      </c>
      <c r="M417" t="str">
        <v>Karol Bagh</v>
      </c>
      <c r="N417" t="str">
        <v>Clothing</v>
      </c>
      <c r="O417">
        <v>12</v>
      </c>
      <c r="P417">
        <v>225.88</v>
      </c>
      <c r="Q417">
        <v>2710.56</v>
      </c>
    </row>
    <row r="418" spans="1:17">
      <c r="A418" s="19">
        <v>45219</v>
      </c>
      <c r="B418" t="s">
        <v>1229</v>
      </c>
      <c r="C418" t="s">
        <v>1230</v>
      </c>
      <c r="D418" t="s">
        <v>1169</v>
      </c>
      <c r="E418" t="s">
        <v>132</v>
      </c>
      <c r="F418" s="10">
        <v>20</v>
      </c>
      <c r="G418" s="10">
        <v>3470.23</v>
      </c>
      <c r="H418" s="10">
        <v>69404.600000000006</v>
      </c>
      <c r="J418">
        <v>44972</v>
      </c>
      <c r="K418" t="str">
        <v>North</v>
      </c>
      <c r="L418" t="str">
        <v>Delhi</v>
      </c>
      <c r="M418" t="str">
        <v>Karol Bagh</v>
      </c>
      <c r="N418" t="str">
        <v>Clothing</v>
      </c>
      <c r="O418">
        <v>1</v>
      </c>
      <c r="P418">
        <v>2466.0100000000002</v>
      </c>
      <c r="Q418">
        <v>2466.0100000000002</v>
      </c>
    </row>
    <row r="419" spans="1:17">
      <c r="A419" s="19">
        <v>45177</v>
      </c>
      <c r="B419" t="s">
        <v>1242</v>
      </c>
      <c r="C419" t="s">
        <v>1243</v>
      </c>
      <c r="D419" t="s">
        <v>1245</v>
      </c>
      <c r="E419" t="s">
        <v>132</v>
      </c>
      <c r="F419" s="10">
        <v>17</v>
      </c>
      <c r="G419" s="10">
        <v>4033.84</v>
      </c>
      <c r="H419" s="10">
        <v>68575.28</v>
      </c>
      <c r="J419">
        <v>45033</v>
      </c>
      <c r="K419" t="str">
        <v>North</v>
      </c>
      <c r="L419" t="str">
        <v>Delhi</v>
      </c>
      <c r="M419" t="str">
        <v>Karol Bagh</v>
      </c>
      <c r="N419" t="str">
        <v>Electronics</v>
      </c>
      <c r="O419">
        <v>13</v>
      </c>
      <c r="P419">
        <v>4542.74</v>
      </c>
      <c r="Q419">
        <v>59055.62</v>
      </c>
    </row>
    <row r="420" spans="1:17">
      <c r="A420" s="19">
        <v>45266</v>
      </c>
      <c r="B420" t="s">
        <v>1229</v>
      </c>
      <c r="C420" t="s">
        <v>1230</v>
      </c>
      <c r="D420" t="s">
        <v>1246</v>
      </c>
      <c r="E420" t="s">
        <v>132</v>
      </c>
      <c r="F420" s="10">
        <v>14</v>
      </c>
      <c r="G420" s="10">
        <v>4839.1099999999997</v>
      </c>
      <c r="H420" s="10">
        <v>67747.539999999994</v>
      </c>
      <c r="J420">
        <v>45055</v>
      </c>
      <c r="K420" t="str">
        <v>North</v>
      </c>
      <c r="L420" t="str">
        <v>Delhi</v>
      </c>
      <c r="M420" t="str">
        <v>Karol Bagh</v>
      </c>
      <c r="N420" t="str">
        <v>Electronics</v>
      </c>
      <c r="O420">
        <v>12</v>
      </c>
      <c r="P420">
        <v>2581.09</v>
      </c>
      <c r="Q420">
        <v>30973.08</v>
      </c>
    </row>
    <row r="421" spans="1:17">
      <c r="A421" s="19">
        <v>45201</v>
      </c>
      <c r="B421" t="s">
        <v>1229</v>
      </c>
      <c r="C421" t="s">
        <v>1230</v>
      </c>
      <c r="D421" t="s">
        <v>1248</v>
      </c>
      <c r="E421" t="s">
        <v>132</v>
      </c>
      <c r="F421" s="10">
        <v>17</v>
      </c>
      <c r="G421" s="10">
        <v>3971.7</v>
      </c>
      <c r="H421" s="10">
        <v>67518.899999999994</v>
      </c>
      <c r="J421">
        <v>45144</v>
      </c>
      <c r="K421" t="str">
        <v>North</v>
      </c>
      <c r="L421" t="str">
        <v>Delhi</v>
      </c>
      <c r="M421" t="str">
        <v>Karol Bagh</v>
      </c>
      <c r="N421" t="str">
        <v>Electronics</v>
      </c>
      <c r="O421">
        <v>12</v>
      </c>
      <c r="P421">
        <v>1304.81</v>
      </c>
      <c r="Q421">
        <v>15657.72</v>
      </c>
    </row>
    <row r="422" spans="1:17">
      <c r="A422" s="19">
        <v>45171</v>
      </c>
      <c r="B422" t="s">
        <v>1231</v>
      </c>
      <c r="C422" t="s">
        <v>1232</v>
      </c>
      <c r="D422" t="s">
        <v>1240</v>
      </c>
      <c r="E422" t="s">
        <v>132</v>
      </c>
      <c r="F422" s="10">
        <v>15</v>
      </c>
      <c r="G422" s="10">
        <v>4426.4399999999996</v>
      </c>
      <c r="H422" s="10">
        <v>66396.600000000006</v>
      </c>
      <c r="J422">
        <v>45191</v>
      </c>
      <c r="K422" t="str">
        <v>North</v>
      </c>
      <c r="L422" t="str">
        <v>Delhi</v>
      </c>
      <c r="M422" t="str">
        <v>Karol Bagh</v>
      </c>
      <c r="N422" t="str">
        <v>Electronics</v>
      </c>
      <c r="O422">
        <v>11</v>
      </c>
      <c r="P422">
        <v>1065.6400000000001</v>
      </c>
      <c r="Q422">
        <v>11722.04</v>
      </c>
    </row>
    <row r="423" spans="1:17">
      <c r="A423" s="19">
        <v>45290</v>
      </c>
      <c r="B423" t="s">
        <v>1231</v>
      </c>
      <c r="C423" t="s">
        <v>1235</v>
      </c>
      <c r="D423" t="s">
        <v>1238</v>
      </c>
      <c r="E423" t="s">
        <v>132</v>
      </c>
      <c r="F423" s="10">
        <v>15</v>
      </c>
      <c r="G423" s="10">
        <v>4402.43</v>
      </c>
      <c r="H423" s="10">
        <v>66036.45</v>
      </c>
      <c r="J423">
        <v>45282</v>
      </c>
      <c r="K423" t="str">
        <v>North</v>
      </c>
      <c r="L423" t="str">
        <v>Delhi</v>
      </c>
      <c r="M423" t="str">
        <v>Karol Bagh</v>
      </c>
      <c r="N423" t="str">
        <v>Electronics</v>
      </c>
      <c r="O423">
        <v>4</v>
      </c>
      <c r="P423">
        <v>1128.8900000000001</v>
      </c>
      <c r="Q423">
        <v>4515.5600000000004</v>
      </c>
    </row>
    <row r="424" spans="1:17">
      <c r="A424" s="19">
        <v>45125</v>
      </c>
      <c r="B424" t="s">
        <v>1229</v>
      </c>
      <c r="C424" t="s">
        <v>1237</v>
      </c>
      <c r="D424" t="s">
        <v>1171</v>
      </c>
      <c r="E424" t="s">
        <v>132</v>
      </c>
      <c r="F424" s="10">
        <v>14</v>
      </c>
      <c r="G424" s="10">
        <v>4649.53</v>
      </c>
      <c r="H424" s="10">
        <v>65093.42</v>
      </c>
      <c r="J424">
        <v>45076</v>
      </c>
      <c r="K424" t="str">
        <v>North</v>
      </c>
      <c r="L424" t="str">
        <v>Delhi</v>
      </c>
      <c r="M424" t="str">
        <v>Karol Bagh</v>
      </c>
      <c r="N424" t="str">
        <v>Electronics</v>
      </c>
      <c r="O424">
        <v>2</v>
      </c>
      <c r="P424">
        <v>2119.5100000000002</v>
      </c>
      <c r="Q424">
        <v>4239.0200000000004</v>
      </c>
    </row>
    <row r="425" spans="1:17">
      <c r="A425" s="19">
        <v>45214</v>
      </c>
      <c r="B425" t="s">
        <v>1229</v>
      </c>
      <c r="C425" t="s">
        <v>1230</v>
      </c>
      <c r="D425" t="s">
        <v>1248</v>
      </c>
      <c r="E425" t="s">
        <v>132</v>
      </c>
      <c r="F425" s="10">
        <v>18</v>
      </c>
      <c r="G425" s="10">
        <v>3602.65</v>
      </c>
      <c r="H425" s="10">
        <v>64847.7</v>
      </c>
      <c r="J425">
        <v>44993</v>
      </c>
      <c r="K425" t="str">
        <v>North</v>
      </c>
      <c r="L425" t="str">
        <v>Delhi</v>
      </c>
      <c r="M425" t="str">
        <v>Karol Bagh</v>
      </c>
      <c r="N425" t="str">
        <v>Electronics</v>
      </c>
      <c r="O425">
        <v>11</v>
      </c>
      <c r="P425">
        <v>377.1</v>
      </c>
      <c r="Q425">
        <v>4148.1000000000004</v>
      </c>
    </row>
    <row r="426" spans="1:17">
      <c r="A426" s="19">
        <v>45181</v>
      </c>
      <c r="B426" t="s">
        <v>1229</v>
      </c>
      <c r="C426" t="s">
        <v>1230</v>
      </c>
      <c r="D426" t="s">
        <v>1248</v>
      </c>
      <c r="E426" t="s">
        <v>132</v>
      </c>
      <c r="F426" s="10">
        <v>17</v>
      </c>
      <c r="G426" s="10">
        <v>3791.82</v>
      </c>
      <c r="H426" s="10">
        <v>64460.94</v>
      </c>
      <c r="J426">
        <v>45082</v>
      </c>
      <c r="K426" t="str">
        <v>North</v>
      </c>
      <c r="L426" t="str">
        <v>Delhi</v>
      </c>
      <c r="M426" t="str">
        <v>Karol Bagh</v>
      </c>
      <c r="N426" t="str">
        <v>Electronics</v>
      </c>
      <c r="O426">
        <v>1</v>
      </c>
      <c r="P426">
        <v>1591.88</v>
      </c>
      <c r="Q426">
        <v>1591.88</v>
      </c>
    </row>
    <row r="427" spans="1:17">
      <c r="A427" s="19">
        <v>45035</v>
      </c>
      <c r="B427" t="s">
        <v>1231</v>
      </c>
      <c r="C427" t="s">
        <v>1232</v>
      </c>
      <c r="D427" t="s">
        <v>1240</v>
      </c>
      <c r="E427" t="s">
        <v>132</v>
      </c>
      <c r="F427" s="10">
        <v>13</v>
      </c>
      <c r="G427" s="10">
        <v>4911.57</v>
      </c>
      <c r="H427" s="10">
        <v>63850.41</v>
      </c>
      <c r="J427">
        <v>44940</v>
      </c>
      <c r="K427" t="str">
        <v>North</v>
      </c>
      <c r="L427" t="str">
        <v>Delhi</v>
      </c>
      <c r="M427" t="str">
        <v>Karol Bagh</v>
      </c>
      <c r="N427" t="str">
        <v>Furniture</v>
      </c>
      <c r="O427">
        <v>12</v>
      </c>
      <c r="P427">
        <v>4011.85</v>
      </c>
      <c r="Q427">
        <v>48142.2</v>
      </c>
    </row>
    <row r="428" spans="1:17">
      <c r="A428" s="19">
        <v>45200</v>
      </c>
      <c r="B428" t="s">
        <v>1229</v>
      </c>
      <c r="C428" t="s">
        <v>1237</v>
      </c>
      <c r="D428" t="s">
        <v>1239</v>
      </c>
      <c r="E428" t="s">
        <v>132</v>
      </c>
      <c r="F428" s="10">
        <v>16</v>
      </c>
      <c r="G428" s="10">
        <v>3988.32</v>
      </c>
      <c r="H428" s="10">
        <v>63813.120000000003</v>
      </c>
      <c r="J428">
        <v>45243</v>
      </c>
      <c r="K428" t="str">
        <v>North</v>
      </c>
      <c r="L428" t="str">
        <v>Delhi</v>
      </c>
      <c r="M428" t="str">
        <v>Karol Bagh</v>
      </c>
      <c r="N428" t="str">
        <v>Furniture</v>
      </c>
      <c r="O428">
        <v>19</v>
      </c>
      <c r="P428">
        <v>2532.7800000000002</v>
      </c>
      <c r="Q428">
        <v>48122.82</v>
      </c>
    </row>
    <row r="429" spans="1:17">
      <c r="A429" s="19">
        <v>44942</v>
      </c>
      <c r="B429" t="s">
        <v>1229</v>
      </c>
      <c r="C429" t="s">
        <v>1230</v>
      </c>
      <c r="D429" t="s">
        <v>1246</v>
      </c>
      <c r="E429" t="s">
        <v>132</v>
      </c>
      <c r="F429" s="10">
        <v>18</v>
      </c>
      <c r="G429" s="10">
        <v>3524.11</v>
      </c>
      <c r="H429" s="10">
        <v>63433.98</v>
      </c>
      <c r="J429">
        <v>44972</v>
      </c>
      <c r="K429" t="str">
        <v>North</v>
      </c>
      <c r="L429" t="str">
        <v>Delhi</v>
      </c>
      <c r="M429" t="str">
        <v>Karol Bagh</v>
      </c>
      <c r="N429" t="str">
        <v>Furniture</v>
      </c>
      <c r="O429">
        <v>7</v>
      </c>
      <c r="P429">
        <v>4803.62</v>
      </c>
      <c r="Q429">
        <v>33625.339999999997</v>
      </c>
    </row>
    <row r="430" spans="1:17">
      <c r="A430" s="19">
        <v>45167</v>
      </c>
      <c r="B430" t="s">
        <v>1231</v>
      </c>
      <c r="C430" t="s">
        <v>1235</v>
      </c>
      <c r="D430" t="s">
        <v>1241</v>
      </c>
      <c r="E430" t="s">
        <v>132</v>
      </c>
      <c r="F430" s="10">
        <v>13</v>
      </c>
      <c r="G430" s="10">
        <v>4650.74</v>
      </c>
      <c r="H430" s="10">
        <v>60459.62</v>
      </c>
      <c r="J430">
        <v>45187</v>
      </c>
      <c r="K430" t="str">
        <v>North</v>
      </c>
      <c r="L430" t="str">
        <v>Delhi</v>
      </c>
      <c r="M430" t="str">
        <v>Karol Bagh</v>
      </c>
      <c r="N430" t="str">
        <v>Furniture</v>
      </c>
      <c r="O430">
        <v>20</v>
      </c>
      <c r="P430">
        <v>1592.52</v>
      </c>
      <c r="Q430">
        <v>31850.400000000001</v>
      </c>
    </row>
    <row r="431" spans="1:17">
      <c r="A431" s="19">
        <v>45201</v>
      </c>
      <c r="B431" t="s">
        <v>1231</v>
      </c>
      <c r="C431" t="s">
        <v>1235</v>
      </c>
      <c r="D431" t="s">
        <v>1238</v>
      </c>
      <c r="E431" t="s">
        <v>132</v>
      </c>
      <c r="F431" s="10">
        <v>12</v>
      </c>
      <c r="G431" s="10">
        <v>4945.7700000000004</v>
      </c>
      <c r="H431" s="10">
        <v>59349.24</v>
      </c>
      <c r="J431">
        <v>44953</v>
      </c>
      <c r="K431" t="str">
        <v>North</v>
      </c>
      <c r="L431" t="str">
        <v>Delhi</v>
      </c>
      <c r="M431" t="str">
        <v>Karol Bagh</v>
      </c>
      <c r="N431" t="str">
        <v>Furniture</v>
      </c>
      <c r="O431">
        <v>9</v>
      </c>
      <c r="P431">
        <v>3095.35</v>
      </c>
      <c r="Q431">
        <v>27858.15</v>
      </c>
    </row>
    <row r="432" spans="1:17">
      <c r="A432" s="19">
        <v>45166</v>
      </c>
      <c r="B432" t="s">
        <v>1231</v>
      </c>
      <c r="C432" t="s">
        <v>1232</v>
      </c>
      <c r="D432" t="s">
        <v>1234</v>
      </c>
      <c r="E432" t="s">
        <v>132</v>
      </c>
      <c r="F432" s="10">
        <v>19</v>
      </c>
      <c r="G432" s="10">
        <v>3074.32</v>
      </c>
      <c r="H432" s="10">
        <v>58412.08</v>
      </c>
      <c r="J432">
        <v>45165</v>
      </c>
      <c r="K432" t="str">
        <v>North</v>
      </c>
      <c r="L432" t="str">
        <v>Delhi</v>
      </c>
      <c r="M432" t="str">
        <v>Karol Bagh</v>
      </c>
      <c r="N432" t="str">
        <v>Furniture</v>
      </c>
      <c r="O432">
        <v>14</v>
      </c>
      <c r="P432">
        <v>1094.1400000000001</v>
      </c>
      <c r="Q432">
        <v>15317.96</v>
      </c>
    </row>
    <row r="433" spans="1:17">
      <c r="A433" s="19">
        <v>45086</v>
      </c>
      <c r="B433" t="s">
        <v>1231</v>
      </c>
      <c r="C433" t="s">
        <v>1235</v>
      </c>
      <c r="D433" t="s">
        <v>1236</v>
      </c>
      <c r="E433" t="s">
        <v>132</v>
      </c>
      <c r="F433" s="10">
        <v>19</v>
      </c>
      <c r="G433" s="10">
        <v>3044.32</v>
      </c>
      <c r="H433" s="10">
        <v>57842.080000000002</v>
      </c>
      <c r="J433">
        <v>44953</v>
      </c>
      <c r="K433" t="str">
        <v>North</v>
      </c>
      <c r="L433" t="str">
        <v>Delhi</v>
      </c>
      <c r="M433" t="str">
        <v>Karol Bagh</v>
      </c>
      <c r="N433" t="str">
        <v>Furniture</v>
      </c>
      <c r="O433">
        <v>8</v>
      </c>
      <c r="P433">
        <v>1314.71</v>
      </c>
      <c r="Q433">
        <v>10517.68</v>
      </c>
    </row>
    <row r="434" spans="1:17">
      <c r="A434" s="19">
        <v>44962</v>
      </c>
      <c r="B434" t="s">
        <v>1231</v>
      </c>
      <c r="C434" t="s">
        <v>1232</v>
      </c>
      <c r="D434" t="s">
        <v>1240</v>
      </c>
      <c r="E434" t="s">
        <v>132</v>
      </c>
      <c r="F434" s="10">
        <v>20</v>
      </c>
      <c r="G434" s="10">
        <v>2860.11</v>
      </c>
      <c r="H434" s="10">
        <v>57202.2</v>
      </c>
      <c r="J434">
        <v>45283</v>
      </c>
      <c r="K434" t="str">
        <v>North</v>
      </c>
      <c r="L434" t="str">
        <v>Delhi</v>
      </c>
      <c r="M434" t="str">
        <v>Karol Bagh</v>
      </c>
      <c r="N434" t="str">
        <v>Furniture</v>
      </c>
      <c r="O434">
        <v>13</v>
      </c>
      <c r="P434">
        <v>802.18</v>
      </c>
      <c r="Q434">
        <v>10428.34</v>
      </c>
    </row>
    <row r="435" spans="1:17">
      <c r="A435" s="19">
        <v>45134</v>
      </c>
      <c r="B435" t="s">
        <v>1231</v>
      </c>
      <c r="C435" t="s">
        <v>1235</v>
      </c>
      <c r="D435" t="s">
        <v>1241</v>
      </c>
      <c r="E435" t="s">
        <v>132</v>
      </c>
      <c r="F435" s="10">
        <v>19</v>
      </c>
      <c r="G435" s="10">
        <v>2848.96</v>
      </c>
      <c r="H435" s="10">
        <v>54130.239999999998</v>
      </c>
      <c r="J435">
        <v>45046</v>
      </c>
      <c r="K435" t="str">
        <v>North</v>
      </c>
      <c r="L435" t="str">
        <v>Delhi</v>
      </c>
      <c r="M435" t="str">
        <v>Karol Bagh</v>
      </c>
      <c r="N435" t="str">
        <v>Furniture</v>
      </c>
      <c r="O435">
        <v>6</v>
      </c>
      <c r="P435">
        <v>1508.35</v>
      </c>
      <c r="Q435">
        <v>9050.1</v>
      </c>
    </row>
    <row r="436" spans="1:17">
      <c r="A436" s="19">
        <v>45034</v>
      </c>
      <c r="B436" t="s">
        <v>1229</v>
      </c>
      <c r="C436" t="s">
        <v>1230</v>
      </c>
      <c r="D436" t="s">
        <v>1248</v>
      </c>
      <c r="E436" t="s">
        <v>132</v>
      </c>
      <c r="F436" s="10">
        <v>11</v>
      </c>
      <c r="G436" s="10">
        <v>4530.5600000000004</v>
      </c>
      <c r="H436" s="10">
        <v>49836.160000000003</v>
      </c>
      <c r="J436">
        <v>45108</v>
      </c>
      <c r="K436" t="str">
        <v>North</v>
      </c>
      <c r="L436" t="str">
        <v>Delhi</v>
      </c>
      <c r="M436" t="str">
        <v>Karol Bagh</v>
      </c>
      <c r="N436" t="str">
        <v>Furniture</v>
      </c>
      <c r="O436">
        <v>16</v>
      </c>
      <c r="P436">
        <v>338.38</v>
      </c>
      <c r="Q436">
        <v>5414.08</v>
      </c>
    </row>
    <row r="437" spans="1:17">
      <c r="A437" s="19">
        <v>45004</v>
      </c>
      <c r="B437" t="s">
        <v>1242</v>
      </c>
      <c r="C437" t="s">
        <v>1243</v>
      </c>
      <c r="D437" t="s">
        <v>1244</v>
      </c>
      <c r="E437" t="s">
        <v>132</v>
      </c>
      <c r="F437" s="10">
        <v>15</v>
      </c>
      <c r="G437" s="10">
        <v>3256.2</v>
      </c>
      <c r="H437" s="10">
        <v>48843</v>
      </c>
      <c r="J437">
        <v>45068</v>
      </c>
      <c r="K437" t="str">
        <v>North</v>
      </c>
      <c r="L437" t="str">
        <v>Delhi</v>
      </c>
      <c r="M437" t="str">
        <v>Karol Bagh</v>
      </c>
      <c r="N437" t="str">
        <v>Furniture</v>
      </c>
      <c r="O437">
        <v>1</v>
      </c>
      <c r="P437">
        <v>4859.6499999999996</v>
      </c>
      <c r="Q437">
        <v>4859.6499999999996</v>
      </c>
    </row>
    <row r="438" spans="1:17">
      <c r="A438" s="19">
        <v>45092</v>
      </c>
      <c r="B438" t="s">
        <v>1242</v>
      </c>
      <c r="C438" t="s">
        <v>1243</v>
      </c>
      <c r="D438" t="s">
        <v>1245</v>
      </c>
      <c r="E438" t="s">
        <v>132</v>
      </c>
      <c r="F438" s="10">
        <v>15</v>
      </c>
      <c r="G438" s="10">
        <v>3218.59</v>
      </c>
      <c r="H438" s="10">
        <v>48278.85</v>
      </c>
      <c r="J438">
        <v>45116</v>
      </c>
      <c r="K438" t="str">
        <v>North</v>
      </c>
      <c r="L438" t="str">
        <v>Delhi</v>
      </c>
      <c r="M438" t="str">
        <v>Karol Bagh</v>
      </c>
      <c r="N438" t="str">
        <v>Groceries</v>
      </c>
      <c r="O438">
        <v>12</v>
      </c>
      <c r="P438">
        <v>4003.52</v>
      </c>
      <c r="Q438">
        <v>48042.239999999998</v>
      </c>
    </row>
    <row r="439" spans="1:17">
      <c r="A439" s="19">
        <v>44940</v>
      </c>
      <c r="B439" t="s">
        <v>1242</v>
      </c>
      <c r="C439" t="s">
        <v>1243</v>
      </c>
      <c r="D439" t="s">
        <v>1247</v>
      </c>
      <c r="E439" t="s">
        <v>132</v>
      </c>
      <c r="F439" s="10">
        <v>12</v>
      </c>
      <c r="G439" s="10">
        <v>4011.85</v>
      </c>
      <c r="H439" s="10">
        <v>48142.2</v>
      </c>
      <c r="J439">
        <v>45071</v>
      </c>
      <c r="K439" t="str">
        <v>North</v>
      </c>
      <c r="L439" t="str">
        <v>Delhi</v>
      </c>
      <c r="M439" t="str">
        <v>Karol Bagh</v>
      </c>
      <c r="N439" t="str">
        <v>Groceries</v>
      </c>
      <c r="O439">
        <v>20</v>
      </c>
      <c r="P439">
        <v>2344.7600000000002</v>
      </c>
      <c r="Q439">
        <v>46895.199999999997</v>
      </c>
    </row>
    <row r="440" spans="1:17">
      <c r="A440" s="19">
        <v>45243</v>
      </c>
      <c r="B440" t="s">
        <v>1242</v>
      </c>
      <c r="C440" t="s">
        <v>1243</v>
      </c>
      <c r="D440" t="s">
        <v>1247</v>
      </c>
      <c r="E440" t="s">
        <v>132</v>
      </c>
      <c r="F440" s="10">
        <v>19</v>
      </c>
      <c r="G440" s="10">
        <v>2532.7800000000002</v>
      </c>
      <c r="H440" s="10">
        <v>48122.82</v>
      </c>
      <c r="J440">
        <v>45142</v>
      </c>
      <c r="K440" t="str">
        <v>North</v>
      </c>
      <c r="L440" t="str">
        <v>Delhi</v>
      </c>
      <c r="M440" t="str">
        <v>Karol Bagh</v>
      </c>
      <c r="N440" t="str">
        <v>Groceries</v>
      </c>
      <c r="O440">
        <v>11</v>
      </c>
      <c r="P440">
        <v>3011.73</v>
      </c>
      <c r="Q440">
        <v>33129.03</v>
      </c>
    </row>
    <row r="441" spans="1:17">
      <c r="A441" s="19">
        <v>45187</v>
      </c>
      <c r="B441" t="s">
        <v>1229</v>
      </c>
      <c r="C441" t="s">
        <v>1230</v>
      </c>
      <c r="D441" t="s">
        <v>1248</v>
      </c>
      <c r="E441" t="s">
        <v>132</v>
      </c>
      <c r="F441" s="10">
        <v>14</v>
      </c>
      <c r="G441" s="10">
        <v>3433.55</v>
      </c>
      <c r="H441" s="10">
        <v>48069.7</v>
      </c>
      <c r="J441">
        <v>44940</v>
      </c>
      <c r="K441" t="str">
        <v>North</v>
      </c>
      <c r="L441" t="str">
        <v>Delhi</v>
      </c>
      <c r="M441" t="str">
        <v>Karol Bagh</v>
      </c>
      <c r="N441" t="str">
        <v>Groceries</v>
      </c>
      <c r="O441">
        <v>9</v>
      </c>
      <c r="P441">
        <v>3137.87</v>
      </c>
      <c r="Q441">
        <v>28240.83</v>
      </c>
    </row>
    <row r="442" spans="1:17">
      <c r="A442" s="19">
        <v>44938</v>
      </c>
      <c r="B442" t="s">
        <v>1231</v>
      </c>
      <c r="C442" t="s">
        <v>1235</v>
      </c>
      <c r="D442" t="s">
        <v>1238</v>
      </c>
      <c r="E442" t="s">
        <v>132</v>
      </c>
      <c r="F442" s="10">
        <v>16</v>
      </c>
      <c r="G442" s="10">
        <v>2976.17</v>
      </c>
      <c r="H442" s="10">
        <v>47618.720000000001</v>
      </c>
      <c r="J442">
        <v>45000</v>
      </c>
      <c r="K442" t="str">
        <v>North</v>
      </c>
      <c r="L442" t="str">
        <v>Delhi</v>
      </c>
      <c r="M442" t="str">
        <v>Karol Bagh</v>
      </c>
      <c r="N442" t="str">
        <v>Groceries</v>
      </c>
      <c r="O442">
        <v>6</v>
      </c>
      <c r="P442">
        <v>4364.67</v>
      </c>
      <c r="Q442">
        <v>26188.02</v>
      </c>
    </row>
    <row r="443" spans="1:17">
      <c r="A443" s="19">
        <v>44929</v>
      </c>
      <c r="B443" t="s">
        <v>1229</v>
      </c>
      <c r="C443" t="s">
        <v>1230</v>
      </c>
      <c r="D443" t="s">
        <v>1248</v>
      </c>
      <c r="E443" t="s">
        <v>132</v>
      </c>
      <c r="F443" s="10">
        <v>11</v>
      </c>
      <c r="G443" s="10">
        <v>4205.55</v>
      </c>
      <c r="H443" s="10">
        <v>46261.05</v>
      </c>
      <c r="J443">
        <v>45245</v>
      </c>
      <c r="K443" t="str">
        <v>North</v>
      </c>
      <c r="L443" t="str">
        <v>Delhi</v>
      </c>
      <c r="M443" t="str">
        <v>Karol Bagh</v>
      </c>
      <c r="N443" t="str">
        <v>Groceries</v>
      </c>
      <c r="O443">
        <v>13</v>
      </c>
      <c r="P443">
        <v>864.09</v>
      </c>
      <c r="Q443">
        <v>11233.17</v>
      </c>
    </row>
    <row r="444" spans="1:17">
      <c r="A444" s="19">
        <v>45133</v>
      </c>
      <c r="B444" t="s">
        <v>1229</v>
      </c>
      <c r="C444" t="s">
        <v>1237</v>
      </c>
      <c r="D444" t="s">
        <v>1173</v>
      </c>
      <c r="E444" t="s">
        <v>132</v>
      </c>
      <c r="F444" s="10">
        <v>16</v>
      </c>
      <c r="G444" s="10">
        <v>2882.65</v>
      </c>
      <c r="H444" s="10">
        <v>46122.400000000001</v>
      </c>
      <c r="J444">
        <v>45090</v>
      </c>
      <c r="K444" t="str">
        <v>North</v>
      </c>
      <c r="L444" t="str">
        <v>Delhi</v>
      </c>
      <c r="M444" t="str">
        <v>Karol Bagh</v>
      </c>
      <c r="N444" t="str">
        <v>Groceries</v>
      </c>
      <c r="O444">
        <v>5</v>
      </c>
      <c r="P444">
        <v>1412.08</v>
      </c>
      <c r="Q444">
        <v>7060.4</v>
      </c>
    </row>
    <row r="445" spans="1:17">
      <c r="A445" s="19">
        <v>45274</v>
      </c>
      <c r="B445" t="s">
        <v>1229</v>
      </c>
      <c r="C445" t="s">
        <v>1230</v>
      </c>
      <c r="D445" t="s">
        <v>1169</v>
      </c>
      <c r="E445" t="s">
        <v>132</v>
      </c>
      <c r="F445" s="10">
        <v>11</v>
      </c>
      <c r="G445" s="10">
        <v>4188.37</v>
      </c>
      <c r="H445" s="10">
        <v>46072.07</v>
      </c>
      <c r="J445">
        <v>44969</v>
      </c>
      <c r="K445" t="str">
        <v>North</v>
      </c>
      <c r="L445" t="str">
        <v>Delhi</v>
      </c>
      <c r="M445" t="str">
        <v>Karol Bagh</v>
      </c>
      <c r="N445" t="str">
        <v>Groceries</v>
      </c>
      <c r="O445">
        <v>9</v>
      </c>
      <c r="P445">
        <v>593.01</v>
      </c>
      <c r="Q445">
        <v>5337.09</v>
      </c>
    </row>
    <row r="446" spans="1:17">
      <c r="A446" s="19">
        <v>44992</v>
      </c>
      <c r="B446" t="s">
        <v>1229</v>
      </c>
      <c r="C446" t="s">
        <v>1237</v>
      </c>
      <c r="D446" t="s">
        <v>1171</v>
      </c>
      <c r="E446" t="s">
        <v>132</v>
      </c>
      <c r="F446" s="10">
        <v>14</v>
      </c>
      <c r="G446" s="10">
        <v>3259.64</v>
      </c>
      <c r="H446" s="10">
        <v>45634.96</v>
      </c>
      <c r="J446">
        <v>45184</v>
      </c>
      <c r="K446" t="str">
        <v>North</v>
      </c>
      <c r="L446" t="str">
        <v>Delhi</v>
      </c>
      <c r="M446" t="str">
        <v>Karol Bagh</v>
      </c>
      <c r="N446" t="str">
        <v>Groceries</v>
      </c>
      <c r="O446">
        <v>1</v>
      </c>
      <c r="P446">
        <v>1981.82</v>
      </c>
      <c r="Q446">
        <v>1981.82</v>
      </c>
    </row>
    <row r="447" spans="1:17">
      <c r="A447" s="19">
        <v>45199</v>
      </c>
      <c r="B447" t="s">
        <v>1231</v>
      </c>
      <c r="C447" t="s">
        <v>1232</v>
      </c>
      <c r="D447" t="s">
        <v>1234</v>
      </c>
      <c r="E447" t="s">
        <v>132</v>
      </c>
      <c r="F447" s="10">
        <v>10</v>
      </c>
      <c r="G447" s="10">
        <v>4496.3900000000003</v>
      </c>
      <c r="H447" s="10">
        <v>44963.9</v>
      </c>
      <c r="J447">
        <v>45141</v>
      </c>
      <c r="K447" t="str">
        <v>North</v>
      </c>
      <c r="L447" t="str">
        <v>Delhi</v>
      </c>
      <c r="M447" t="str">
        <v>Karol Bagh</v>
      </c>
      <c r="N447" t="str">
        <v>Stationery</v>
      </c>
      <c r="O447">
        <v>18</v>
      </c>
      <c r="P447">
        <v>3614.6</v>
      </c>
      <c r="Q447">
        <v>65062.8</v>
      </c>
    </row>
    <row r="448" spans="1:17">
      <c r="A448" s="19">
        <v>45193</v>
      </c>
      <c r="B448" t="s">
        <v>1231</v>
      </c>
      <c r="C448" t="s">
        <v>1232</v>
      </c>
      <c r="D448" t="s">
        <v>1234</v>
      </c>
      <c r="E448" t="s">
        <v>132</v>
      </c>
      <c r="F448" s="10">
        <v>16</v>
      </c>
      <c r="G448" s="10">
        <v>2793.48</v>
      </c>
      <c r="H448" s="10">
        <v>44695.68</v>
      </c>
      <c r="J448">
        <v>45284</v>
      </c>
      <c r="K448" t="str">
        <v>North</v>
      </c>
      <c r="L448" t="str">
        <v>Delhi</v>
      </c>
      <c r="M448" t="str">
        <v>Karol Bagh</v>
      </c>
      <c r="N448" t="str">
        <v>Stationery</v>
      </c>
      <c r="O448">
        <v>18</v>
      </c>
      <c r="P448">
        <v>2880.41</v>
      </c>
      <c r="Q448">
        <v>51847.38</v>
      </c>
    </row>
    <row r="449" spans="1:17">
      <c r="A449" s="19">
        <v>45045</v>
      </c>
      <c r="B449" t="s">
        <v>1229</v>
      </c>
      <c r="C449" t="s">
        <v>1237</v>
      </c>
      <c r="D449" t="s">
        <v>1173</v>
      </c>
      <c r="E449" t="s">
        <v>132</v>
      </c>
      <c r="F449" s="10">
        <v>12</v>
      </c>
      <c r="G449" s="10">
        <v>3686.27</v>
      </c>
      <c r="H449" s="10">
        <v>44235.24</v>
      </c>
      <c r="J449">
        <v>45066</v>
      </c>
      <c r="K449" t="str">
        <v>North</v>
      </c>
      <c r="L449" t="str">
        <v>Delhi</v>
      </c>
      <c r="M449" t="str">
        <v>Karol Bagh</v>
      </c>
      <c r="N449" t="str">
        <v>Stationery</v>
      </c>
      <c r="O449">
        <v>13</v>
      </c>
      <c r="P449">
        <v>3423.36</v>
      </c>
      <c r="Q449">
        <v>44503.68</v>
      </c>
    </row>
    <row r="450" spans="1:17">
      <c r="A450" s="19">
        <v>45108</v>
      </c>
      <c r="B450" t="s">
        <v>1229</v>
      </c>
      <c r="C450" t="s">
        <v>1237</v>
      </c>
      <c r="D450" t="s">
        <v>1171</v>
      </c>
      <c r="E450" t="s">
        <v>132</v>
      </c>
      <c r="F450" s="10">
        <v>11</v>
      </c>
      <c r="G450" s="10">
        <v>3969.39</v>
      </c>
      <c r="H450" s="10">
        <v>43663.29</v>
      </c>
      <c r="J450">
        <v>44942</v>
      </c>
      <c r="K450" t="str">
        <v>North</v>
      </c>
      <c r="L450" t="str">
        <v>Delhi</v>
      </c>
      <c r="M450" t="str">
        <v>Karol Bagh</v>
      </c>
      <c r="N450" t="str">
        <v>Stationery</v>
      </c>
      <c r="O450">
        <v>8</v>
      </c>
      <c r="P450">
        <v>4334.41</v>
      </c>
      <c r="Q450">
        <v>34675.279999999999</v>
      </c>
    </row>
    <row r="451" spans="1:17">
      <c r="A451" s="19">
        <v>45258</v>
      </c>
      <c r="B451" t="s">
        <v>1231</v>
      </c>
      <c r="C451" t="s">
        <v>1235</v>
      </c>
      <c r="D451" t="s">
        <v>1241</v>
      </c>
      <c r="E451" t="s">
        <v>132</v>
      </c>
      <c r="F451" s="10">
        <v>16</v>
      </c>
      <c r="G451" s="10">
        <v>2573.33</v>
      </c>
      <c r="H451" s="10">
        <v>41173.279999999999</v>
      </c>
      <c r="J451">
        <v>45043</v>
      </c>
      <c r="K451" t="str">
        <v>North</v>
      </c>
      <c r="L451" t="str">
        <v>Delhi</v>
      </c>
      <c r="M451" t="str">
        <v>Karol Bagh</v>
      </c>
      <c r="N451" t="str">
        <v>Stationery</v>
      </c>
      <c r="O451">
        <v>13</v>
      </c>
      <c r="P451">
        <v>2327.81</v>
      </c>
      <c r="Q451">
        <v>30261.53</v>
      </c>
    </row>
    <row r="452" spans="1:17">
      <c r="A452" s="19">
        <v>45141</v>
      </c>
      <c r="B452" t="s">
        <v>1229</v>
      </c>
      <c r="C452" t="s">
        <v>1237</v>
      </c>
      <c r="D452" t="s">
        <v>1171</v>
      </c>
      <c r="E452" t="s">
        <v>132</v>
      </c>
      <c r="F452" s="10">
        <v>14</v>
      </c>
      <c r="G452" s="10">
        <v>2918.42</v>
      </c>
      <c r="H452" s="10">
        <v>40857.879999999997</v>
      </c>
      <c r="J452">
        <v>45101</v>
      </c>
      <c r="K452" t="str">
        <v>North</v>
      </c>
      <c r="L452" t="str">
        <v>Delhi</v>
      </c>
      <c r="M452" t="str">
        <v>Karol Bagh</v>
      </c>
      <c r="N452" t="str">
        <v>Stationery</v>
      </c>
      <c r="O452">
        <v>7</v>
      </c>
      <c r="P452">
        <v>4243.95</v>
      </c>
      <c r="Q452">
        <v>29707.65</v>
      </c>
    </row>
    <row r="453" spans="1:17">
      <c r="A453" s="19">
        <v>45154</v>
      </c>
      <c r="B453" t="s">
        <v>1229</v>
      </c>
      <c r="C453" t="s">
        <v>1237</v>
      </c>
      <c r="D453" t="s">
        <v>1239</v>
      </c>
      <c r="E453" t="s">
        <v>132</v>
      </c>
      <c r="F453" s="10">
        <v>11</v>
      </c>
      <c r="G453" s="10">
        <v>3646.35</v>
      </c>
      <c r="H453" s="10">
        <v>40109.85</v>
      </c>
      <c r="J453">
        <v>45000</v>
      </c>
      <c r="K453" t="str">
        <v>North</v>
      </c>
      <c r="L453" t="str">
        <v>Delhi</v>
      </c>
      <c r="M453" t="str">
        <v>Karol Bagh</v>
      </c>
      <c r="N453" t="str">
        <v>Stationery</v>
      </c>
      <c r="O453">
        <v>19</v>
      </c>
      <c r="P453">
        <v>1093.8900000000001</v>
      </c>
      <c r="Q453">
        <v>20783.91</v>
      </c>
    </row>
    <row r="454" spans="1:17">
      <c r="A454" s="19">
        <v>45224</v>
      </c>
      <c r="B454" t="s">
        <v>1242</v>
      </c>
      <c r="C454" t="s">
        <v>1243</v>
      </c>
      <c r="D454" t="s">
        <v>1244</v>
      </c>
      <c r="E454" t="s">
        <v>132</v>
      </c>
      <c r="F454" s="10">
        <v>16</v>
      </c>
      <c r="G454" s="10">
        <v>2502.5700000000002</v>
      </c>
      <c r="H454" s="10">
        <v>40041.120000000003</v>
      </c>
      <c r="J454">
        <v>45016</v>
      </c>
      <c r="K454" t="str">
        <v>North</v>
      </c>
      <c r="L454" t="str">
        <v>Delhi</v>
      </c>
      <c r="M454" t="str">
        <v>Karol Bagh</v>
      </c>
      <c r="N454" t="str">
        <v>Stationery</v>
      </c>
      <c r="O454">
        <v>10</v>
      </c>
      <c r="P454">
        <v>2027.97</v>
      </c>
      <c r="Q454">
        <v>20279.7</v>
      </c>
    </row>
    <row r="455" spans="1:17">
      <c r="A455" s="19">
        <v>45275</v>
      </c>
      <c r="B455" t="s">
        <v>1242</v>
      </c>
      <c r="C455" t="s">
        <v>1243</v>
      </c>
      <c r="D455" t="s">
        <v>1245</v>
      </c>
      <c r="E455" t="s">
        <v>132</v>
      </c>
      <c r="F455" s="10">
        <v>13</v>
      </c>
      <c r="G455" s="10">
        <v>3069.28</v>
      </c>
      <c r="H455" s="10">
        <v>39900.639999999999</v>
      </c>
      <c r="J455">
        <v>45235</v>
      </c>
      <c r="K455" t="str">
        <v>North</v>
      </c>
      <c r="L455" t="str">
        <v>Delhi</v>
      </c>
      <c r="M455" t="str">
        <v>Karol Bagh</v>
      </c>
      <c r="N455" t="str">
        <v>Stationery</v>
      </c>
      <c r="O455">
        <v>7</v>
      </c>
      <c r="P455">
        <v>1501.06</v>
      </c>
      <c r="Q455">
        <v>10507.42</v>
      </c>
    </row>
    <row r="456" spans="1:17">
      <c r="A456" s="19">
        <v>45030</v>
      </c>
      <c r="B456" t="s">
        <v>1229</v>
      </c>
      <c r="C456" t="s">
        <v>1237</v>
      </c>
      <c r="D456" t="s">
        <v>1239</v>
      </c>
      <c r="E456" t="s">
        <v>132</v>
      </c>
      <c r="F456" s="10">
        <v>10</v>
      </c>
      <c r="G456" s="10">
        <v>3882.87</v>
      </c>
      <c r="H456" s="10">
        <v>38828.699999999997</v>
      </c>
      <c r="J456">
        <v>45124</v>
      </c>
      <c r="K456" t="str">
        <v>North</v>
      </c>
      <c r="L456" t="str">
        <v>Delhi</v>
      </c>
      <c r="M456" t="str">
        <v>Karol Bagh</v>
      </c>
      <c r="N456" t="str">
        <v>Stationery</v>
      </c>
      <c r="O456">
        <v>3</v>
      </c>
      <c r="P456">
        <v>2040.38</v>
      </c>
      <c r="Q456">
        <v>6121.14</v>
      </c>
    </row>
    <row r="457" spans="1:17">
      <c r="A457" s="19">
        <v>45070</v>
      </c>
      <c r="B457" t="s">
        <v>1229</v>
      </c>
      <c r="C457" t="s">
        <v>1230</v>
      </c>
      <c r="D457" t="s">
        <v>1248</v>
      </c>
      <c r="E457" t="s">
        <v>132</v>
      </c>
      <c r="F457" s="10">
        <v>14</v>
      </c>
      <c r="G457" s="10">
        <v>2715.54</v>
      </c>
      <c r="H457" s="10">
        <v>38017.56</v>
      </c>
      <c r="J457">
        <v>45045</v>
      </c>
      <c r="K457" t="str">
        <v>North</v>
      </c>
      <c r="L457" t="str">
        <v>Delhi</v>
      </c>
      <c r="M457" t="str">
        <v>Karol Bagh</v>
      </c>
      <c r="N457" t="str">
        <v>Stationery</v>
      </c>
      <c r="O457">
        <v>1</v>
      </c>
      <c r="P457">
        <v>4815.0600000000004</v>
      </c>
      <c r="Q457">
        <v>4815.0600000000004</v>
      </c>
    </row>
    <row r="458" spans="1:17">
      <c r="A458" s="19">
        <v>45169</v>
      </c>
      <c r="B458" t="s">
        <v>1229</v>
      </c>
      <c r="C458" t="s">
        <v>1237</v>
      </c>
      <c r="D458" t="s">
        <v>1171</v>
      </c>
      <c r="E458" t="s">
        <v>132</v>
      </c>
      <c r="F458" s="10">
        <v>8</v>
      </c>
      <c r="G458" s="10">
        <v>4621.75</v>
      </c>
      <c r="H458" s="10">
        <v>36974</v>
      </c>
      <c r="J458">
        <v>44979</v>
      </c>
      <c r="K458" t="str">
        <v>North</v>
      </c>
      <c r="L458" t="str">
        <v>Delhi</v>
      </c>
      <c r="M458" t="str">
        <v>Karol Bagh</v>
      </c>
      <c r="N458" t="str">
        <v>Stationery</v>
      </c>
      <c r="O458">
        <v>1</v>
      </c>
      <c r="P458">
        <v>4511.88</v>
      </c>
      <c r="Q458">
        <v>4511.88</v>
      </c>
    </row>
    <row r="459" spans="1:17">
      <c r="A459" s="19">
        <v>45243</v>
      </c>
      <c r="B459" t="s">
        <v>1229</v>
      </c>
      <c r="C459" t="s">
        <v>1237</v>
      </c>
      <c r="D459" t="s">
        <v>1171</v>
      </c>
      <c r="E459" t="s">
        <v>132</v>
      </c>
      <c r="F459" s="10">
        <v>12</v>
      </c>
      <c r="G459" s="10">
        <v>3074.45</v>
      </c>
      <c r="H459" s="10">
        <v>36893.4</v>
      </c>
      <c r="J459">
        <v>44989</v>
      </c>
      <c r="K459" t="str">
        <v>North</v>
      </c>
      <c r="L459" t="str">
        <v>Delhi</v>
      </c>
      <c r="M459" t="str">
        <v>Karol Bagh</v>
      </c>
      <c r="N459" t="str">
        <v>Stationery</v>
      </c>
      <c r="O459">
        <v>1</v>
      </c>
      <c r="P459">
        <v>3781.47</v>
      </c>
      <c r="Q459">
        <v>3781.47</v>
      </c>
    </row>
    <row r="460" spans="1:17">
      <c r="A460" s="19">
        <v>45225</v>
      </c>
      <c r="B460" t="s">
        <v>1242</v>
      </c>
      <c r="C460" t="s">
        <v>1243</v>
      </c>
      <c r="D460" t="s">
        <v>1245</v>
      </c>
      <c r="E460" t="s">
        <v>132</v>
      </c>
      <c r="F460" s="10">
        <v>16</v>
      </c>
      <c r="G460" s="10">
        <v>2178.7800000000002</v>
      </c>
      <c r="H460" s="10">
        <v>34860.480000000003</v>
      </c>
      <c r="J460">
        <v>44935</v>
      </c>
      <c r="K460" t="str">
        <v>South</v>
      </c>
      <c r="L460" t="str">
        <v>Tamil Nadu</v>
      </c>
      <c r="M460" t="str">
        <v>Madurai</v>
      </c>
      <c r="N460" t="str">
        <v>Clothing</v>
      </c>
      <c r="O460">
        <v>18</v>
      </c>
      <c r="P460">
        <v>4168.59</v>
      </c>
      <c r="Q460">
        <v>75034.62</v>
      </c>
    </row>
    <row r="461" spans="1:17">
      <c r="A461" s="19">
        <v>45108</v>
      </c>
      <c r="B461" t="s">
        <v>1242</v>
      </c>
      <c r="C461" t="s">
        <v>1243</v>
      </c>
      <c r="D461" t="s">
        <v>1244</v>
      </c>
      <c r="E461" t="s">
        <v>132</v>
      </c>
      <c r="F461" s="10">
        <v>14</v>
      </c>
      <c r="G461" s="10">
        <v>2429.23</v>
      </c>
      <c r="H461" s="10">
        <v>34009.22</v>
      </c>
      <c r="J461">
        <v>44996</v>
      </c>
      <c r="K461" t="str">
        <v>South</v>
      </c>
      <c r="L461" t="str">
        <v>Tamil Nadu</v>
      </c>
      <c r="M461" t="str">
        <v>Madurai</v>
      </c>
      <c r="N461" t="str">
        <v>Clothing</v>
      </c>
      <c r="O461">
        <v>19</v>
      </c>
      <c r="P461">
        <v>2814.94</v>
      </c>
      <c r="Q461">
        <v>53483.86</v>
      </c>
    </row>
    <row r="462" spans="1:17">
      <c r="A462" s="19">
        <v>44972</v>
      </c>
      <c r="B462" t="s">
        <v>1242</v>
      </c>
      <c r="C462" t="s">
        <v>1243</v>
      </c>
      <c r="D462" t="s">
        <v>1247</v>
      </c>
      <c r="E462" t="s">
        <v>132</v>
      </c>
      <c r="F462" s="10">
        <v>7</v>
      </c>
      <c r="G462" s="10">
        <v>4803.62</v>
      </c>
      <c r="H462" s="10">
        <v>33625.339999999997</v>
      </c>
      <c r="J462">
        <v>45008</v>
      </c>
      <c r="K462" t="str">
        <v>South</v>
      </c>
      <c r="L462" t="str">
        <v>Tamil Nadu</v>
      </c>
      <c r="M462" t="str">
        <v>Madurai</v>
      </c>
      <c r="N462" t="str">
        <v>Clothing</v>
      </c>
      <c r="O462">
        <v>13</v>
      </c>
      <c r="P462">
        <v>3568.86</v>
      </c>
      <c r="Q462">
        <v>46395.18</v>
      </c>
    </row>
    <row r="463" spans="1:17">
      <c r="A463" s="19">
        <v>45254</v>
      </c>
      <c r="B463" t="s">
        <v>1229</v>
      </c>
      <c r="C463" t="s">
        <v>1230</v>
      </c>
      <c r="D463" t="s">
        <v>1169</v>
      </c>
      <c r="E463" t="s">
        <v>132</v>
      </c>
      <c r="F463" s="10">
        <v>8</v>
      </c>
      <c r="G463" s="10">
        <v>4169.8999999999996</v>
      </c>
      <c r="H463" s="10">
        <v>33359.199999999997</v>
      </c>
      <c r="J463">
        <v>45094</v>
      </c>
      <c r="K463" t="str">
        <v>South</v>
      </c>
      <c r="L463" t="str">
        <v>Tamil Nadu</v>
      </c>
      <c r="M463" t="str">
        <v>Madurai</v>
      </c>
      <c r="N463" t="str">
        <v>Clothing</v>
      </c>
      <c r="O463">
        <v>15</v>
      </c>
      <c r="P463">
        <v>3048.36</v>
      </c>
      <c r="Q463">
        <v>45725.4</v>
      </c>
    </row>
    <row r="464" spans="1:17">
      <c r="A464" s="19">
        <v>45215</v>
      </c>
      <c r="B464" t="s">
        <v>1229</v>
      </c>
      <c r="C464" t="s">
        <v>1237</v>
      </c>
      <c r="D464" t="s">
        <v>1239</v>
      </c>
      <c r="E464" t="s">
        <v>132</v>
      </c>
      <c r="F464" s="10">
        <v>9</v>
      </c>
      <c r="G464" s="10">
        <v>3678.86</v>
      </c>
      <c r="H464" s="10">
        <v>33109.74</v>
      </c>
      <c r="J464">
        <v>45278</v>
      </c>
      <c r="K464" t="str">
        <v>South</v>
      </c>
      <c r="L464" t="str">
        <v>Tamil Nadu</v>
      </c>
      <c r="M464" t="str">
        <v>Madurai</v>
      </c>
      <c r="N464" t="str">
        <v>Clothing</v>
      </c>
      <c r="O464">
        <v>13</v>
      </c>
      <c r="P464">
        <v>2829.47</v>
      </c>
      <c r="Q464">
        <v>36783.11</v>
      </c>
    </row>
    <row r="465" spans="1:17">
      <c r="A465" s="19">
        <v>45264</v>
      </c>
      <c r="B465" t="s">
        <v>1231</v>
      </c>
      <c r="C465" t="s">
        <v>1232</v>
      </c>
      <c r="D465" t="s">
        <v>1240</v>
      </c>
      <c r="E465" t="s">
        <v>132</v>
      </c>
      <c r="F465" s="10">
        <v>7</v>
      </c>
      <c r="G465" s="10">
        <v>4720.63</v>
      </c>
      <c r="H465" s="10">
        <v>33044.410000000003</v>
      </c>
      <c r="J465">
        <v>45275</v>
      </c>
      <c r="K465" t="str">
        <v>South</v>
      </c>
      <c r="L465" t="str">
        <v>Tamil Nadu</v>
      </c>
      <c r="M465" t="str">
        <v>Madurai</v>
      </c>
      <c r="N465" t="str">
        <v>Clothing</v>
      </c>
      <c r="O465">
        <v>12</v>
      </c>
      <c r="P465">
        <v>2882.46</v>
      </c>
      <c r="Q465">
        <v>34589.519999999997</v>
      </c>
    </row>
    <row r="466" spans="1:17">
      <c r="A466" s="19">
        <v>44945</v>
      </c>
      <c r="B466" t="s">
        <v>1229</v>
      </c>
      <c r="C466" t="s">
        <v>1230</v>
      </c>
      <c r="D466" t="s">
        <v>1246</v>
      </c>
      <c r="E466" t="s">
        <v>132</v>
      </c>
      <c r="F466" s="10">
        <v>15</v>
      </c>
      <c r="G466" s="10">
        <v>2167.91</v>
      </c>
      <c r="H466" s="10">
        <v>32518.65</v>
      </c>
      <c r="J466">
        <v>44942</v>
      </c>
      <c r="K466" t="str">
        <v>South</v>
      </c>
      <c r="L466" t="str">
        <v>Tamil Nadu</v>
      </c>
      <c r="M466" t="str">
        <v>Madurai</v>
      </c>
      <c r="N466" t="str">
        <v>Clothing</v>
      </c>
      <c r="O466">
        <v>15</v>
      </c>
      <c r="P466">
        <v>2174.4499999999998</v>
      </c>
      <c r="Q466">
        <v>32616.75</v>
      </c>
    </row>
    <row r="467" spans="1:17">
      <c r="A467" s="19">
        <v>45187</v>
      </c>
      <c r="B467" t="s">
        <v>1242</v>
      </c>
      <c r="C467" t="s">
        <v>1243</v>
      </c>
      <c r="D467" t="s">
        <v>1247</v>
      </c>
      <c r="E467" t="s">
        <v>132</v>
      </c>
      <c r="F467" s="10">
        <v>20</v>
      </c>
      <c r="G467" s="10">
        <v>1592.52</v>
      </c>
      <c r="H467" s="10">
        <v>31850.400000000001</v>
      </c>
      <c r="J467">
        <v>45149</v>
      </c>
      <c r="K467" t="str">
        <v>South</v>
      </c>
      <c r="L467" t="str">
        <v>Tamil Nadu</v>
      </c>
      <c r="M467" t="str">
        <v>Madurai</v>
      </c>
      <c r="N467" t="str">
        <v>Clothing</v>
      </c>
      <c r="O467">
        <v>19</v>
      </c>
      <c r="P467">
        <v>1309.6500000000001</v>
      </c>
      <c r="Q467">
        <v>24883.35</v>
      </c>
    </row>
    <row r="468" spans="1:17">
      <c r="A468" s="19">
        <v>45119</v>
      </c>
      <c r="B468" t="s">
        <v>1229</v>
      </c>
      <c r="C468" t="s">
        <v>1237</v>
      </c>
      <c r="D468" t="s">
        <v>1173</v>
      </c>
      <c r="E468" t="s">
        <v>132</v>
      </c>
      <c r="F468" s="10">
        <v>16</v>
      </c>
      <c r="G468" s="10">
        <v>1933.33</v>
      </c>
      <c r="H468" s="10">
        <v>30933.279999999999</v>
      </c>
      <c r="J468">
        <v>45081</v>
      </c>
      <c r="K468" t="str">
        <v>South</v>
      </c>
      <c r="L468" t="str">
        <v>Tamil Nadu</v>
      </c>
      <c r="M468" t="str">
        <v>Madurai</v>
      </c>
      <c r="N468" t="str">
        <v>Clothing</v>
      </c>
      <c r="O468">
        <v>11</v>
      </c>
      <c r="P468">
        <v>1703.12</v>
      </c>
      <c r="Q468">
        <v>18734.32</v>
      </c>
    </row>
    <row r="469" spans="1:17">
      <c r="A469" s="19">
        <v>45021</v>
      </c>
      <c r="B469" t="s">
        <v>1229</v>
      </c>
      <c r="C469" t="s">
        <v>1230</v>
      </c>
      <c r="D469" t="s">
        <v>1246</v>
      </c>
      <c r="E469" t="s">
        <v>132</v>
      </c>
      <c r="F469" s="10">
        <v>13</v>
      </c>
      <c r="G469" s="10">
        <v>2351.59</v>
      </c>
      <c r="H469" s="10">
        <v>30570.67</v>
      </c>
      <c r="J469">
        <v>45222</v>
      </c>
      <c r="K469" t="str">
        <v>South</v>
      </c>
      <c r="L469" t="str">
        <v>Tamil Nadu</v>
      </c>
      <c r="M469" t="str">
        <v>Madurai</v>
      </c>
      <c r="N469" t="str">
        <v>Clothing</v>
      </c>
      <c r="O469">
        <v>18</v>
      </c>
      <c r="P469">
        <v>913.13</v>
      </c>
      <c r="Q469">
        <v>16436.34</v>
      </c>
    </row>
    <row r="470" spans="1:17">
      <c r="A470" s="19">
        <v>45133</v>
      </c>
      <c r="B470" t="s">
        <v>1229</v>
      </c>
      <c r="C470" t="s">
        <v>1230</v>
      </c>
      <c r="D470" t="s">
        <v>1169</v>
      </c>
      <c r="E470" t="s">
        <v>132</v>
      </c>
      <c r="F470" s="10">
        <v>15</v>
      </c>
      <c r="G470" s="10">
        <v>2006.04</v>
      </c>
      <c r="H470" s="10">
        <v>30090.6</v>
      </c>
      <c r="J470">
        <v>45110</v>
      </c>
      <c r="K470" t="str">
        <v>South</v>
      </c>
      <c r="L470" t="str">
        <v>Tamil Nadu</v>
      </c>
      <c r="M470" t="str">
        <v>Madurai</v>
      </c>
      <c r="N470" t="str">
        <v>Clothing</v>
      </c>
      <c r="O470">
        <v>3</v>
      </c>
      <c r="P470">
        <v>4999.6899999999996</v>
      </c>
      <c r="Q470">
        <v>14999.07</v>
      </c>
    </row>
    <row r="471" spans="1:17">
      <c r="A471" s="19">
        <v>45071</v>
      </c>
      <c r="B471" t="s">
        <v>1229</v>
      </c>
      <c r="C471" t="s">
        <v>1237</v>
      </c>
      <c r="D471" t="s">
        <v>1239</v>
      </c>
      <c r="E471" t="s">
        <v>132</v>
      </c>
      <c r="F471" s="10">
        <v>7</v>
      </c>
      <c r="G471" s="10">
        <v>4238.07</v>
      </c>
      <c r="H471" s="10">
        <v>29666.49</v>
      </c>
      <c r="J471">
        <v>45003</v>
      </c>
      <c r="K471" t="str">
        <v>South</v>
      </c>
      <c r="L471" t="str">
        <v>Tamil Nadu</v>
      </c>
      <c r="M471" t="str">
        <v>Madurai</v>
      </c>
      <c r="N471" t="str">
        <v>Clothing</v>
      </c>
      <c r="O471">
        <v>16</v>
      </c>
      <c r="P471">
        <v>874.99</v>
      </c>
      <c r="Q471">
        <v>13999.84</v>
      </c>
    </row>
    <row r="472" spans="1:17">
      <c r="A472" s="19">
        <v>45210</v>
      </c>
      <c r="B472" t="s">
        <v>1231</v>
      </c>
      <c r="C472" t="s">
        <v>1235</v>
      </c>
      <c r="D472" t="s">
        <v>1241</v>
      </c>
      <c r="E472" t="s">
        <v>132</v>
      </c>
      <c r="F472" s="10">
        <v>9</v>
      </c>
      <c r="G472" s="10">
        <v>3193.9</v>
      </c>
      <c r="H472" s="10">
        <v>28745.1</v>
      </c>
      <c r="J472">
        <v>45284</v>
      </c>
      <c r="K472" t="str">
        <v>South</v>
      </c>
      <c r="L472" t="str">
        <v>Tamil Nadu</v>
      </c>
      <c r="M472" t="str">
        <v>Madurai</v>
      </c>
      <c r="N472" t="str">
        <v>Clothing</v>
      </c>
      <c r="O472">
        <v>8</v>
      </c>
      <c r="P472">
        <v>1670.31</v>
      </c>
      <c r="Q472">
        <v>13362.48</v>
      </c>
    </row>
    <row r="473" spans="1:17">
      <c r="A473" s="19">
        <v>45032</v>
      </c>
      <c r="B473" t="s">
        <v>1231</v>
      </c>
      <c r="C473" t="s">
        <v>1232</v>
      </c>
      <c r="D473" t="s">
        <v>1240</v>
      </c>
      <c r="E473" t="s">
        <v>132</v>
      </c>
      <c r="F473" s="10">
        <v>10</v>
      </c>
      <c r="G473" s="10">
        <v>2861.62</v>
      </c>
      <c r="H473" s="10">
        <v>28616.2</v>
      </c>
      <c r="J473">
        <v>45270</v>
      </c>
      <c r="K473" t="str">
        <v>South</v>
      </c>
      <c r="L473" t="str">
        <v>Tamil Nadu</v>
      </c>
      <c r="M473" t="str">
        <v>Madurai</v>
      </c>
      <c r="N473" t="str">
        <v>Clothing</v>
      </c>
      <c r="O473">
        <v>8</v>
      </c>
      <c r="P473">
        <v>1595.76</v>
      </c>
      <c r="Q473">
        <v>12766.08</v>
      </c>
    </row>
    <row r="474" spans="1:17">
      <c r="A474" s="19">
        <v>44953</v>
      </c>
      <c r="B474" t="s">
        <v>1242</v>
      </c>
      <c r="C474" t="s">
        <v>1243</v>
      </c>
      <c r="D474" t="s">
        <v>1247</v>
      </c>
      <c r="E474" t="s">
        <v>132</v>
      </c>
      <c r="F474" s="10">
        <v>9</v>
      </c>
      <c r="G474" s="10">
        <v>3095.35</v>
      </c>
      <c r="H474" s="10">
        <v>27858.15</v>
      </c>
      <c r="J474">
        <v>44977</v>
      </c>
      <c r="K474" t="str">
        <v>South</v>
      </c>
      <c r="L474" t="str">
        <v>Tamil Nadu</v>
      </c>
      <c r="M474" t="str">
        <v>Madurai</v>
      </c>
      <c r="N474" t="str">
        <v>Clothing</v>
      </c>
      <c r="O474">
        <v>8</v>
      </c>
      <c r="P474">
        <v>1481.04</v>
      </c>
      <c r="Q474">
        <v>11848.32</v>
      </c>
    </row>
    <row r="475" spans="1:17">
      <c r="A475" s="19">
        <v>45154</v>
      </c>
      <c r="B475" t="s">
        <v>1229</v>
      </c>
      <c r="C475" t="s">
        <v>1230</v>
      </c>
      <c r="D475" t="s">
        <v>1169</v>
      </c>
      <c r="E475" t="s">
        <v>132</v>
      </c>
      <c r="F475" s="10">
        <v>11</v>
      </c>
      <c r="G475" s="10">
        <v>2522.63</v>
      </c>
      <c r="H475" s="10">
        <v>27748.93</v>
      </c>
      <c r="J475">
        <v>44931</v>
      </c>
      <c r="K475" t="str">
        <v>South</v>
      </c>
      <c r="L475" t="str">
        <v>Tamil Nadu</v>
      </c>
      <c r="M475" t="str">
        <v>Madurai</v>
      </c>
      <c r="N475" t="str">
        <v>Clothing</v>
      </c>
      <c r="O475">
        <v>10</v>
      </c>
      <c r="P475">
        <v>772.21</v>
      </c>
      <c r="Q475">
        <v>7722.1</v>
      </c>
    </row>
    <row r="476" spans="1:17">
      <c r="A476" s="19">
        <v>44974</v>
      </c>
      <c r="B476" t="s">
        <v>1229</v>
      </c>
      <c r="C476" t="s">
        <v>1230</v>
      </c>
      <c r="D476" t="s">
        <v>1169</v>
      </c>
      <c r="E476" t="s">
        <v>132</v>
      </c>
      <c r="F476" s="10">
        <v>20</v>
      </c>
      <c r="G476" s="10">
        <v>1353.54</v>
      </c>
      <c r="H476" s="10">
        <v>27070.799999999999</v>
      </c>
      <c r="J476">
        <v>44992</v>
      </c>
      <c r="K476" t="str">
        <v>South</v>
      </c>
      <c r="L476" t="str">
        <v>Tamil Nadu</v>
      </c>
      <c r="M476" t="str">
        <v>Madurai</v>
      </c>
      <c r="N476" t="str">
        <v>Clothing</v>
      </c>
      <c r="O476">
        <v>5</v>
      </c>
      <c r="P476">
        <v>1460.84</v>
      </c>
      <c r="Q476">
        <v>7304.2</v>
      </c>
    </row>
    <row r="477" spans="1:17">
      <c r="A477" s="19">
        <v>44999</v>
      </c>
      <c r="B477" t="s">
        <v>1231</v>
      </c>
      <c r="C477" t="s">
        <v>1235</v>
      </c>
      <c r="D477" t="s">
        <v>1236</v>
      </c>
      <c r="E477" t="s">
        <v>132</v>
      </c>
      <c r="F477" s="10">
        <v>19</v>
      </c>
      <c r="G477" s="10">
        <v>1398.49</v>
      </c>
      <c r="H477" s="10">
        <v>26571.31</v>
      </c>
      <c r="J477">
        <v>44992</v>
      </c>
      <c r="K477" t="str">
        <v>South</v>
      </c>
      <c r="L477" t="str">
        <v>Tamil Nadu</v>
      </c>
      <c r="M477" t="str">
        <v>Madurai</v>
      </c>
      <c r="N477" t="str">
        <v>Clothing</v>
      </c>
      <c r="O477">
        <v>4</v>
      </c>
      <c r="P477">
        <v>1385.95</v>
      </c>
      <c r="Q477">
        <v>5543.8</v>
      </c>
    </row>
    <row r="478" spans="1:17">
      <c r="A478" s="19">
        <v>44970</v>
      </c>
      <c r="B478" t="s">
        <v>1231</v>
      </c>
      <c r="C478" t="s">
        <v>1235</v>
      </c>
      <c r="D478" t="s">
        <v>1238</v>
      </c>
      <c r="E478" t="s">
        <v>132</v>
      </c>
      <c r="F478" s="10">
        <v>20</v>
      </c>
      <c r="G478" s="10">
        <v>1310.3699999999999</v>
      </c>
      <c r="H478" s="10">
        <v>26207.4</v>
      </c>
      <c r="J478">
        <v>45197</v>
      </c>
      <c r="K478" t="str">
        <v>South</v>
      </c>
      <c r="L478" t="str">
        <v>Tamil Nadu</v>
      </c>
      <c r="M478" t="str">
        <v>Madurai</v>
      </c>
      <c r="N478" t="str">
        <v>Clothing</v>
      </c>
      <c r="O478">
        <v>11</v>
      </c>
      <c r="P478">
        <v>146.47</v>
      </c>
      <c r="Q478">
        <v>1611.17</v>
      </c>
    </row>
    <row r="479" spans="1:17">
      <c r="A479" s="19">
        <v>45107</v>
      </c>
      <c r="B479" t="s">
        <v>1242</v>
      </c>
      <c r="C479" t="s">
        <v>1243</v>
      </c>
      <c r="D479" t="s">
        <v>1244</v>
      </c>
      <c r="E479" t="s">
        <v>132</v>
      </c>
      <c r="F479" s="10">
        <v>17</v>
      </c>
      <c r="G479" s="10">
        <v>1538.4</v>
      </c>
      <c r="H479" s="10">
        <v>26152.799999999999</v>
      </c>
      <c r="J479">
        <v>45193</v>
      </c>
      <c r="K479" t="str">
        <v>South</v>
      </c>
      <c r="L479" t="str">
        <v>Tamil Nadu</v>
      </c>
      <c r="M479" t="str">
        <v>Madurai</v>
      </c>
      <c r="N479" t="str">
        <v>Electronics</v>
      </c>
      <c r="O479">
        <v>17</v>
      </c>
      <c r="P479">
        <v>3933.92</v>
      </c>
      <c r="Q479">
        <v>66876.639999999999</v>
      </c>
    </row>
    <row r="480" spans="1:17">
      <c r="A480" s="19">
        <v>45177</v>
      </c>
      <c r="B480" t="s">
        <v>1229</v>
      </c>
      <c r="C480" t="s">
        <v>1230</v>
      </c>
      <c r="D480" t="s">
        <v>1248</v>
      </c>
      <c r="E480" t="s">
        <v>132</v>
      </c>
      <c r="F480" s="10">
        <v>18</v>
      </c>
      <c r="G480" s="10">
        <v>1376.52</v>
      </c>
      <c r="H480" s="10">
        <v>24777.360000000001</v>
      </c>
      <c r="J480">
        <v>44930</v>
      </c>
      <c r="K480" t="str">
        <v>South</v>
      </c>
      <c r="L480" t="str">
        <v>Tamil Nadu</v>
      </c>
      <c r="M480" t="str">
        <v>Madurai</v>
      </c>
      <c r="N480" t="str">
        <v>Electronics</v>
      </c>
      <c r="O480">
        <v>13</v>
      </c>
      <c r="P480">
        <v>2913.56</v>
      </c>
      <c r="Q480">
        <v>37876.28</v>
      </c>
    </row>
    <row r="481" spans="1:17">
      <c r="A481" s="19">
        <v>45260</v>
      </c>
      <c r="B481" t="s">
        <v>1231</v>
      </c>
      <c r="C481" t="s">
        <v>1235</v>
      </c>
      <c r="D481" t="s">
        <v>1238</v>
      </c>
      <c r="E481" t="s">
        <v>132</v>
      </c>
      <c r="F481" s="10">
        <v>7</v>
      </c>
      <c r="G481" s="10">
        <v>3402.48</v>
      </c>
      <c r="H481" s="10">
        <v>23817.360000000001</v>
      </c>
      <c r="J481">
        <v>45229</v>
      </c>
      <c r="K481" t="str">
        <v>South</v>
      </c>
      <c r="L481" t="str">
        <v>Tamil Nadu</v>
      </c>
      <c r="M481" t="str">
        <v>Madurai</v>
      </c>
      <c r="N481" t="str">
        <v>Electronics</v>
      </c>
      <c r="O481">
        <v>9</v>
      </c>
      <c r="P481">
        <v>3643.26</v>
      </c>
      <c r="Q481">
        <v>32789.339999999997</v>
      </c>
    </row>
    <row r="482" spans="1:17">
      <c r="A482" s="19">
        <v>45164</v>
      </c>
      <c r="B482" t="s">
        <v>1231</v>
      </c>
      <c r="C482" t="s">
        <v>1232</v>
      </c>
      <c r="D482" t="s">
        <v>1233</v>
      </c>
      <c r="E482" t="s">
        <v>132</v>
      </c>
      <c r="F482" s="10">
        <v>10</v>
      </c>
      <c r="G482" s="10">
        <v>2349.2399999999998</v>
      </c>
      <c r="H482" s="10">
        <v>23492.400000000001</v>
      </c>
      <c r="J482">
        <v>45058</v>
      </c>
      <c r="K482" t="str">
        <v>South</v>
      </c>
      <c r="L482" t="str">
        <v>Tamil Nadu</v>
      </c>
      <c r="M482" t="str">
        <v>Madurai</v>
      </c>
      <c r="N482" t="str">
        <v>Electronics</v>
      </c>
      <c r="O482">
        <v>11</v>
      </c>
      <c r="P482">
        <v>2852.22</v>
      </c>
      <c r="Q482">
        <v>31374.42</v>
      </c>
    </row>
    <row r="483" spans="1:17">
      <c r="A483" s="19">
        <v>45019</v>
      </c>
      <c r="B483" t="s">
        <v>1231</v>
      </c>
      <c r="C483" t="s">
        <v>1235</v>
      </c>
      <c r="D483" t="s">
        <v>1238</v>
      </c>
      <c r="E483" t="s">
        <v>132</v>
      </c>
      <c r="F483" s="10">
        <v>14</v>
      </c>
      <c r="G483" s="10">
        <v>1658.39</v>
      </c>
      <c r="H483" s="10">
        <v>23217.46</v>
      </c>
      <c r="J483">
        <v>44936</v>
      </c>
      <c r="K483" t="str">
        <v>South</v>
      </c>
      <c r="L483" t="str">
        <v>Tamil Nadu</v>
      </c>
      <c r="M483" t="str">
        <v>Madurai</v>
      </c>
      <c r="N483" t="str">
        <v>Electronics</v>
      </c>
      <c r="O483">
        <v>11</v>
      </c>
      <c r="P483">
        <v>2491.8000000000002</v>
      </c>
      <c r="Q483">
        <v>27409.8</v>
      </c>
    </row>
    <row r="484" spans="1:17">
      <c r="A484" s="19">
        <v>44958</v>
      </c>
      <c r="B484" t="s">
        <v>1229</v>
      </c>
      <c r="C484" t="s">
        <v>1230</v>
      </c>
      <c r="D484" t="s">
        <v>1248</v>
      </c>
      <c r="E484" t="s">
        <v>132</v>
      </c>
      <c r="F484" s="10">
        <v>17</v>
      </c>
      <c r="G484" s="10">
        <v>1356.25</v>
      </c>
      <c r="H484" s="10">
        <v>23056.25</v>
      </c>
      <c r="J484">
        <v>45119</v>
      </c>
      <c r="K484" t="str">
        <v>South</v>
      </c>
      <c r="L484" t="str">
        <v>Tamil Nadu</v>
      </c>
      <c r="M484" t="str">
        <v>Madurai</v>
      </c>
      <c r="N484" t="str">
        <v>Electronics</v>
      </c>
      <c r="O484">
        <v>9</v>
      </c>
      <c r="P484">
        <v>2427.88</v>
      </c>
      <c r="Q484">
        <v>21850.92</v>
      </c>
    </row>
    <row r="485" spans="1:17">
      <c r="A485" s="19">
        <v>45257</v>
      </c>
      <c r="B485" t="s">
        <v>1229</v>
      </c>
      <c r="C485" t="s">
        <v>1237</v>
      </c>
      <c r="D485" t="s">
        <v>1173</v>
      </c>
      <c r="E485" t="s">
        <v>132</v>
      </c>
      <c r="F485" s="10">
        <v>17</v>
      </c>
      <c r="G485" s="10">
        <v>1333.71</v>
      </c>
      <c r="H485" s="10">
        <v>22673.07</v>
      </c>
      <c r="J485">
        <v>45140</v>
      </c>
      <c r="K485" t="str">
        <v>South</v>
      </c>
      <c r="L485" t="str">
        <v>Tamil Nadu</v>
      </c>
      <c r="M485" t="str">
        <v>Madurai</v>
      </c>
      <c r="N485" t="str">
        <v>Electronics</v>
      </c>
      <c r="O485">
        <v>13</v>
      </c>
      <c r="P485">
        <v>1220.76</v>
      </c>
      <c r="Q485">
        <v>15869.88</v>
      </c>
    </row>
    <row r="486" spans="1:17">
      <c r="A486" s="19">
        <v>45230</v>
      </c>
      <c r="B486" t="s">
        <v>1242</v>
      </c>
      <c r="C486" t="s">
        <v>1243</v>
      </c>
      <c r="D486" t="s">
        <v>1245</v>
      </c>
      <c r="E486" t="s">
        <v>132</v>
      </c>
      <c r="F486" s="10">
        <v>14</v>
      </c>
      <c r="G486" s="10">
        <v>1598.93</v>
      </c>
      <c r="H486" s="10">
        <v>22385.02</v>
      </c>
      <c r="J486">
        <v>45061</v>
      </c>
      <c r="K486" t="str">
        <v>South</v>
      </c>
      <c r="L486" t="str">
        <v>Tamil Nadu</v>
      </c>
      <c r="M486" t="str">
        <v>Madurai</v>
      </c>
      <c r="N486" t="str">
        <v>Electronics</v>
      </c>
      <c r="O486">
        <v>16</v>
      </c>
      <c r="P486">
        <v>325.52</v>
      </c>
      <c r="Q486">
        <v>5208.32</v>
      </c>
    </row>
    <row r="487" spans="1:17">
      <c r="A487" s="19">
        <v>44943</v>
      </c>
      <c r="B487" t="s">
        <v>1242</v>
      </c>
      <c r="C487" t="s">
        <v>1243</v>
      </c>
      <c r="D487" t="s">
        <v>1245</v>
      </c>
      <c r="E487" t="s">
        <v>132</v>
      </c>
      <c r="F487" s="10">
        <v>6</v>
      </c>
      <c r="G487" s="10">
        <v>3671.84</v>
      </c>
      <c r="H487" s="10">
        <v>22031.040000000001</v>
      </c>
      <c r="J487">
        <v>45214</v>
      </c>
      <c r="K487" t="str">
        <v>South</v>
      </c>
      <c r="L487" t="str">
        <v>Tamil Nadu</v>
      </c>
      <c r="M487" t="str">
        <v>Madurai</v>
      </c>
      <c r="N487" t="str">
        <v>Electronics</v>
      </c>
      <c r="O487">
        <v>15</v>
      </c>
      <c r="P487">
        <v>346.45</v>
      </c>
      <c r="Q487">
        <v>5196.75</v>
      </c>
    </row>
    <row r="488" spans="1:17">
      <c r="A488" s="19">
        <v>45160</v>
      </c>
      <c r="B488" t="s">
        <v>1229</v>
      </c>
      <c r="C488" t="s">
        <v>1237</v>
      </c>
      <c r="D488" t="s">
        <v>1239</v>
      </c>
      <c r="E488" t="s">
        <v>132</v>
      </c>
      <c r="F488" s="10">
        <v>5</v>
      </c>
      <c r="G488" s="10">
        <v>4386.2</v>
      </c>
      <c r="H488" s="10">
        <v>21931</v>
      </c>
      <c r="J488">
        <v>45039</v>
      </c>
      <c r="K488" t="str">
        <v>South</v>
      </c>
      <c r="L488" t="str">
        <v>Tamil Nadu</v>
      </c>
      <c r="M488" t="str">
        <v>Madurai</v>
      </c>
      <c r="N488" t="str">
        <v>Electronics</v>
      </c>
      <c r="O488">
        <v>3</v>
      </c>
      <c r="P488">
        <v>938.33</v>
      </c>
      <c r="Q488">
        <v>2814.99</v>
      </c>
    </row>
    <row r="489" spans="1:17">
      <c r="A489" s="19">
        <v>45276</v>
      </c>
      <c r="B489" t="s">
        <v>1231</v>
      </c>
      <c r="C489" t="s">
        <v>1235</v>
      </c>
      <c r="D489" t="s">
        <v>1238</v>
      </c>
      <c r="E489" t="s">
        <v>132</v>
      </c>
      <c r="F489" s="10">
        <v>7</v>
      </c>
      <c r="G489" s="10">
        <v>3052.99</v>
      </c>
      <c r="H489" s="10">
        <v>21370.93</v>
      </c>
      <c r="J489">
        <v>45095</v>
      </c>
      <c r="K489" t="str">
        <v>South</v>
      </c>
      <c r="L489" t="str">
        <v>Tamil Nadu</v>
      </c>
      <c r="M489" t="str">
        <v>Madurai</v>
      </c>
      <c r="N489" t="str">
        <v>Electronics</v>
      </c>
      <c r="O489">
        <v>8</v>
      </c>
      <c r="P489">
        <v>308.68</v>
      </c>
      <c r="Q489">
        <v>2469.44</v>
      </c>
    </row>
    <row r="490" spans="1:17">
      <c r="A490" s="19">
        <v>44946</v>
      </c>
      <c r="B490" t="s">
        <v>1231</v>
      </c>
      <c r="C490" t="s">
        <v>1232</v>
      </c>
      <c r="D490" t="s">
        <v>1234</v>
      </c>
      <c r="E490" t="s">
        <v>132</v>
      </c>
      <c r="F490" s="10">
        <v>14</v>
      </c>
      <c r="G490" s="10">
        <v>1507.19</v>
      </c>
      <c r="H490" s="10">
        <v>21100.66</v>
      </c>
      <c r="J490">
        <v>45236</v>
      </c>
      <c r="K490" t="str">
        <v>South</v>
      </c>
      <c r="L490" t="str">
        <v>Tamil Nadu</v>
      </c>
      <c r="M490" t="str">
        <v>Madurai</v>
      </c>
      <c r="N490" t="str">
        <v>Electronics</v>
      </c>
      <c r="O490">
        <v>1</v>
      </c>
      <c r="P490">
        <v>585.58000000000004</v>
      </c>
      <c r="Q490">
        <v>585.58000000000004</v>
      </c>
    </row>
    <row r="491" spans="1:17">
      <c r="A491" s="19">
        <v>45150</v>
      </c>
      <c r="B491" t="s">
        <v>1229</v>
      </c>
      <c r="C491" t="s">
        <v>1237</v>
      </c>
      <c r="D491" t="s">
        <v>1173</v>
      </c>
      <c r="E491" t="s">
        <v>132</v>
      </c>
      <c r="F491" s="10">
        <v>5</v>
      </c>
      <c r="G491" s="10">
        <v>4198.97</v>
      </c>
      <c r="H491" s="10">
        <v>20994.85</v>
      </c>
      <c r="J491">
        <v>44942</v>
      </c>
      <c r="K491" t="str">
        <v>South</v>
      </c>
      <c r="L491" t="str">
        <v>Tamil Nadu</v>
      </c>
      <c r="M491" t="str">
        <v>Madurai</v>
      </c>
      <c r="N491" t="str">
        <v>Furniture</v>
      </c>
      <c r="O491">
        <v>19</v>
      </c>
      <c r="P491">
        <v>4771.5</v>
      </c>
      <c r="Q491">
        <v>90658.5</v>
      </c>
    </row>
    <row r="492" spans="1:17">
      <c r="A492" s="19">
        <v>45264</v>
      </c>
      <c r="B492" t="s">
        <v>1231</v>
      </c>
      <c r="C492" t="s">
        <v>1235</v>
      </c>
      <c r="D492" t="s">
        <v>1236</v>
      </c>
      <c r="E492" t="s">
        <v>132</v>
      </c>
      <c r="F492" s="10">
        <v>11</v>
      </c>
      <c r="G492" s="10">
        <v>1905.7</v>
      </c>
      <c r="H492" s="10">
        <v>20962.7</v>
      </c>
      <c r="J492">
        <v>45260</v>
      </c>
      <c r="K492" t="str">
        <v>South</v>
      </c>
      <c r="L492" t="str">
        <v>Tamil Nadu</v>
      </c>
      <c r="M492" t="str">
        <v>Madurai</v>
      </c>
      <c r="N492" t="str">
        <v>Furniture</v>
      </c>
      <c r="O492">
        <v>17</v>
      </c>
      <c r="P492">
        <v>4890.5</v>
      </c>
      <c r="Q492">
        <v>83138.5</v>
      </c>
    </row>
    <row r="493" spans="1:17">
      <c r="A493" s="19">
        <v>45011</v>
      </c>
      <c r="B493" t="s">
        <v>1229</v>
      </c>
      <c r="C493" t="s">
        <v>1230</v>
      </c>
      <c r="D493" t="s">
        <v>1248</v>
      </c>
      <c r="E493" t="s">
        <v>132</v>
      </c>
      <c r="F493" s="10">
        <v>18</v>
      </c>
      <c r="G493" s="10">
        <v>1137.05</v>
      </c>
      <c r="H493" s="10">
        <v>20466.900000000001</v>
      </c>
      <c r="J493">
        <v>45171</v>
      </c>
      <c r="K493" t="str">
        <v>South</v>
      </c>
      <c r="L493" t="str">
        <v>Tamil Nadu</v>
      </c>
      <c r="M493" t="str">
        <v>Madurai</v>
      </c>
      <c r="N493" t="str">
        <v>Furniture</v>
      </c>
      <c r="O493">
        <v>15</v>
      </c>
      <c r="P493">
        <v>4426.4399999999996</v>
      </c>
      <c r="Q493">
        <v>66396.600000000006</v>
      </c>
    </row>
    <row r="494" spans="1:17">
      <c r="A494" s="19">
        <v>45225</v>
      </c>
      <c r="B494" t="s">
        <v>1231</v>
      </c>
      <c r="C494" t="s">
        <v>1235</v>
      </c>
      <c r="D494" t="s">
        <v>1241</v>
      </c>
      <c r="E494" t="s">
        <v>132</v>
      </c>
      <c r="F494" s="10">
        <v>18</v>
      </c>
      <c r="G494" s="10">
        <v>1132.04</v>
      </c>
      <c r="H494" s="10">
        <v>20376.72</v>
      </c>
      <c r="J494">
        <v>45035</v>
      </c>
      <c r="K494" t="str">
        <v>South</v>
      </c>
      <c r="L494" t="str">
        <v>Tamil Nadu</v>
      </c>
      <c r="M494" t="str">
        <v>Madurai</v>
      </c>
      <c r="N494" t="str">
        <v>Furniture</v>
      </c>
      <c r="O494">
        <v>13</v>
      </c>
      <c r="P494">
        <v>4911.57</v>
      </c>
      <c r="Q494">
        <v>63850.41</v>
      </c>
    </row>
    <row r="495" spans="1:17">
      <c r="A495" s="19">
        <v>45253</v>
      </c>
      <c r="B495" t="s">
        <v>1242</v>
      </c>
      <c r="C495" t="s">
        <v>1243</v>
      </c>
      <c r="D495" t="s">
        <v>1244</v>
      </c>
      <c r="E495" t="s">
        <v>132</v>
      </c>
      <c r="F495" s="10">
        <v>5</v>
      </c>
      <c r="G495" s="10">
        <v>3900.9</v>
      </c>
      <c r="H495" s="10">
        <v>19504.5</v>
      </c>
      <c r="J495">
        <v>44962</v>
      </c>
      <c r="K495" t="str">
        <v>South</v>
      </c>
      <c r="L495" t="str">
        <v>Tamil Nadu</v>
      </c>
      <c r="M495" t="str">
        <v>Madurai</v>
      </c>
      <c r="N495" t="str">
        <v>Furniture</v>
      </c>
      <c r="O495">
        <v>20</v>
      </c>
      <c r="P495">
        <v>2860.11</v>
      </c>
      <c r="Q495">
        <v>57202.2</v>
      </c>
    </row>
    <row r="496" spans="1:17">
      <c r="A496" s="19">
        <v>45031</v>
      </c>
      <c r="B496" t="s">
        <v>1231</v>
      </c>
      <c r="C496" t="s">
        <v>1232</v>
      </c>
      <c r="D496" t="s">
        <v>1240</v>
      </c>
      <c r="E496" t="s">
        <v>132</v>
      </c>
      <c r="F496" s="10">
        <v>13</v>
      </c>
      <c r="G496" s="10">
        <v>1466.66</v>
      </c>
      <c r="H496" s="10">
        <v>19066.580000000002</v>
      </c>
      <c r="J496">
        <v>45264</v>
      </c>
      <c r="K496" t="str">
        <v>South</v>
      </c>
      <c r="L496" t="str">
        <v>Tamil Nadu</v>
      </c>
      <c r="M496" t="str">
        <v>Madurai</v>
      </c>
      <c r="N496" t="str">
        <v>Furniture</v>
      </c>
      <c r="O496">
        <v>7</v>
      </c>
      <c r="P496">
        <v>4720.63</v>
      </c>
      <c r="Q496">
        <v>33044.410000000003</v>
      </c>
    </row>
    <row r="497" spans="1:17">
      <c r="A497" s="19">
        <v>45187</v>
      </c>
      <c r="B497" t="s">
        <v>1231</v>
      </c>
      <c r="C497" t="s">
        <v>1232</v>
      </c>
      <c r="D497" t="s">
        <v>1240</v>
      </c>
      <c r="E497" t="s">
        <v>132</v>
      </c>
      <c r="F497" s="10">
        <v>7</v>
      </c>
      <c r="G497" s="10">
        <v>2706.33</v>
      </c>
      <c r="H497" s="10">
        <v>18944.310000000001</v>
      </c>
      <c r="J497">
        <v>45032</v>
      </c>
      <c r="K497" t="str">
        <v>South</v>
      </c>
      <c r="L497" t="str">
        <v>Tamil Nadu</v>
      </c>
      <c r="M497" t="str">
        <v>Madurai</v>
      </c>
      <c r="N497" t="str">
        <v>Furniture</v>
      </c>
      <c r="O497">
        <v>10</v>
      </c>
      <c r="P497">
        <v>2861.62</v>
      </c>
      <c r="Q497">
        <v>28616.2</v>
      </c>
    </row>
    <row r="498" spans="1:17">
      <c r="A498" s="19">
        <v>45083</v>
      </c>
      <c r="B498" t="s">
        <v>1229</v>
      </c>
      <c r="C498" t="s">
        <v>1230</v>
      </c>
      <c r="D498" t="s">
        <v>1246</v>
      </c>
      <c r="E498" t="s">
        <v>132</v>
      </c>
      <c r="F498" s="10">
        <v>6</v>
      </c>
      <c r="G498" s="10">
        <v>3051.1</v>
      </c>
      <c r="H498" s="10">
        <v>18306.599999999999</v>
      </c>
      <c r="J498">
        <v>45031</v>
      </c>
      <c r="K498" t="str">
        <v>South</v>
      </c>
      <c r="L498" t="str">
        <v>Tamil Nadu</v>
      </c>
      <c r="M498" t="str">
        <v>Madurai</v>
      </c>
      <c r="N498" t="str">
        <v>Furniture</v>
      </c>
      <c r="O498">
        <v>13</v>
      </c>
      <c r="P498">
        <v>1466.66</v>
      </c>
      <c r="Q498">
        <v>19066.580000000002</v>
      </c>
    </row>
    <row r="499" spans="1:17">
      <c r="A499" s="19">
        <v>45286</v>
      </c>
      <c r="B499" t="s">
        <v>1231</v>
      </c>
      <c r="C499" t="s">
        <v>1232</v>
      </c>
      <c r="D499" t="s">
        <v>1234</v>
      </c>
      <c r="E499" t="s">
        <v>132</v>
      </c>
      <c r="F499" s="10">
        <v>7</v>
      </c>
      <c r="G499" s="10">
        <v>2557.77</v>
      </c>
      <c r="H499" s="10">
        <v>17904.39</v>
      </c>
      <c r="J499">
        <v>45187</v>
      </c>
      <c r="K499" t="str">
        <v>South</v>
      </c>
      <c r="L499" t="str">
        <v>Tamil Nadu</v>
      </c>
      <c r="M499" t="str">
        <v>Madurai</v>
      </c>
      <c r="N499" t="str">
        <v>Furniture</v>
      </c>
      <c r="O499">
        <v>7</v>
      </c>
      <c r="P499">
        <v>2706.33</v>
      </c>
      <c r="Q499">
        <v>18944.310000000001</v>
      </c>
    </row>
    <row r="500" spans="1:17">
      <c r="A500" s="19">
        <v>45076</v>
      </c>
      <c r="B500" t="s">
        <v>1229</v>
      </c>
      <c r="C500" t="s">
        <v>1237</v>
      </c>
      <c r="D500" t="s">
        <v>1173</v>
      </c>
      <c r="E500" t="s">
        <v>132</v>
      </c>
      <c r="F500" s="10">
        <v>4</v>
      </c>
      <c r="G500" s="10">
        <v>4368.46</v>
      </c>
      <c r="H500" s="10">
        <v>17473.84</v>
      </c>
      <c r="J500">
        <v>45068</v>
      </c>
      <c r="K500" t="str">
        <v>South</v>
      </c>
      <c r="L500" t="str">
        <v>Tamil Nadu</v>
      </c>
      <c r="M500" t="str">
        <v>Madurai</v>
      </c>
      <c r="N500" t="str">
        <v>Furniture</v>
      </c>
      <c r="O500">
        <v>17</v>
      </c>
      <c r="P500">
        <v>947.7</v>
      </c>
      <c r="Q500">
        <v>16110.9</v>
      </c>
    </row>
    <row r="501" spans="1:17">
      <c r="A501" s="19">
        <v>44980</v>
      </c>
      <c r="B501" t="s">
        <v>1242</v>
      </c>
      <c r="C501" t="s">
        <v>1243</v>
      </c>
      <c r="D501" t="s">
        <v>1245</v>
      </c>
      <c r="E501" t="s">
        <v>132</v>
      </c>
      <c r="F501" s="10">
        <v>5</v>
      </c>
      <c r="G501" s="10">
        <v>3404.87</v>
      </c>
      <c r="H501" s="10">
        <v>17024.349999999999</v>
      </c>
      <c r="J501">
        <v>45168</v>
      </c>
      <c r="K501" t="str">
        <v>South</v>
      </c>
      <c r="L501" t="str">
        <v>Tamil Nadu</v>
      </c>
      <c r="M501" t="str">
        <v>Madurai</v>
      </c>
      <c r="N501" t="str">
        <v>Furniture</v>
      </c>
      <c r="O501">
        <v>3</v>
      </c>
      <c r="P501">
        <v>4363.3</v>
      </c>
      <c r="Q501">
        <v>13089.9</v>
      </c>
    </row>
    <row r="502" spans="1:17">
      <c r="A502" s="19">
        <v>44980</v>
      </c>
      <c r="B502" t="s">
        <v>1229</v>
      </c>
      <c r="C502" t="s">
        <v>1237</v>
      </c>
      <c r="D502" t="s">
        <v>1239</v>
      </c>
      <c r="E502" t="s">
        <v>132</v>
      </c>
      <c r="F502" s="10">
        <v>4</v>
      </c>
      <c r="G502" s="10">
        <v>4245.67</v>
      </c>
      <c r="H502" s="10">
        <v>16982.68</v>
      </c>
      <c r="J502">
        <v>45016</v>
      </c>
      <c r="K502" t="str">
        <v>South</v>
      </c>
      <c r="L502" t="str">
        <v>Tamil Nadu</v>
      </c>
      <c r="M502" t="str">
        <v>Madurai</v>
      </c>
      <c r="N502" t="str">
        <v>Furniture</v>
      </c>
      <c r="O502">
        <v>4</v>
      </c>
      <c r="P502">
        <v>2701.93</v>
      </c>
      <c r="Q502">
        <v>10807.72</v>
      </c>
    </row>
    <row r="503" spans="1:17">
      <c r="A503" s="19">
        <v>45089</v>
      </c>
      <c r="B503" t="s">
        <v>1242</v>
      </c>
      <c r="C503" t="s">
        <v>1243</v>
      </c>
      <c r="D503" t="s">
        <v>1245</v>
      </c>
      <c r="E503" t="s">
        <v>132</v>
      </c>
      <c r="F503" s="10">
        <v>12</v>
      </c>
      <c r="G503" s="10">
        <v>1377.41</v>
      </c>
      <c r="H503" s="10">
        <v>16528.919999999998</v>
      </c>
      <c r="J503">
        <v>45139</v>
      </c>
      <c r="K503" t="str">
        <v>South</v>
      </c>
      <c r="L503" t="str">
        <v>Tamil Nadu</v>
      </c>
      <c r="M503" t="str">
        <v>Madurai</v>
      </c>
      <c r="N503" t="str">
        <v>Furniture</v>
      </c>
      <c r="O503">
        <v>11</v>
      </c>
      <c r="P503">
        <v>968.17</v>
      </c>
      <c r="Q503">
        <v>10649.87</v>
      </c>
    </row>
    <row r="504" spans="1:17">
      <c r="A504" s="19">
        <v>45241</v>
      </c>
      <c r="B504" t="s">
        <v>1229</v>
      </c>
      <c r="C504" t="s">
        <v>1230</v>
      </c>
      <c r="D504" t="s">
        <v>1169</v>
      </c>
      <c r="E504" t="s">
        <v>132</v>
      </c>
      <c r="F504" s="10">
        <v>16</v>
      </c>
      <c r="G504" s="10">
        <v>1023.78</v>
      </c>
      <c r="H504" s="10">
        <v>16380.48</v>
      </c>
      <c r="J504">
        <v>44940</v>
      </c>
      <c r="K504" t="str">
        <v>South</v>
      </c>
      <c r="L504" t="str">
        <v>Tamil Nadu</v>
      </c>
      <c r="M504" t="str">
        <v>Madurai</v>
      </c>
      <c r="N504" t="str">
        <v>Furniture</v>
      </c>
      <c r="O504">
        <v>2</v>
      </c>
      <c r="P504">
        <v>3072.48</v>
      </c>
      <c r="Q504">
        <v>6144.96</v>
      </c>
    </row>
    <row r="505" spans="1:17">
      <c r="A505" s="19">
        <v>45001</v>
      </c>
      <c r="B505" t="s">
        <v>1231</v>
      </c>
      <c r="C505" t="s">
        <v>1232</v>
      </c>
      <c r="D505" t="s">
        <v>1233</v>
      </c>
      <c r="E505" t="s">
        <v>132</v>
      </c>
      <c r="F505" s="10">
        <v>9</v>
      </c>
      <c r="G505" s="10">
        <v>1805.32</v>
      </c>
      <c r="H505" s="10">
        <v>16247.88</v>
      </c>
      <c r="J505">
        <v>45092</v>
      </c>
      <c r="K505" t="str">
        <v>South</v>
      </c>
      <c r="L505" t="str">
        <v>Tamil Nadu</v>
      </c>
      <c r="M505" t="str">
        <v>Madurai</v>
      </c>
      <c r="N505" t="str">
        <v>Groceries</v>
      </c>
      <c r="O505">
        <v>20</v>
      </c>
      <c r="P505">
        <v>3684.86</v>
      </c>
      <c r="Q505">
        <v>73697.2</v>
      </c>
    </row>
    <row r="506" spans="1:17">
      <c r="A506" s="19">
        <v>45238</v>
      </c>
      <c r="B506" t="s">
        <v>1231</v>
      </c>
      <c r="C506" t="s">
        <v>1232</v>
      </c>
      <c r="D506" t="s">
        <v>1233</v>
      </c>
      <c r="E506" t="s">
        <v>132</v>
      </c>
      <c r="F506" s="10">
        <v>4</v>
      </c>
      <c r="G506" s="10">
        <v>4058.48</v>
      </c>
      <c r="H506" s="10">
        <v>16233.92</v>
      </c>
      <c r="J506">
        <v>45182</v>
      </c>
      <c r="K506" t="str">
        <v>South</v>
      </c>
      <c r="L506" t="str">
        <v>Tamil Nadu</v>
      </c>
      <c r="M506" t="str">
        <v>Madurai</v>
      </c>
      <c r="N506" t="str">
        <v>Groceries</v>
      </c>
      <c r="O506">
        <v>8</v>
      </c>
      <c r="P506">
        <v>4651.3</v>
      </c>
      <c r="Q506">
        <v>37210.400000000001</v>
      </c>
    </row>
    <row r="507" spans="1:17">
      <c r="A507" s="19">
        <v>45068</v>
      </c>
      <c r="B507" t="s">
        <v>1231</v>
      </c>
      <c r="C507" t="s">
        <v>1232</v>
      </c>
      <c r="D507" t="s">
        <v>1240</v>
      </c>
      <c r="E507" t="s">
        <v>132</v>
      </c>
      <c r="F507" s="10">
        <v>17</v>
      </c>
      <c r="G507" s="10">
        <v>947.7</v>
      </c>
      <c r="H507" s="10">
        <v>16110.9</v>
      </c>
      <c r="J507">
        <v>45258</v>
      </c>
      <c r="K507" t="str">
        <v>South</v>
      </c>
      <c r="L507" t="str">
        <v>Tamil Nadu</v>
      </c>
      <c r="M507" t="str">
        <v>Madurai</v>
      </c>
      <c r="N507" t="str">
        <v>Groceries</v>
      </c>
      <c r="O507">
        <v>13</v>
      </c>
      <c r="P507">
        <v>2347.66</v>
      </c>
      <c r="Q507">
        <v>30519.58</v>
      </c>
    </row>
    <row r="508" spans="1:17">
      <c r="A508" s="19">
        <v>45188</v>
      </c>
      <c r="B508" t="s">
        <v>1231</v>
      </c>
      <c r="C508" t="s">
        <v>1235</v>
      </c>
      <c r="D508" t="s">
        <v>1238</v>
      </c>
      <c r="E508" t="s">
        <v>132</v>
      </c>
      <c r="F508" s="10">
        <v>18</v>
      </c>
      <c r="G508" s="10">
        <v>883.32</v>
      </c>
      <c r="H508" s="10">
        <v>15899.76</v>
      </c>
      <c r="J508">
        <v>45187</v>
      </c>
      <c r="K508" t="str">
        <v>South</v>
      </c>
      <c r="L508" t="str">
        <v>Tamil Nadu</v>
      </c>
      <c r="M508" t="str">
        <v>Madurai</v>
      </c>
      <c r="N508" t="str">
        <v>Groceries</v>
      </c>
      <c r="O508">
        <v>12</v>
      </c>
      <c r="P508">
        <v>1947.14</v>
      </c>
      <c r="Q508">
        <v>23365.68</v>
      </c>
    </row>
    <row r="509" spans="1:17">
      <c r="A509" s="19">
        <v>45124</v>
      </c>
      <c r="B509" t="s">
        <v>1231</v>
      </c>
      <c r="C509" t="s">
        <v>1235</v>
      </c>
      <c r="D509" t="s">
        <v>1241</v>
      </c>
      <c r="E509" t="s">
        <v>132</v>
      </c>
      <c r="F509" s="10">
        <v>16</v>
      </c>
      <c r="G509" s="10">
        <v>971.39</v>
      </c>
      <c r="H509" s="10">
        <v>15542.24</v>
      </c>
      <c r="J509">
        <v>45279</v>
      </c>
      <c r="K509" t="str">
        <v>South</v>
      </c>
      <c r="L509" t="str">
        <v>Tamil Nadu</v>
      </c>
      <c r="M509" t="str">
        <v>Madurai</v>
      </c>
      <c r="N509" t="str">
        <v>Groceries</v>
      </c>
      <c r="O509">
        <v>11</v>
      </c>
      <c r="P509">
        <v>1389.59</v>
      </c>
      <c r="Q509">
        <v>15285.49</v>
      </c>
    </row>
    <row r="510" spans="1:17">
      <c r="A510" s="19">
        <v>45229</v>
      </c>
      <c r="B510" t="s">
        <v>1231</v>
      </c>
      <c r="C510" t="s">
        <v>1235</v>
      </c>
      <c r="D510" t="s">
        <v>1238</v>
      </c>
      <c r="E510" t="s">
        <v>132</v>
      </c>
      <c r="F510" s="10">
        <v>5</v>
      </c>
      <c r="G510" s="10">
        <v>3103.12</v>
      </c>
      <c r="H510" s="10">
        <v>15515.6</v>
      </c>
      <c r="J510">
        <v>45148</v>
      </c>
      <c r="K510" t="str">
        <v>South</v>
      </c>
      <c r="L510" t="str">
        <v>Tamil Nadu</v>
      </c>
      <c r="M510" t="str">
        <v>Madurai</v>
      </c>
      <c r="N510" t="str">
        <v>Groceries</v>
      </c>
      <c r="O510">
        <v>4</v>
      </c>
      <c r="P510">
        <v>2740.14</v>
      </c>
      <c r="Q510">
        <v>10960.56</v>
      </c>
    </row>
    <row r="511" spans="1:17">
      <c r="A511" s="19">
        <v>45165</v>
      </c>
      <c r="B511" t="s">
        <v>1242</v>
      </c>
      <c r="C511" t="s">
        <v>1243</v>
      </c>
      <c r="D511" t="s">
        <v>1247</v>
      </c>
      <c r="E511" t="s">
        <v>132</v>
      </c>
      <c r="F511" s="10">
        <v>14</v>
      </c>
      <c r="G511" s="10">
        <v>1094.1400000000001</v>
      </c>
      <c r="H511" s="10">
        <v>15317.96</v>
      </c>
      <c r="J511">
        <v>45110</v>
      </c>
      <c r="K511" t="str">
        <v>South</v>
      </c>
      <c r="L511" t="str">
        <v>Tamil Nadu</v>
      </c>
      <c r="M511" t="str">
        <v>Madurai</v>
      </c>
      <c r="N511" t="str">
        <v>Groceries</v>
      </c>
      <c r="O511">
        <v>3</v>
      </c>
      <c r="P511">
        <v>2966.4</v>
      </c>
      <c r="Q511">
        <v>8899.2000000000007</v>
      </c>
    </row>
    <row r="512" spans="1:17">
      <c r="A512" s="19">
        <v>45274</v>
      </c>
      <c r="B512" t="s">
        <v>1242</v>
      </c>
      <c r="C512" t="s">
        <v>1243</v>
      </c>
      <c r="D512" t="s">
        <v>1245</v>
      </c>
      <c r="E512" t="s">
        <v>132</v>
      </c>
      <c r="F512" s="10">
        <v>5</v>
      </c>
      <c r="G512" s="10">
        <v>2957.2</v>
      </c>
      <c r="H512" s="10">
        <v>14786</v>
      </c>
      <c r="J512">
        <v>44966</v>
      </c>
      <c r="K512" t="str">
        <v>South</v>
      </c>
      <c r="L512" t="str">
        <v>Tamil Nadu</v>
      </c>
      <c r="M512" t="str">
        <v>Madurai</v>
      </c>
      <c r="N512" t="str">
        <v>Groceries</v>
      </c>
      <c r="O512">
        <v>1</v>
      </c>
      <c r="P512">
        <v>3964.37</v>
      </c>
      <c r="Q512">
        <v>3964.37</v>
      </c>
    </row>
    <row r="513" spans="1:17">
      <c r="A513" s="19">
        <v>44991</v>
      </c>
      <c r="B513" t="s">
        <v>1229</v>
      </c>
      <c r="C513" t="s">
        <v>1230</v>
      </c>
      <c r="D513" t="s">
        <v>1248</v>
      </c>
      <c r="E513" t="s">
        <v>132</v>
      </c>
      <c r="F513" s="10">
        <v>18</v>
      </c>
      <c r="G513" s="10">
        <v>814.69</v>
      </c>
      <c r="H513" s="10">
        <v>14664.42</v>
      </c>
      <c r="J513">
        <v>45010</v>
      </c>
      <c r="K513" t="str">
        <v>South</v>
      </c>
      <c r="L513" t="str">
        <v>Tamil Nadu</v>
      </c>
      <c r="M513" t="str">
        <v>Madurai</v>
      </c>
      <c r="N513" t="str">
        <v>Groceries</v>
      </c>
      <c r="O513">
        <v>5</v>
      </c>
      <c r="P513">
        <v>695.3</v>
      </c>
      <c r="Q513">
        <v>3476.5</v>
      </c>
    </row>
    <row r="514" spans="1:17">
      <c r="A514" s="19">
        <v>45142</v>
      </c>
      <c r="B514" t="s">
        <v>1231</v>
      </c>
      <c r="C514" t="s">
        <v>1235</v>
      </c>
      <c r="D514" t="s">
        <v>1241</v>
      </c>
      <c r="E514" t="s">
        <v>132</v>
      </c>
      <c r="F514" s="10">
        <v>3</v>
      </c>
      <c r="G514" s="10">
        <v>4876.51</v>
      </c>
      <c r="H514" s="10">
        <v>14629.53</v>
      </c>
      <c r="J514">
        <v>45161</v>
      </c>
      <c r="K514" t="str">
        <v>South</v>
      </c>
      <c r="L514" t="str">
        <v>Tamil Nadu</v>
      </c>
      <c r="M514" t="str">
        <v>Madurai</v>
      </c>
      <c r="N514" t="str">
        <v>Groceries</v>
      </c>
      <c r="O514">
        <v>3</v>
      </c>
      <c r="P514">
        <v>1076.57</v>
      </c>
      <c r="Q514">
        <v>3229.71</v>
      </c>
    </row>
    <row r="515" spans="1:17">
      <c r="A515" s="19">
        <v>45109</v>
      </c>
      <c r="B515" t="s">
        <v>1231</v>
      </c>
      <c r="C515" t="s">
        <v>1235</v>
      </c>
      <c r="D515" t="s">
        <v>1238</v>
      </c>
      <c r="E515" t="s">
        <v>132</v>
      </c>
      <c r="F515" s="10">
        <v>20</v>
      </c>
      <c r="G515" s="10">
        <v>722.13</v>
      </c>
      <c r="H515" s="10">
        <v>14442.6</v>
      </c>
      <c r="J515">
        <v>45071</v>
      </c>
      <c r="K515" t="str">
        <v>South</v>
      </c>
      <c r="L515" t="str">
        <v>Tamil Nadu</v>
      </c>
      <c r="M515" t="str">
        <v>Madurai</v>
      </c>
      <c r="N515" t="str">
        <v>Groceries</v>
      </c>
      <c r="O515">
        <v>4</v>
      </c>
      <c r="P515">
        <v>430.91</v>
      </c>
      <c r="Q515">
        <v>1723.64</v>
      </c>
    </row>
    <row r="516" spans="1:17">
      <c r="A516" s="19">
        <v>44994</v>
      </c>
      <c r="B516" t="s">
        <v>1229</v>
      </c>
      <c r="C516" t="s">
        <v>1230</v>
      </c>
      <c r="D516" t="s">
        <v>1169</v>
      </c>
      <c r="E516" t="s">
        <v>132</v>
      </c>
      <c r="F516" s="10">
        <v>15</v>
      </c>
      <c r="G516" s="10">
        <v>961.23</v>
      </c>
      <c r="H516" s="10">
        <v>14418.45</v>
      </c>
      <c r="J516">
        <v>45228</v>
      </c>
      <c r="K516" t="str">
        <v>South</v>
      </c>
      <c r="L516" t="str">
        <v>Tamil Nadu</v>
      </c>
      <c r="M516" t="str">
        <v>Madurai</v>
      </c>
      <c r="N516" t="str">
        <v>Groceries</v>
      </c>
      <c r="O516">
        <v>1</v>
      </c>
      <c r="P516">
        <v>1239.25</v>
      </c>
      <c r="Q516">
        <v>1239.25</v>
      </c>
    </row>
    <row r="517" spans="1:17">
      <c r="A517" s="19">
        <v>45028</v>
      </c>
      <c r="B517" t="s">
        <v>1229</v>
      </c>
      <c r="C517" t="s">
        <v>1230</v>
      </c>
      <c r="D517" t="s">
        <v>1169</v>
      </c>
      <c r="E517" t="s">
        <v>132</v>
      </c>
      <c r="F517" s="10">
        <v>19</v>
      </c>
      <c r="G517" s="10">
        <v>713.8</v>
      </c>
      <c r="H517" s="10">
        <v>13562.2</v>
      </c>
      <c r="J517">
        <v>45001</v>
      </c>
      <c r="K517" t="str">
        <v>South</v>
      </c>
      <c r="L517" t="str">
        <v>Tamil Nadu</v>
      </c>
      <c r="M517" t="str">
        <v>Madurai</v>
      </c>
      <c r="N517" t="str">
        <v>Stationery</v>
      </c>
      <c r="O517">
        <v>15</v>
      </c>
      <c r="P517">
        <v>4724.91</v>
      </c>
      <c r="Q517">
        <v>70873.649999999994</v>
      </c>
    </row>
    <row r="518" spans="1:17">
      <c r="A518" s="19">
        <v>45040</v>
      </c>
      <c r="B518" t="s">
        <v>1229</v>
      </c>
      <c r="C518" t="s">
        <v>1237</v>
      </c>
      <c r="D518" t="s">
        <v>1239</v>
      </c>
      <c r="E518" t="s">
        <v>132</v>
      </c>
      <c r="F518" s="10">
        <v>7</v>
      </c>
      <c r="G518" s="10">
        <v>1905.14</v>
      </c>
      <c r="H518" s="10">
        <v>13335.98</v>
      </c>
      <c r="J518">
        <v>44946</v>
      </c>
      <c r="K518" t="str">
        <v>South</v>
      </c>
      <c r="L518" t="str">
        <v>Tamil Nadu</v>
      </c>
      <c r="M518" t="str">
        <v>Madurai</v>
      </c>
      <c r="N518" t="str">
        <v>Stationery</v>
      </c>
      <c r="O518">
        <v>20</v>
      </c>
      <c r="P518">
        <v>3280.87</v>
      </c>
      <c r="Q518">
        <v>65617.399999999994</v>
      </c>
    </row>
    <row r="519" spans="1:17">
      <c r="A519" s="19">
        <v>45138</v>
      </c>
      <c r="B519" t="s">
        <v>1229</v>
      </c>
      <c r="C519" t="s">
        <v>1230</v>
      </c>
      <c r="D519" t="s">
        <v>1246</v>
      </c>
      <c r="E519" t="s">
        <v>132</v>
      </c>
      <c r="F519" s="10">
        <v>14</v>
      </c>
      <c r="G519" s="10">
        <v>948.05</v>
      </c>
      <c r="H519" s="10">
        <v>13272.7</v>
      </c>
      <c r="J519">
        <v>45145</v>
      </c>
      <c r="K519" t="str">
        <v>South</v>
      </c>
      <c r="L519" t="str">
        <v>Tamil Nadu</v>
      </c>
      <c r="M519" t="str">
        <v>Madurai</v>
      </c>
      <c r="N519" t="str">
        <v>Stationery</v>
      </c>
      <c r="O519">
        <v>15</v>
      </c>
      <c r="P519">
        <v>3897.39</v>
      </c>
      <c r="Q519">
        <v>58460.85</v>
      </c>
    </row>
    <row r="520" spans="1:17">
      <c r="A520" s="19">
        <v>45168</v>
      </c>
      <c r="B520" t="s">
        <v>1231</v>
      </c>
      <c r="C520" t="s">
        <v>1232</v>
      </c>
      <c r="D520" t="s">
        <v>1240</v>
      </c>
      <c r="E520" t="s">
        <v>132</v>
      </c>
      <c r="F520" s="10">
        <v>3</v>
      </c>
      <c r="G520" s="10">
        <v>4363.3</v>
      </c>
      <c r="H520" s="10">
        <v>13089.9</v>
      </c>
      <c r="J520">
        <v>45023</v>
      </c>
      <c r="K520" t="str">
        <v>South</v>
      </c>
      <c r="L520" t="str">
        <v>Tamil Nadu</v>
      </c>
      <c r="M520" t="str">
        <v>Madurai</v>
      </c>
      <c r="N520" t="str">
        <v>Stationery</v>
      </c>
      <c r="O520">
        <v>17</v>
      </c>
      <c r="P520">
        <v>3233.82</v>
      </c>
      <c r="Q520">
        <v>54974.94</v>
      </c>
    </row>
    <row r="521" spans="1:17">
      <c r="A521" s="19">
        <v>45127</v>
      </c>
      <c r="B521" t="s">
        <v>1242</v>
      </c>
      <c r="C521" t="s">
        <v>1243</v>
      </c>
      <c r="D521" t="s">
        <v>1245</v>
      </c>
      <c r="E521" t="s">
        <v>132</v>
      </c>
      <c r="F521" s="10">
        <v>17</v>
      </c>
      <c r="G521" s="10">
        <v>758.19</v>
      </c>
      <c r="H521" s="10">
        <v>12889.23</v>
      </c>
      <c r="J521">
        <v>44971</v>
      </c>
      <c r="K521" t="str">
        <v>South</v>
      </c>
      <c r="L521" t="str">
        <v>Tamil Nadu</v>
      </c>
      <c r="M521" t="str">
        <v>Madurai</v>
      </c>
      <c r="N521" t="str">
        <v>Stationery</v>
      </c>
      <c r="O521">
        <v>12</v>
      </c>
      <c r="P521">
        <v>2733.87</v>
      </c>
      <c r="Q521">
        <v>32806.44</v>
      </c>
    </row>
    <row r="522" spans="1:17">
      <c r="A522" s="19">
        <v>45254</v>
      </c>
      <c r="B522" t="s">
        <v>1231</v>
      </c>
      <c r="C522" t="s">
        <v>1232</v>
      </c>
      <c r="D522" t="s">
        <v>1234</v>
      </c>
      <c r="E522" t="s">
        <v>132</v>
      </c>
      <c r="F522" s="10">
        <v>5</v>
      </c>
      <c r="G522" s="10">
        <v>2481.2199999999998</v>
      </c>
      <c r="H522" s="10">
        <v>12406.1</v>
      </c>
      <c r="J522">
        <v>45071</v>
      </c>
      <c r="K522" t="str">
        <v>South</v>
      </c>
      <c r="L522" t="str">
        <v>Tamil Nadu</v>
      </c>
      <c r="M522" t="str">
        <v>Madurai</v>
      </c>
      <c r="N522" t="str">
        <v>Stationery</v>
      </c>
      <c r="O522">
        <v>14</v>
      </c>
      <c r="P522">
        <v>1972.22</v>
      </c>
      <c r="Q522">
        <v>27611.08</v>
      </c>
    </row>
    <row r="523" spans="1:17">
      <c r="A523" s="19">
        <v>45244</v>
      </c>
      <c r="B523" t="s">
        <v>1242</v>
      </c>
      <c r="C523" t="s">
        <v>1243</v>
      </c>
      <c r="D523" t="s">
        <v>1245</v>
      </c>
      <c r="E523" t="s">
        <v>132</v>
      </c>
      <c r="F523" s="10">
        <v>5</v>
      </c>
      <c r="G523" s="10">
        <v>2423.83</v>
      </c>
      <c r="H523" s="10">
        <v>12119.15</v>
      </c>
      <c r="J523">
        <v>45248</v>
      </c>
      <c r="K523" t="str">
        <v>South</v>
      </c>
      <c r="L523" t="str">
        <v>Tamil Nadu</v>
      </c>
      <c r="M523" t="str">
        <v>Madurai</v>
      </c>
      <c r="N523" t="str">
        <v>Stationery</v>
      </c>
      <c r="O523">
        <v>16</v>
      </c>
      <c r="P523">
        <v>1480.7</v>
      </c>
      <c r="Q523">
        <v>23691.200000000001</v>
      </c>
    </row>
    <row r="524" spans="1:17">
      <c r="A524" s="19">
        <v>45107</v>
      </c>
      <c r="B524" t="s">
        <v>1231</v>
      </c>
      <c r="C524" t="s">
        <v>1235</v>
      </c>
      <c r="D524" t="s">
        <v>1241</v>
      </c>
      <c r="E524" t="s">
        <v>132</v>
      </c>
      <c r="F524" s="10">
        <v>20</v>
      </c>
      <c r="G524" s="10">
        <v>603.49</v>
      </c>
      <c r="H524" s="10">
        <v>12069.8</v>
      </c>
      <c r="J524">
        <v>44947</v>
      </c>
      <c r="K524" t="str">
        <v>South</v>
      </c>
      <c r="L524" t="str">
        <v>Tamil Nadu</v>
      </c>
      <c r="M524" t="str">
        <v>Madurai</v>
      </c>
      <c r="N524" t="str">
        <v>Stationery</v>
      </c>
      <c r="O524">
        <v>14</v>
      </c>
      <c r="P524">
        <v>1487.12</v>
      </c>
      <c r="Q524">
        <v>20819.68</v>
      </c>
    </row>
    <row r="525" spans="1:17">
      <c r="A525" s="19">
        <v>44931</v>
      </c>
      <c r="B525" t="s">
        <v>1231</v>
      </c>
      <c r="C525" t="s">
        <v>1235</v>
      </c>
      <c r="D525" t="s">
        <v>1241</v>
      </c>
      <c r="E525" t="s">
        <v>132</v>
      </c>
      <c r="F525" s="10">
        <v>13</v>
      </c>
      <c r="G525" s="10">
        <v>914.82</v>
      </c>
      <c r="H525" s="10">
        <v>11892.66</v>
      </c>
      <c r="J525">
        <v>45260</v>
      </c>
      <c r="K525" t="str">
        <v>South</v>
      </c>
      <c r="L525" t="str">
        <v>Tamil Nadu</v>
      </c>
      <c r="M525" t="str">
        <v>Madurai</v>
      </c>
      <c r="N525" t="str">
        <v>Stationery</v>
      </c>
      <c r="O525">
        <v>9</v>
      </c>
      <c r="P525">
        <v>1378.65</v>
      </c>
      <c r="Q525">
        <v>12407.85</v>
      </c>
    </row>
    <row r="526" spans="1:17">
      <c r="A526" s="19">
        <v>45150</v>
      </c>
      <c r="B526" t="s">
        <v>1229</v>
      </c>
      <c r="C526" t="s">
        <v>1237</v>
      </c>
      <c r="D526" t="s">
        <v>1171</v>
      </c>
      <c r="E526" t="s">
        <v>132</v>
      </c>
      <c r="F526" s="10">
        <v>3</v>
      </c>
      <c r="G526" s="10">
        <v>3957.38</v>
      </c>
      <c r="H526" s="10">
        <v>11872.14</v>
      </c>
      <c r="J526">
        <v>45076</v>
      </c>
      <c r="K526" t="str">
        <v>South</v>
      </c>
      <c r="L526" t="str">
        <v>Tamil Nadu</v>
      </c>
      <c r="M526" t="str">
        <v>Madurai</v>
      </c>
      <c r="N526" t="str">
        <v>Stationery</v>
      </c>
      <c r="O526">
        <v>4</v>
      </c>
      <c r="P526">
        <v>2830.6</v>
      </c>
      <c r="Q526">
        <v>11322.4</v>
      </c>
    </row>
    <row r="527" spans="1:17">
      <c r="A527" s="19">
        <v>45284</v>
      </c>
      <c r="B527" t="s">
        <v>1231</v>
      </c>
      <c r="C527" t="s">
        <v>1232</v>
      </c>
      <c r="D527" t="s">
        <v>1234</v>
      </c>
      <c r="E527" t="s">
        <v>132</v>
      </c>
      <c r="F527" s="10">
        <v>9</v>
      </c>
      <c r="G527" s="10">
        <v>1302.45</v>
      </c>
      <c r="H527" s="10">
        <v>11722.05</v>
      </c>
      <c r="J527">
        <v>45218</v>
      </c>
      <c r="K527" t="str">
        <v>South</v>
      </c>
      <c r="L527" t="str">
        <v>Tamil Nadu</v>
      </c>
      <c r="M527" t="str">
        <v>Madurai</v>
      </c>
      <c r="N527" t="str">
        <v>Stationery</v>
      </c>
      <c r="O527">
        <v>18</v>
      </c>
      <c r="P527">
        <v>532.4</v>
      </c>
      <c r="Q527">
        <v>9583.2000000000007</v>
      </c>
    </row>
    <row r="528" spans="1:17">
      <c r="A528" s="19">
        <v>44949</v>
      </c>
      <c r="B528" t="s">
        <v>1229</v>
      </c>
      <c r="C528" t="s">
        <v>1237</v>
      </c>
      <c r="D528" t="s">
        <v>1171</v>
      </c>
      <c r="E528" t="s">
        <v>132</v>
      </c>
      <c r="F528" s="10">
        <v>8</v>
      </c>
      <c r="G528" s="10">
        <v>1412.48</v>
      </c>
      <c r="H528" s="10">
        <v>11299.84</v>
      </c>
      <c r="J528">
        <v>45156</v>
      </c>
      <c r="K528" t="str">
        <v>South</v>
      </c>
      <c r="L528" t="str">
        <v>Tamil Nadu</v>
      </c>
      <c r="M528" t="str">
        <v>Madurai</v>
      </c>
      <c r="N528" t="str">
        <v>Stationery</v>
      </c>
      <c r="O528">
        <v>3</v>
      </c>
      <c r="P528">
        <v>1577.9</v>
      </c>
      <c r="Q528">
        <v>4733.7</v>
      </c>
    </row>
    <row r="529" spans="1:17">
      <c r="A529" s="19">
        <v>45173</v>
      </c>
      <c r="B529" t="s">
        <v>1231</v>
      </c>
      <c r="C529" t="s">
        <v>1232</v>
      </c>
      <c r="D529" t="s">
        <v>1234</v>
      </c>
      <c r="E529" t="s">
        <v>132</v>
      </c>
      <c r="F529" s="10">
        <v>8</v>
      </c>
      <c r="G529" s="10">
        <v>1410.46</v>
      </c>
      <c r="H529" s="10">
        <v>11283.68</v>
      </c>
      <c r="J529">
        <v>45213</v>
      </c>
      <c r="K529" t="str">
        <v>South</v>
      </c>
      <c r="L529" t="str">
        <v>Tamil Nadu</v>
      </c>
      <c r="M529" t="str">
        <v>Madurai</v>
      </c>
      <c r="N529" t="str">
        <v>Stationery</v>
      </c>
      <c r="O529">
        <v>1</v>
      </c>
      <c r="P529">
        <v>648.88</v>
      </c>
      <c r="Q529">
        <v>648.88</v>
      </c>
    </row>
    <row r="530" spans="1:17">
      <c r="A530" s="19">
        <v>45135</v>
      </c>
      <c r="B530" t="s">
        <v>1231</v>
      </c>
      <c r="C530" t="s">
        <v>1235</v>
      </c>
      <c r="D530" t="s">
        <v>1241</v>
      </c>
      <c r="E530" t="s">
        <v>132</v>
      </c>
      <c r="F530" s="10">
        <v>6</v>
      </c>
      <c r="G530" s="10">
        <v>1872.18</v>
      </c>
      <c r="H530" s="10">
        <v>11233.08</v>
      </c>
      <c r="J530">
        <v>45049</v>
      </c>
      <c r="K530" t="str">
        <v>West</v>
      </c>
      <c r="L530" t="str">
        <v>Maharashtra</v>
      </c>
      <c r="M530" t="str">
        <v>Mumbai</v>
      </c>
      <c r="N530" t="str">
        <v>Clothing</v>
      </c>
      <c r="O530">
        <v>19</v>
      </c>
      <c r="P530">
        <v>4137.4399999999996</v>
      </c>
      <c r="Q530">
        <v>78611.360000000001</v>
      </c>
    </row>
    <row r="531" spans="1:17">
      <c r="A531" s="19">
        <v>45070</v>
      </c>
      <c r="B531" t="s">
        <v>1229</v>
      </c>
      <c r="C531" t="s">
        <v>1237</v>
      </c>
      <c r="D531" t="s">
        <v>1239</v>
      </c>
      <c r="E531" t="s">
        <v>132</v>
      </c>
      <c r="F531" s="10">
        <v>4</v>
      </c>
      <c r="G531" s="10">
        <v>2792.23</v>
      </c>
      <c r="H531" s="10">
        <v>11168.92</v>
      </c>
      <c r="J531">
        <v>44971</v>
      </c>
      <c r="K531" t="str">
        <v>West</v>
      </c>
      <c r="L531" t="str">
        <v>Maharashtra</v>
      </c>
      <c r="M531" t="str">
        <v>Mumbai</v>
      </c>
      <c r="N531" t="str">
        <v>Clothing</v>
      </c>
      <c r="O531">
        <v>15</v>
      </c>
      <c r="P531">
        <v>4822.26</v>
      </c>
      <c r="Q531">
        <v>72333.899999999994</v>
      </c>
    </row>
    <row r="532" spans="1:17">
      <c r="A532" s="19">
        <v>45125</v>
      </c>
      <c r="B532" t="s">
        <v>1231</v>
      </c>
      <c r="C532" t="s">
        <v>1235</v>
      </c>
      <c r="D532" t="s">
        <v>1238</v>
      </c>
      <c r="E532" t="s">
        <v>132</v>
      </c>
      <c r="F532" s="10">
        <v>8</v>
      </c>
      <c r="G532" s="10">
        <v>1366.18</v>
      </c>
      <c r="H532" s="10">
        <v>10929.44</v>
      </c>
      <c r="J532">
        <v>45129</v>
      </c>
      <c r="K532" t="str">
        <v>West</v>
      </c>
      <c r="L532" t="str">
        <v>Maharashtra</v>
      </c>
      <c r="M532" t="str">
        <v>Mumbai</v>
      </c>
      <c r="N532" t="str">
        <v>Clothing</v>
      </c>
      <c r="O532">
        <v>20</v>
      </c>
      <c r="P532">
        <v>2631.58</v>
      </c>
      <c r="Q532">
        <v>52631.6</v>
      </c>
    </row>
    <row r="533" spans="1:17">
      <c r="A533" s="19">
        <v>45016</v>
      </c>
      <c r="B533" t="s">
        <v>1231</v>
      </c>
      <c r="C533" t="s">
        <v>1232</v>
      </c>
      <c r="D533" t="s">
        <v>1240</v>
      </c>
      <c r="E533" t="s">
        <v>132</v>
      </c>
      <c r="F533" s="10">
        <v>4</v>
      </c>
      <c r="G533" s="10">
        <v>2701.93</v>
      </c>
      <c r="H533" s="10">
        <v>10807.72</v>
      </c>
      <c r="J533">
        <v>45156</v>
      </c>
      <c r="K533" t="str">
        <v>West</v>
      </c>
      <c r="L533" t="str">
        <v>Maharashtra</v>
      </c>
      <c r="M533" t="str">
        <v>Mumbai</v>
      </c>
      <c r="N533" t="str">
        <v>Clothing</v>
      </c>
      <c r="O533">
        <v>12</v>
      </c>
      <c r="P533">
        <v>3400.71</v>
      </c>
      <c r="Q533">
        <v>40808.519999999997</v>
      </c>
    </row>
    <row r="534" spans="1:17">
      <c r="A534" s="19">
        <v>45069</v>
      </c>
      <c r="B534" t="s">
        <v>1231</v>
      </c>
      <c r="C534" t="s">
        <v>1235</v>
      </c>
      <c r="D534" t="s">
        <v>1236</v>
      </c>
      <c r="E534" t="s">
        <v>132</v>
      </c>
      <c r="F534" s="10">
        <v>4</v>
      </c>
      <c r="G534" s="10">
        <v>2689.7</v>
      </c>
      <c r="H534" s="10">
        <v>10758.8</v>
      </c>
      <c r="J534">
        <v>45122</v>
      </c>
      <c r="K534" t="str">
        <v>West</v>
      </c>
      <c r="L534" t="str">
        <v>Maharashtra</v>
      </c>
      <c r="M534" t="str">
        <v>Mumbai</v>
      </c>
      <c r="N534" t="str">
        <v>Clothing</v>
      </c>
      <c r="O534">
        <v>20</v>
      </c>
      <c r="P534">
        <v>1977</v>
      </c>
      <c r="Q534">
        <v>39540</v>
      </c>
    </row>
    <row r="535" spans="1:17">
      <c r="A535" s="19">
        <v>45139</v>
      </c>
      <c r="B535" t="s">
        <v>1231</v>
      </c>
      <c r="C535" t="s">
        <v>1232</v>
      </c>
      <c r="D535" t="s">
        <v>1240</v>
      </c>
      <c r="E535" t="s">
        <v>132</v>
      </c>
      <c r="F535" s="10">
        <v>11</v>
      </c>
      <c r="G535" s="10">
        <v>968.17</v>
      </c>
      <c r="H535" s="10">
        <v>10649.87</v>
      </c>
      <c r="J535">
        <v>45056</v>
      </c>
      <c r="K535" t="str">
        <v>West</v>
      </c>
      <c r="L535" t="str">
        <v>Maharashtra</v>
      </c>
      <c r="M535" t="str">
        <v>Mumbai</v>
      </c>
      <c r="N535" t="str">
        <v>Clothing</v>
      </c>
      <c r="O535">
        <v>18</v>
      </c>
      <c r="P535">
        <v>2074.52</v>
      </c>
      <c r="Q535">
        <v>37341.360000000001</v>
      </c>
    </row>
    <row r="536" spans="1:17">
      <c r="A536" s="19">
        <v>45208</v>
      </c>
      <c r="B536" t="s">
        <v>1231</v>
      </c>
      <c r="C536" t="s">
        <v>1232</v>
      </c>
      <c r="D536" t="s">
        <v>1233</v>
      </c>
      <c r="E536" t="s">
        <v>132</v>
      </c>
      <c r="F536" s="10">
        <v>3</v>
      </c>
      <c r="G536" s="10">
        <v>3533.3</v>
      </c>
      <c r="H536" s="10">
        <v>10599.9</v>
      </c>
      <c r="J536">
        <v>45092</v>
      </c>
      <c r="K536" t="str">
        <v>West</v>
      </c>
      <c r="L536" t="str">
        <v>Maharashtra</v>
      </c>
      <c r="M536" t="str">
        <v>Mumbai</v>
      </c>
      <c r="N536" t="str">
        <v>Clothing</v>
      </c>
      <c r="O536">
        <v>19</v>
      </c>
      <c r="P536">
        <v>1965.12</v>
      </c>
      <c r="Q536">
        <v>37337.279999999999</v>
      </c>
    </row>
    <row r="537" spans="1:17">
      <c r="A537" s="19">
        <v>44953</v>
      </c>
      <c r="B537" t="s">
        <v>1242</v>
      </c>
      <c r="C537" t="s">
        <v>1243</v>
      </c>
      <c r="D537" t="s">
        <v>1247</v>
      </c>
      <c r="E537" t="s">
        <v>132</v>
      </c>
      <c r="F537" s="10">
        <v>8</v>
      </c>
      <c r="G537" s="10">
        <v>1314.71</v>
      </c>
      <c r="H537" s="10">
        <v>10517.68</v>
      </c>
      <c r="J537">
        <v>45176</v>
      </c>
      <c r="K537" t="str">
        <v>West</v>
      </c>
      <c r="L537" t="str">
        <v>Maharashtra</v>
      </c>
      <c r="M537" t="str">
        <v>Mumbai</v>
      </c>
      <c r="N537" t="str">
        <v>Clothing</v>
      </c>
      <c r="O537">
        <v>13</v>
      </c>
      <c r="P537">
        <v>2809.29</v>
      </c>
      <c r="Q537">
        <v>36520.769999999997</v>
      </c>
    </row>
    <row r="538" spans="1:17">
      <c r="A538" s="19">
        <v>45283</v>
      </c>
      <c r="B538" t="s">
        <v>1242</v>
      </c>
      <c r="C538" t="s">
        <v>1243</v>
      </c>
      <c r="D538" t="s">
        <v>1247</v>
      </c>
      <c r="E538" t="s">
        <v>132</v>
      </c>
      <c r="F538" s="10">
        <v>13</v>
      </c>
      <c r="G538" s="10">
        <v>802.18</v>
      </c>
      <c r="H538" s="10">
        <v>10428.34</v>
      </c>
      <c r="J538">
        <v>45279</v>
      </c>
      <c r="K538" t="str">
        <v>West</v>
      </c>
      <c r="L538" t="str">
        <v>Maharashtra</v>
      </c>
      <c r="M538" t="str">
        <v>Mumbai</v>
      </c>
      <c r="N538" t="str">
        <v>Clothing</v>
      </c>
      <c r="O538">
        <v>20</v>
      </c>
      <c r="P538">
        <v>1507.52</v>
      </c>
      <c r="Q538">
        <v>30150.400000000001</v>
      </c>
    </row>
    <row r="539" spans="1:17">
      <c r="A539" s="19">
        <v>44960</v>
      </c>
      <c r="B539" t="s">
        <v>1229</v>
      </c>
      <c r="C539" t="s">
        <v>1230</v>
      </c>
      <c r="D539" t="s">
        <v>1248</v>
      </c>
      <c r="E539" t="s">
        <v>132</v>
      </c>
      <c r="F539" s="10">
        <v>4</v>
      </c>
      <c r="G539" s="10">
        <v>2514.88</v>
      </c>
      <c r="H539" s="10">
        <v>10059.52</v>
      </c>
      <c r="J539">
        <v>45290</v>
      </c>
      <c r="K539" t="str">
        <v>West</v>
      </c>
      <c r="L539" t="str">
        <v>Maharashtra</v>
      </c>
      <c r="M539" t="str">
        <v>Mumbai</v>
      </c>
      <c r="N539" t="str">
        <v>Clothing</v>
      </c>
      <c r="O539">
        <v>18</v>
      </c>
      <c r="P539">
        <v>1533.77</v>
      </c>
      <c r="Q539">
        <v>27607.86</v>
      </c>
    </row>
    <row r="540" spans="1:17">
      <c r="A540" s="19">
        <v>45108</v>
      </c>
      <c r="B540" t="s">
        <v>1231</v>
      </c>
      <c r="C540" t="s">
        <v>1232</v>
      </c>
      <c r="D540" t="s">
        <v>1234</v>
      </c>
      <c r="E540" t="s">
        <v>132</v>
      </c>
      <c r="F540" s="10">
        <v>2</v>
      </c>
      <c r="G540" s="10">
        <v>4997.2299999999996</v>
      </c>
      <c r="H540" s="10">
        <v>9994.4599999999991</v>
      </c>
      <c r="J540">
        <v>44996</v>
      </c>
      <c r="K540" t="str">
        <v>West</v>
      </c>
      <c r="L540" t="str">
        <v>Maharashtra</v>
      </c>
      <c r="M540" t="str">
        <v>Mumbai</v>
      </c>
      <c r="N540" t="str">
        <v>Clothing</v>
      </c>
      <c r="O540">
        <v>20</v>
      </c>
      <c r="P540">
        <v>1222.92</v>
      </c>
      <c r="Q540">
        <v>24458.400000000001</v>
      </c>
    </row>
    <row r="541" spans="1:17">
      <c r="A541" s="19">
        <v>45046</v>
      </c>
      <c r="B541" t="s">
        <v>1242</v>
      </c>
      <c r="C541" t="s">
        <v>1243</v>
      </c>
      <c r="D541" t="s">
        <v>1247</v>
      </c>
      <c r="E541" t="s">
        <v>132</v>
      </c>
      <c r="F541" s="10">
        <v>6</v>
      </c>
      <c r="G541" s="10">
        <v>1508.35</v>
      </c>
      <c r="H541" s="10">
        <v>9050.1</v>
      </c>
      <c r="J541">
        <v>45273</v>
      </c>
      <c r="K541" t="str">
        <v>West</v>
      </c>
      <c r="L541" t="str">
        <v>Maharashtra</v>
      </c>
      <c r="M541" t="str">
        <v>Mumbai</v>
      </c>
      <c r="N541" t="str">
        <v>Clothing</v>
      </c>
      <c r="O541">
        <v>11</v>
      </c>
      <c r="P541">
        <v>2097.48</v>
      </c>
      <c r="Q541">
        <v>23072.28</v>
      </c>
    </row>
    <row r="542" spans="1:17">
      <c r="A542" s="19">
        <v>44961</v>
      </c>
      <c r="B542" t="s">
        <v>1231</v>
      </c>
      <c r="C542" t="s">
        <v>1232</v>
      </c>
      <c r="D542" t="s">
        <v>1234</v>
      </c>
      <c r="E542" t="s">
        <v>132</v>
      </c>
      <c r="F542" s="10">
        <v>3</v>
      </c>
      <c r="G542" s="10">
        <v>3007.45</v>
      </c>
      <c r="H542" s="10">
        <v>9022.35</v>
      </c>
      <c r="J542">
        <v>44982</v>
      </c>
      <c r="K542" t="str">
        <v>West</v>
      </c>
      <c r="L542" t="str">
        <v>Maharashtra</v>
      </c>
      <c r="M542" t="str">
        <v>Mumbai</v>
      </c>
      <c r="N542" t="str">
        <v>Clothing</v>
      </c>
      <c r="O542">
        <v>5</v>
      </c>
      <c r="P542">
        <v>3926.26</v>
      </c>
      <c r="Q542">
        <v>19631.3</v>
      </c>
    </row>
    <row r="543" spans="1:17">
      <c r="A543" s="19">
        <v>44951</v>
      </c>
      <c r="B543" t="s">
        <v>1229</v>
      </c>
      <c r="C543" t="s">
        <v>1237</v>
      </c>
      <c r="D543" t="s">
        <v>1173</v>
      </c>
      <c r="E543" t="s">
        <v>132</v>
      </c>
      <c r="F543" s="10">
        <v>2</v>
      </c>
      <c r="G543" s="10">
        <v>4439.5</v>
      </c>
      <c r="H543" s="10">
        <v>8879</v>
      </c>
      <c r="J543">
        <v>45229</v>
      </c>
      <c r="K543" t="str">
        <v>West</v>
      </c>
      <c r="L543" t="str">
        <v>Maharashtra</v>
      </c>
      <c r="M543" t="str">
        <v>Mumbai</v>
      </c>
      <c r="N543" t="str">
        <v>Clothing</v>
      </c>
      <c r="O543">
        <v>5</v>
      </c>
      <c r="P543">
        <v>3288.58</v>
      </c>
      <c r="Q543">
        <v>16442.900000000001</v>
      </c>
    </row>
    <row r="544" spans="1:17">
      <c r="A544" s="19">
        <v>45227</v>
      </c>
      <c r="B544" t="s">
        <v>1231</v>
      </c>
      <c r="C544" t="s">
        <v>1232</v>
      </c>
      <c r="D544" t="s">
        <v>1233</v>
      </c>
      <c r="E544" t="s">
        <v>132</v>
      </c>
      <c r="F544" s="10">
        <v>3</v>
      </c>
      <c r="G544" s="10">
        <v>2756.83</v>
      </c>
      <c r="H544" s="10">
        <v>8270.49</v>
      </c>
      <c r="J544">
        <v>45128</v>
      </c>
      <c r="K544" t="str">
        <v>West</v>
      </c>
      <c r="L544" t="str">
        <v>Maharashtra</v>
      </c>
      <c r="M544" t="str">
        <v>Mumbai</v>
      </c>
      <c r="N544" t="str">
        <v>Clothing</v>
      </c>
      <c r="O544">
        <v>5</v>
      </c>
      <c r="P544">
        <v>3156.9</v>
      </c>
      <c r="Q544">
        <v>15784.5</v>
      </c>
    </row>
    <row r="545" spans="1:17">
      <c r="A545" s="19">
        <v>45074</v>
      </c>
      <c r="B545" t="s">
        <v>1231</v>
      </c>
      <c r="C545" t="s">
        <v>1235</v>
      </c>
      <c r="D545" t="s">
        <v>1238</v>
      </c>
      <c r="E545" t="s">
        <v>132</v>
      </c>
      <c r="F545" s="10">
        <v>2</v>
      </c>
      <c r="G545" s="10">
        <v>4019.4</v>
      </c>
      <c r="H545" s="10">
        <v>8038.8</v>
      </c>
      <c r="J545">
        <v>44949</v>
      </c>
      <c r="K545" t="str">
        <v>West</v>
      </c>
      <c r="L545" t="str">
        <v>Maharashtra</v>
      </c>
      <c r="M545" t="str">
        <v>Mumbai</v>
      </c>
      <c r="N545" t="str">
        <v>Clothing</v>
      </c>
      <c r="O545">
        <v>9</v>
      </c>
      <c r="P545">
        <v>808.93</v>
      </c>
      <c r="Q545">
        <v>7280.37</v>
      </c>
    </row>
    <row r="546" spans="1:17">
      <c r="A546" s="19">
        <v>45075</v>
      </c>
      <c r="B546" t="s">
        <v>1231</v>
      </c>
      <c r="C546" t="s">
        <v>1235</v>
      </c>
      <c r="D546" t="s">
        <v>1241</v>
      </c>
      <c r="E546" t="s">
        <v>132</v>
      </c>
      <c r="F546" s="10">
        <v>4</v>
      </c>
      <c r="G546" s="10">
        <v>1993.97</v>
      </c>
      <c r="H546" s="10">
        <v>7975.88</v>
      </c>
      <c r="J546">
        <v>45024</v>
      </c>
      <c r="K546" t="str">
        <v>West</v>
      </c>
      <c r="L546" t="str">
        <v>Maharashtra</v>
      </c>
      <c r="M546" t="str">
        <v>Mumbai</v>
      </c>
      <c r="N546" t="str">
        <v>Clothing</v>
      </c>
      <c r="O546">
        <v>1</v>
      </c>
      <c r="P546">
        <v>3847.65</v>
      </c>
      <c r="Q546">
        <v>3847.65</v>
      </c>
    </row>
    <row r="547" spans="1:17">
      <c r="A547" s="19">
        <v>45219</v>
      </c>
      <c r="B547" t="s">
        <v>1231</v>
      </c>
      <c r="C547" t="s">
        <v>1232</v>
      </c>
      <c r="D547" t="s">
        <v>1234</v>
      </c>
      <c r="E547" t="s">
        <v>132</v>
      </c>
      <c r="F547" s="10">
        <v>3</v>
      </c>
      <c r="G547" s="10">
        <v>2444.6</v>
      </c>
      <c r="H547" s="10">
        <v>7333.8</v>
      </c>
      <c r="J547">
        <v>45279</v>
      </c>
      <c r="K547" t="str">
        <v>West</v>
      </c>
      <c r="L547" t="str">
        <v>Maharashtra</v>
      </c>
      <c r="M547" t="str">
        <v>Mumbai</v>
      </c>
      <c r="N547" t="str">
        <v>Electronics</v>
      </c>
      <c r="O547">
        <v>19</v>
      </c>
      <c r="P547">
        <v>3718.59</v>
      </c>
      <c r="Q547">
        <v>70653.210000000006</v>
      </c>
    </row>
    <row r="548" spans="1:17">
      <c r="A548" s="19">
        <v>44978</v>
      </c>
      <c r="B548" t="s">
        <v>1229</v>
      </c>
      <c r="C548" t="s">
        <v>1237</v>
      </c>
      <c r="D548" t="s">
        <v>1171</v>
      </c>
      <c r="E548" t="s">
        <v>132</v>
      </c>
      <c r="F548" s="10">
        <v>4</v>
      </c>
      <c r="G548" s="10">
        <v>1831.79</v>
      </c>
      <c r="H548" s="10">
        <v>7327.16</v>
      </c>
      <c r="J548">
        <v>44961</v>
      </c>
      <c r="K548" t="str">
        <v>West</v>
      </c>
      <c r="L548" t="str">
        <v>Maharashtra</v>
      </c>
      <c r="M548" t="str">
        <v>Mumbai</v>
      </c>
      <c r="N548" t="str">
        <v>Electronics</v>
      </c>
      <c r="O548">
        <v>17</v>
      </c>
      <c r="P548">
        <v>4100.2700000000004</v>
      </c>
      <c r="Q548">
        <v>69704.59</v>
      </c>
    </row>
    <row r="549" spans="1:17">
      <c r="A549" s="19">
        <v>45083</v>
      </c>
      <c r="B549" t="s">
        <v>1229</v>
      </c>
      <c r="C549" t="s">
        <v>1237</v>
      </c>
      <c r="D549" t="s">
        <v>1171</v>
      </c>
      <c r="E549" t="s">
        <v>132</v>
      </c>
      <c r="F549" s="10">
        <v>6</v>
      </c>
      <c r="G549" s="10">
        <v>1205.3599999999999</v>
      </c>
      <c r="H549" s="10">
        <v>7232.16</v>
      </c>
      <c r="J549">
        <v>45095</v>
      </c>
      <c r="K549" t="str">
        <v>West</v>
      </c>
      <c r="L549" t="str">
        <v>Maharashtra</v>
      </c>
      <c r="M549" t="str">
        <v>Mumbai</v>
      </c>
      <c r="N549" t="str">
        <v>Electronics</v>
      </c>
      <c r="O549">
        <v>14</v>
      </c>
      <c r="P549">
        <v>4428</v>
      </c>
      <c r="Q549">
        <v>61992</v>
      </c>
    </row>
    <row r="550" spans="1:17">
      <c r="A550" s="19">
        <v>45174</v>
      </c>
      <c r="B550" t="s">
        <v>1229</v>
      </c>
      <c r="C550" t="s">
        <v>1230</v>
      </c>
      <c r="D550" t="s">
        <v>1246</v>
      </c>
      <c r="E550" t="s">
        <v>132</v>
      </c>
      <c r="F550" s="10">
        <v>7</v>
      </c>
      <c r="G550" s="10">
        <v>978.46</v>
      </c>
      <c r="H550" s="10">
        <v>6849.22</v>
      </c>
      <c r="J550">
        <v>44968</v>
      </c>
      <c r="K550" t="str">
        <v>West</v>
      </c>
      <c r="L550" t="str">
        <v>Maharashtra</v>
      </c>
      <c r="M550" t="str">
        <v>Mumbai</v>
      </c>
      <c r="N550" t="str">
        <v>Electronics</v>
      </c>
      <c r="O550">
        <v>16</v>
      </c>
      <c r="P550">
        <v>2954.32</v>
      </c>
      <c r="Q550">
        <v>47269.120000000003</v>
      </c>
    </row>
    <row r="551" spans="1:17">
      <c r="A551" s="19">
        <v>44985</v>
      </c>
      <c r="B551" t="s">
        <v>1231</v>
      </c>
      <c r="C551" t="s">
        <v>1232</v>
      </c>
      <c r="D551" t="s">
        <v>1234</v>
      </c>
      <c r="E551" t="s">
        <v>132</v>
      </c>
      <c r="F551" s="10">
        <v>5</v>
      </c>
      <c r="G551" s="10">
        <v>1319.46</v>
      </c>
      <c r="H551" s="10">
        <v>6597.3</v>
      </c>
      <c r="J551">
        <v>45119</v>
      </c>
      <c r="K551" t="str">
        <v>West</v>
      </c>
      <c r="L551" t="str">
        <v>Maharashtra</v>
      </c>
      <c r="M551" t="str">
        <v>Mumbai</v>
      </c>
      <c r="N551" t="str">
        <v>Electronics</v>
      </c>
      <c r="O551">
        <v>9</v>
      </c>
      <c r="P551">
        <v>4757.53</v>
      </c>
      <c r="Q551">
        <v>42817.77</v>
      </c>
    </row>
    <row r="552" spans="1:17">
      <c r="A552" s="19">
        <v>44955</v>
      </c>
      <c r="B552" t="s">
        <v>1229</v>
      </c>
      <c r="C552" t="s">
        <v>1237</v>
      </c>
      <c r="D552" t="s">
        <v>1239</v>
      </c>
      <c r="E552" t="s">
        <v>132</v>
      </c>
      <c r="F552" s="10">
        <v>2</v>
      </c>
      <c r="G552" s="10">
        <v>3297.48</v>
      </c>
      <c r="H552" s="10">
        <v>6594.96</v>
      </c>
      <c r="J552">
        <v>45039</v>
      </c>
      <c r="K552" t="str">
        <v>West</v>
      </c>
      <c r="L552" t="str">
        <v>Maharashtra</v>
      </c>
      <c r="M552" t="str">
        <v>Mumbai</v>
      </c>
      <c r="N552" t="str">
        <v>Electronics</v>
      </c>
      <c r="O552">
        <v>14</v>
      </c>
      <c r="P552">
        <v>2775.33</v>
      </c>
      <c r="Q552">
        <v>38854.620000000003</v>
      </c>
    </row>
    <row r="553" spans="1:17">
      <c r="A553" s="19">
        <v>45021</v>
      </c>
      <c r="B553" t="s">
        <v>1231</v>
      </c>
      <c r="C553" t="s">
        <v>1232</v>
      </c>
      <c r="D553" t="s">
        <v>1234</v>
      </c>
      <c r="E553" t="s">
        <v>132</v>
      </c>
      <c r="F553" s="10">
        <v>9</v>
      </c>
      <c r="G553" s="10">
        <v>704.39</v>
      </c>
      <c r="H553" s="10">
        <v>6339.51</v>
      </c>
      <c r="J553">
        <v>45066</v>
      </c>
      <c r="K553" t="str">
        <v>West</v>
      </c>
      <c r="L553" t="str">
        <v>Maharashtra</v>
      </c>
      <c r="M553" t="str">
        <v>Mumbai</v>
      </c>
      <c r="N553" t="str">
        <v>Electronics</v>
      </c>
      <c r="O553">
        <v>8</v>
      </c>
      <c r="P553">
        <v>4576.97</v>
      </c>
      <c r="Q553">
        <v>36615.760000000002</v>
      </c>
    </row>
    <row r="554" spans="1:17">
      <c r="A554" s="19">
        <v>45070</v>
      </c>
      <c r="B554" t="s">
        <v>1229</v>
      </c>
      <c r="C554" t="s">
        <v>1237</v>
      </c>
      <c r="D554" t="s">
        <v>1239</v>
      </c>
      <c r="E554" t="s">
        <v>132</v>
      </c>
      <c r="F554" s="10">
        <v>3</v>
      </c>
      <c r="G554" s="10">
        <v>2082</v>
      </c>
      <c r="H554" s="10">
        <v>6246</v>
      </c>
      <c r="J554">
        <v>45026</v>
      </c>
      <c r="K554" t="str">
        <v>West</v>
      </c>
      <c r="L554" t="str">
        <v>Maharashtra</v>
      </c>
      <c r="M554" t="str">
        <v>Mumbai</v>
      </c>
      <c r="N554" t="str">
        <v>Electronics</v>
      </c>
      <c r="O554">
        <v>11</v>
      </c>
      <c r="P554">
        <v>1708.99</v>
      </c>
      <c r="Q554">
        <v>18798.89</v>
      </c>
    </row>
    <row r="555" spans="1:17">
      <c r="A555" s="19">
        <v>45195</v>
      </c>
      <c r="B555" t="s">
        <v>1231</v>
      </c>
      <c r="C555" t="s">
        <v>1235</v>
      </c>
      <c r="D555" t="s">
        <v>1238</v>
      </c>
      <c r="E555" t="s">
        <v>132</v>
      </c>
      <c r="F555" s="10">
        <v>15</v>
      </c>
      <c r="G555" s="10">
        <v>413.63</v>
      </c>
      <c r="H555" s="10">
        <v>6204.45</v>
      </c>
      <c r="J555">
        <v>45229</v>
      </c>
      <c r="K555" t="str">
        <v>West</v>
      </c>
      <c r="L555" t="str">
        <v>Maharashtra</v>
      </c>
      <c r="M555" t="str">
        <v>Mumbai</v>
      </c>
      <c r="N555" t="str">
        <v>Electronics</v>
      </c>
      <c r="O555">
        <v>15</v>
      </c>
      <c r="P555">
        <v>1113.76</v>
      </c>
      <c r="Q555">
        <v>16706.400000000001</v>
      </c>
    </row>
    <row r="556" spans="1:17">
      <c r="A556" s="19">
        <v>44940</v>
      </c>
      <c r="B556" t="s">
        <v>1231</v>
      </c>
      <c r="C556" t="s">
        <v>1232</v>
      </c>
      <c r="D556" t="s">
        <v>1240</v>
      </c>
      <c r="E556" t="s">
        <v>132</v>
      </c>
      <c r="F556" s="10">
        <v>2</v>
      </c>
      <c r="G556" s="10">
        <v>3072.48</v>
      </c>
      <c r="H556" s="10">
        <v>6144.96</v>
      </c>
      <c r="J556">
        <v>45177</v>
      </c>
      <c r="K556" t="str">
        <v>West</v>
      </c>
      <c r="L556" t="str">
        <v>Maharashtra</v>
      </c>
      <c r="M556" t="str">
        <v>Mumbai</v>
      </c>
      <c r="N556" t="str">
        <v>Electronics</v>
      </c>
      <c r="O556">
        <v>4</v>
      </c>
      <c r="P556">
        <v>3725.78</v>
      </c>
      <c r="Q556">
        <v>14903.12</v>
      </c>
    </row>
    <row r="557" spans="1:17">
      <c r="A557" s="19">
        <v>45115</v>
      </c>
      <c r="B557" t="s">
        <v>1231</v>
      </c>
      <c r="C557" t="s">
        <v>1235</v>
      </c>
      <c r="D557" t="s">
        <v>1238</v>
      </c>
      <c r="E557" t="s">
        <v>132</v>
      </c>
      <c r="F557" s="10">
        <v>5</v>
      </c>
      <c r="G557" s="10">
        <v>1185.45</v>
      </c>
      <c r="H557" s="10">
        <v>5927.25</v>
      </c>
      <c r="J557">
        <v>45146</v>
      </c>
      <c r="K557" t="str">
        <v>West</v>
      </c>
      <c r="L557" t="str">
        <v>Maharashtra</v>
      </c>
      <c r="M557" t="str">
        <v>Mumbai</v>
      </c>
      <c r="N557" t="str">
        <v>Electronics</v>
      </c>
      <c r="O557">
        <v>6</v>
      </c>
      <c r="P557">
        <v>1701.04</v>
      </c>
      <c r="Q557">
        <v>10206.24</v>
      </c>
    </row>
    <row r="558" spans="1:17">
      <c r="A558" s="19">
        <v>45108</v>
      </c>
      <c r="B558" t="s">
        <v>1242</v>
      </c>
      <c r="C558" t="s">
        <v>1243</v>
      </c>
      <c r="D558" t="s">
        <v>1247</v>
      </c>
      <c r="E558" t="s">
        <v>132</v>
      </c>
      <c r="F558" s="10">
        <v>16</v>
      </c>
      <c r="G558" s="10">
        <v>338.38</v>
      </c>
      <c r="H558" s="10">
        <v>5414.08</v>
      </c>
      <c r="J558">
        <v>45242</v>
      </c>
      <c r="K558" t="str">
        <v>West</v>
      </c>
      <c r="L558" t="str">
        <v>Maharashtra</v>
      </c>
      <c r="M558" t="str">
        <v>Mumbai</v>
      </c>
      <c r="N558" t="str">
        <v>Electronics</v>
      </c>
      <c r="O558">
        <v>7</v>
      </c>
      <c r="P558">
        <v>1458</v>
      </c>
      <c r="Q558">
        <v>10206</v>
      </c>
    </row>
    <row r="559" spans="1:17">
      <c r="A559" s="19">
        <v>45076</v>
      </c>
      <c r="B559" t="s">
        <v>1231</v>
      </c>
      <c r="C559" t="s">
        <v>1235</v>
      </c>
      <c r="D559" t="s">
        <v>1236</v>
      </c>
      <c r="E559" t="s">
        <v>132</v>
      </c>
      <c r="F559" s="10">
        <v>8</v>
      </c>
      <c r="G559" s="10">
        <v>659.36</v>
      </c>
      <c r="H559" s="10">
        <v>5274.88</v>
      </c>
      <c r="J559">
        <v>45164</v>
      </c>
      <c r="K559" t="str">
        <v>West</v>
      </c>
      <c r="L559" t="str">
        <v>Maharashtra</v>
      </c>
      <c r="M559" t="str">
        <v>Mumbai</v>
      </c>
      <c r="N559" t="str">
        <v>Electronics</v>
      </c>
      <c r="O559">
        <v>4</v>
      </c>
      <c r="P559">
        <v>1788.95</v>
      </c>
      <c r="Q559">
        <v>7155.8</v>
      </c>
    </row>
    <row r="560" spans="1:17">
      <c r="A560" s="19">
        <v>44947</v>
      </c>
      <c r="B560" t="s">
        <v>1242</v>
      </c>
      <c r="C560" t="s">
        <v>1243</v>
      </c>
      <c r="D560" t="s">
        <v>1245</v>
      </c>
      <c r="E560" t="s">
        <v>132</v>
      </c>
      <c r="F560" s="10">
        <v>6</v>
      </c>
      <c r="G560" s="10">
        <v>863.69</v>
      </c>
      <c r="H560" s="10">
        <v>5182.1400000000003</v>
      </c>
      <c r="J560">
        <v>45096</v>
      </c>
      <c r="K560" t="str">
        <v>West</v>
      </c>
      <c r="L560" t="str">
        <v>Maharashtra</v>
      </c>
      <c r="M560" t="str">
        <v>Mumbai</v>
      </c>
      <c r="N560" t="str">
        <v>Electronics</v>
      </c>
      <c r="O560">
        <v>2</v>
      </c>
      <c r="P560">
        <v>3239.94</v>
      </c>
      <c r="Q560">
        <v>6479.88</v>
      </c>
    </row>
    <row r="561" spans="1:17">
      <c r="A561" s="19">
        <v>45083</v>
      </c>
      <c r="B561" t="s">
        <v>1231</v>
      </c>
      <c r="C561" t="s">
        <v>1235</v>
      </c>
      <c r="D561" t="s">
        <v>1236</v>
      </c>
      <c r="E561" t="s">
        <v>132</v>
      </c>
      <c r="F561" s="10">
        <v>5</v>
      </c>
      <c r="G561" s="10">
        <v>975.39</v>
      </c>
      <c r="H561" s="10">
        <v>4876.95</v>
      </c>
      <c r="J561">
        <v>45192</v>
      </c>
      <c r="K561" t="str">
        <v>West</v>
      </c>
      <c r="L561" t="str">
        <v>Maharashtra</v>
      </c>
      <c r="M561" t="str">
        <v>Mumbai</v>
      </c>
      <c r="N561" t="str">
        <v>Electronics</v>
      </c>
      <c r="O561">
        <v>6</v>
      </c>
      <c r="P561">
        <v>686.38</v>
      </c>
      <c r="Q561">
        <v>4118.28</v>
      </c>
    </row>
    <row r="562" spans="1:17">
      <c r="A562" s="19">
        <v>45068</v>
      </c>
      <c r="B562" t="s">
        <v>1242</v>
      </c>
      <c r="C562" t="s">
        <v>1243</v>
      </c>
      <c r="D562" t="s">
        <v>1247</v>
      </c>
      <c r="E562" t="s">
        <v>132</v>
      </c>
      <c r="F562" s="10">
        <v>1</v>
      </c>
      <c r="G562" s="10">
        <v>4859.6499999999996</v>
      </c>
      <c r="H562" s="10">
        <v>4859.6499999999996</v>
      </c>
      <c r="J562">
        <v>45001</v>
      </c>
      <c r="K562" t="str">
        <v>West</v>
      </c>
      <c r="L562" t="str">
        <v>Maharashtra</v>
      </c>
      <c r="M562" t="str">
        <v>Mumbai</v>
      </c>
      <c r="N562" t="str">
        <v>Electronics</v>
      </c>
      <c r="O562">
        <v>1</v>
      </c>
      <c r="P562">
        <v>568.54999999999995</v>
      </c>
      <c r="Q562">
        <v>568.54999999999995</v>
      </c>
    </row>
    <row r="563" spans="1:17">
      <c r="A563" s="19">
        <v>45213</v>
      </c>
      <c r="B563" t="s">
        <v>1229</v>
      </c>
      <c r="C563" t="s">
        <v>1230</v>
      </c>
      <c r="D563" t="s">
        <v>1248</v>
      </c>
      <c r="E563" t="s">
        <v>132</v>
      </c>
      <c r="F563" s="10">
        <v>2</v>
      </c>
      <c r="G563" s="10">
        <v>2400.5500000000002</v>
      </c>
      <c r="H563" s="10">
        <v>4801.1000000000004</v>
      </c>
      <c r="J563">
        <v>45051</v>
      </c>
      <c r="K563" t="str">
        <v>West</v>
      </c>
      <c r="L563" t="str">
        <v>Maharashtra</v>
      </c>
      <c r="M563" t="str">
        <v>Mumbai</v>
      </c>
      <c r="N563" t="str">
        <v>Furniture</v>
      </c>
      <c r="O563">
        <v>20</v>
      </c>
      <c r="P563">
        <v>4270.08</v>
      </c>
      <c r="Q563">
        <v>85401.600000000006</v>
      </c>
    </row>
    <row r="564" spans="1:17">
      <c r="A564" s="19">
        <v>45031</v>
      </c>
      <c r="B564" t="s">
        <v>1231</v>
      </c>
      <c r="C564" t="s">
        <v>1232</v>
      </c>
      <c r="D564" t="s">
        <v>1234</v>
      </c>
      <c r="E564" t="s">
        <v>132</v>
      </c>
      <c r="F564" s="10">
        <v>8</v>
      </c>
      <c r="G564" s="10">
        <v>592.82000000000005</v>
      </c>
      <c r="H564" s="10">
        <v>4742.5600000000004</v>
      </c>
      <c r="J564">
        <v>45249</v>
      </c>
      <c r="K564" t="str">
        <v>West</v>
      </c>
      <c r="L564" t="str">
        <v>Maharashtra</v>
      </c>
      <c r="M564" t="str">
        <v>Mumbai</v>
      </c>
      <c r="N564" t="str">
        <v>Furniture</v>
      </c>
      <c r="O564">
        <v>15</v>
      </c>
      <c r="P564">
        <v>4785.6099999999997</v>
      </c>
      <c r="Q564">
        <v>71784.149999999994</v>
      </c>
    </row>
    <row r="565" spans="1:17">
      <c r="A565" s="19">
        <v>44964</v>
      </c>
      <c r="B565" t="s">
        <v>1231</v>
      </c>
      <c r="C565" t="s">
        <v>1232</v>
      </c>
      <c r="D565" t="s">
        <v>1233</v>
      </c>
      <c r="E565" t="s">
        <v>132</v>
      </c>
      <c r="F565" s="10">
        <v>8</v>
      </c>
      <c r="G565" s="10">
        <v>562.98</v>
      </c>
      <c r="H565" s="10">
        <v>4503.84</v>
      </c>
      <c r="J565">
        <v>45125</v>
      </c>
      <c r="K565" t="str">
        <v>West</v>
      </c>
      <c r="L565" t="str">
        <v>Maharashtra</v>
      </c>
      <c r="M565" t="str">
        <v>Mumbai</v>
      </c>
      <c r="N565" t="str">
        <v>Furniture</v>
      </c>
      <c r="O565">
        <v>14</v>
      </c>
      <c r="P565">
        <v>4649.53</v>
      </c>
      <c r="Q565">
        <v>65093.42</v>
      </c>
    </row>
    <row r="566" spans="1:17">
      <c r="A566" s="19">
        <v>45146</v>
      </c>
      <c r="B566" t="s">
        <v>1229</v>
      </c>
      <c r="C566" t="s">
        <v>1237</v>
      </c>
      <c r="D566" t="s">
        <v>1171</v>
      </c>
      <c r="E566" t="s">
        <v>132</v>
      </c>
      <c r="F566" s="10">
        <v>9</v>
      </c>
      <c r="G566" s="10">
        <v>489.27</v>
      </c>
      <c r="H566" s="10">
        <v>4403.43</v>
      </c>
      <c r="J566">
        <v>44992</v>
      </c>
      <c r="K566" t="str">
        <v>West</v>
      </c>
      <c r="L566" t="str">
        <v>Maharashtra</v>
      </c>
      <c r="M566" t="str">
        <v>Mumbai</v>
      </c>
      <c r="N566" t="str">
        <v>Furniture</v>
      </c>
      <c r="O566">
        <v>14</v>
      </c>
      <c r="P566">
        <v>3259.64</v>
      </c>
      <c r="Q566">
        <v>45634.96</v>
      </c>
    </row>
    <row r="567" spans="1:17">
      <c r="A567" s="19">
        <v>45101</v>
      </c>
      <c r="B567" t="s">
        <v>1229</v>
      </c>
      <c r="C567" t="s">
        <v>1230</v>
      </c>
      <c r="D567" t="s">
        <v>1169</v>
      </c>
      <c r="E567" t="s">
        <v>132</v>
      </c>
      <c r="F567" s="10">
        <v>1</v>
      </c>
      <c r="G567" s="10">
        <v>4117.97</v>
      </c>
      <c r="H567" s="10">
        <v>4117.97</v>
      </c>
      <c r="J567">
        <v>45108</v>
      </c>
      <c r="K567" t="str">
        <v>West</v>
      </c>
      <c r="L567" t="str">
        <v>Maharashtra</v>
      </c>
      <c r="M567" t="str">
        <v>Mumbai</v>
      </c>
      <c r="N567" t="str">
        <v>Furniture</v>
      </c>
      <c r="O567">
        <v>11</v>
      </c>
      <c r="P567">
        <v>3969.39</v>
      </c>
      <c r="Q567">
        <v>43663.29</v>
      </c>
    </row>
    <row r="568" spans="1:17">
      <c r="A568" s="19">
        <v>45250</v>
      </c>
      <c r="B568" t="s">
        <v>1242</v>
      </c>
      <c r="C568" t="s">
        <v>1243</v>
      </c>
      <c r="D568" t="s">
        <v>1245</v>
      </c>
      <c r="E568" t="s">
        <v>132</v>
      </c>
      <c r="F568" s="10">
        <v>4</v>
      </c>
      <c r="G568" s="10">
        <v>961.38</v>
      </c>
      <c r="H568" s="10">
        <v>3845.52</v>
      </c>
      <c r="J568">
        <v>45141</v>
      </c>
      <c r="K568" t="str">
        <v>West</v>
      </c>
      <c r="L568" t="str">
        <v>Maharashtra</v>
      </c>
      <c r="M568" t="str">
        <v>Mumbai</v>
      </c>
      <c r="N568" t="str">
        <v>Furniture</v>
      </c>
      <c r="O568">
        <v>14</v>
      </c>
      <c r="P568">
        <v>2918.42</v>
      </c>
      <c r="Q568">
        <v>40857.879999999997</v>
      </c>
    </row>
    <row r="569" spans="1:17">
      <c r="A569" s="19">
        <v>45035</v>
      </c>
      <c r="B569" t="s">
        <v>1242</v>
      </c>
      <c r="C569" t="s">
        <v>1243</v>
      </c>
      <c r="D569" t="s">
        <v>1244</v>
      </c>
      <c r="E569" t="s">
        <v>132</v>
      </c>
      <c r="F569" s="10">
        <v>10</v>
      </c>
      <c r="G569" s="10">
        <v>373.54</v>
      </c>
      <c r="H569" s="10">
        <v>3735.4</v>
      </c>
      <c r="J569">
        <v>45169</v>
      </c>
      <c r="K569" t="str">
        <v>West</v>
      </c>
      <c r="L569" t="str">
        <v>Maharashtra</v>
      </c>
      <c r="M569" t="str">
        <v>Mumbai</v>
      </c>
      <c r="N569" t="str">
        <v>Furniture</v>
      </c>
      <c r="O569">
        <v>8</v>
      </c>
      <c r="P569">
        <v>4621.75</v>
      </c>
      <c r="Q569">
        <v>36974</v>
      </c>
    </row>
    <row r="570" spans="1:17">
      <c r="A570" s="19">
        <v>45167</v>
      </c>
      <c r="B570" t="s">
        <v>1231</v>
      </c>
      <c r="C570" t="s">
        <v>1232</v>
      </c>
      <c r="D570" t="s">
        <v>1234</v>
      </c>
      <c r="E570" t="s">
        <v>132</v>
      </c>
      <c r="F570" s="10">
        <v>1</v>
      </c>
      <c r="G570" s="10">
        <v>3734.74</v>
      </c>
      <c r="H570" s="10">
        <v>3734.74</v>
      </c>
      <c r="J570">
        <v>45243</v>
      </c>
      <c r="K570" t="str">
        <v>West</v>
      </c>
      <c r="L570" t="str">
        <v>Maharashtra</v>
      </c>
      <c r="M570" t="str">
        <v>Mumbai</v>
      </c>
      <c r="N570" t="str">
        <v>Furniture</v>
      </c>
      <c r="O570">
        <v>12</v>
      </c>
      <c r="P570">
        <v>3074.45</v>
      </c>
      <c r="Q570">
        <v>36893.4</v>
      </c>
    </row>
    <row r="571" spans="1:17">
      <c r="A571" s="19">
        <v>45101</v>
      </c>
      <c r="B571" t="s">
        <v>1231</v>
      </c>
      <c r="C571" t="s">
        <v>1232</v>
      </c>
      <c r="D571" t="s">
        <v>1234</v>
      </c>
      <c r="E571" t="s">
        <v>132</v>
      </c>
      <c r="F571" s="10">
        <v>14</v>
      </c>
      <c r="G571" s="10">
        <v>264.60000000000002</v>
      </c>
      <c r="H571" s="10">
        <v>3704.4</v>
      </c>
      <c r="J571">
        <v>45150</v>
      </c>
      <c r="K571" t="str">
        <v>West</v>
      </c>
      <c r="L571" t="str">
        <v>Maharashtra</v>
      </c>
      <c r="M571" t="str">
        <v>Mumbai</v>
      </c>
      <c r="N571" t="str">
        <v>Furniture</v>
      </c>
      <c r="O571">
        <v>3</v>
      </c>
      <c r="P571">
        <v>3957.38</v>
      </c>
      <c r="Q571">
        <v>11872.14</v>
      </c>
    </row>
    <row r="572" spans="1:17">
      <c r="A572" s="19">
        <v>45278</v>
      </c>
      <c r="B572" t="s">
        <v>1231</v>
      </c>
      <c r="C572" t="s">
        <v>1235</v>
      </c>
      <c r="D572" t="s">
        <v>1236</v>
      </c>
      <c r="E572" t="s">
        <v>132</v>
      </c>
      <c r="F572" s="10">
        <v>3</v>
      </c>
      <c r="G572" s="10">
        <v>1139.5899999999999</v>
      </c>
      <c r="H572" s="10">
        <v>3418.77</v>
      </c>
      <c r="J572">
        <v>44949</v>
      </c>
      <c r="K572" t="str">
        <v>West</v>
      </c>
      <c r="L572" t="str">
        <v>Maharashtra</v>
      </c>
      <c r="M572" t="str">
        <v>Mumbai</v>
      </c>
      <c r="N572" t="str">
        <v>Furniture</v>
      </c>
      <c r="O572">
        <v>8</v>
      </c>
      <c r="P572">
        <v>1412.48</v>
      </c>
      <c r="Q572">
        <v>11299.84</v>
      </c>
    </row>
    <row r="573" spans="1:17">
      <c r="A573" s="19">
        <v>45171</v>
      </c>
      <c r="B573" t="s">
        <v>1229</v>
      </c>
      <c r="C573" t="s">
        <v>1237</v>
      </c>
      <c r="D573" t="s">
        <v>1239</v>
      </c>
      <c r="E573" t="s">
        <v>132</v>
      </c>
      <c r="F573" s="10">
        <v>2</v>
      </c>
      <c r="G573" s="10">
        <v>1695.6</v>
      </c>
      <c r="H573" s="10">
        <v>3391.2</v>
      </c>
      <c r="J573">
        <v>44978</v>
      </c>
      <c r="K573" t="str">
        <v>West</v>
      </c>
      <c r="L573" t="str">
        <v>Maharashtra</v>
      </c>
      <c r="M573" t="str">
        <v>Mumbai</v>
      </c>
      <c r="N573" t="str">
        <v>Furniture</v>
      </c>
      <c r="O573">
        <v>4</v>
      </c>
      <c r="P573">
        <v>1831.79</v>
      </c>
      <c r="Q573">
        <v>7327.16</v>
      </c>
    </row>
    <row r="574" spans="1:17">
      <c r="A574" s="19">
        <v>45148</v>
      </c>
      <c r="B574" t="s">
        <v>1231</v>
      </c>
      <c r="C574" t="s">
        <v>1235</v>
      </c>
      <c r="D574" t="s">
        <v>1236</v>
      </c>
      <c r="E574" t="s">
        <v>132</v>
      </c>
      <c r="F574" s="10">
        <v>1</v>
      </c>
      <c r="G574" s="10">
        <v>3374.31</v>
      </c>
      <c r="H574" s="10">
        <v>3374.31</v>
      </c>
      <c r="J574">
        <v>45083</v>
      </c>
      <c r="K574" t="str">
        <v>West</v>
      </c>
      <c r="L574" t="str">
        <v>Maharashtra</v>
      </c>
      <c r="M574" t="str">
        <v>Mumbai</v>
      </c>
      <c r="N574" t="str">
        <v>Furniture</v>
      </c>
      <c r="O574">
        <v>6</v>
      </c>
      <c r="P574">
        <v>1205.3599999999999</v>
      </c>
      <c r="Q574">
        <v>7232.16</v>
      </c>
    </row>
    <row r="575" spans="1:17">
      <c r="A575" s="19">
        <v>45214</v>
      </c>
      <c r="B575" t="s">
        <v>1231</v>
      </c>
      <c r="C575" t="s">
        <v>1232</v>
      </c>
      <c r="D575" t="s">
        <v>1234</v>
      </c>
      <c r="E575" t="s">
        <v>132</v>
      </c>
      <c r="F575" s="10">
        <v>3</v>
      </c>
      <c r="G575" s="10">
        <v>1046.06</v>
      </c>
      <c r="H575" s="10">
        <v>3138.18</v>
      </c>
      <c r="J575">
        <v>45146</v>
      </c>
      <c r="K575" t="str">
        <v>West</v>
      </c>
      <c r="L575" t="str">
        <v>Maharashtra</v>
      </c>
      <c r="M575" t="str">
        <v>Mumbai</v>
      </c>
      <c r="N575" t="str">
        <v>Furniture</v>
      </c>
      <c r="O575">
        <v>9</v>
      </c>
      <c r="P575">
        <v>489.27</v>
      </c>
      <c r="Q575">
        <v>4403.43</v>
      </c>
    </row>
    <row r="576" spans="1:17">
      <c r="A576" s="19">
        <v>44990</v>
      </c>
      <c r="B576" t="s">
        <v>1229</v>
      </c>
      <c r="C576" t="s">
        <v>1237</v>
      </c>
      <c r="D576" t="s">
        <v>1171</v>
      </c>
      <c r="E576" t="s">
        <v>132</v>
      </c>
      <c r="F576" s="10">
        <v>1</v>
      </c>
      <c r="G576" s="10">
        <v>3059.01</v>
      </c>
      <c r="H576" s="10">
        <v>3059.01</v>
      </c>
      <c r="J576">
        <v>44990</v>
      </c>
      <c r="K576" t="str">
        <v>West</v>
      </c>
      <c r="L576" t="str">
        <v>Maharashtra</v>
      </c>
      <c r="M576" t="str">
        <v>Mumbai</v>
      </c>
      <c r="N576" t="str">
        <v>Furniture</v>
      </c>
      <c r="O576">
        <v>1</v>
      </c>
      <c r="P576">
        <v>3059.01</v>
      </c>
      <c r="Q576">
        <v>3059.01</v>
      </c>
    </row>
    <row r="577" spans="1:17">
      <c r="A577" s="19">
        <v>45281</v>
      </c>
      <c r="B577" t="s">
        <v>1231</v>
      </c>
      <c r="C577" t="s">
        <v>1235</v>
      </c>
      <c r="D577" t="s">
        <v>1241</v>
      </c>
      <c r="E577" t="s">
        <v>132</v>
      </c>
      <c r="F577" s="10">
        <v>4</v>
      </c>
      <c r="G577" s="10">
        <v>722.05</v>
      </c>
      <c r="H577" s="10">
        <v>2888.2</v>
      </c>
      <c r="J577">
        <v>45278</v>
      </c>
      <c r="K577" t="str">
        <v>West</v>
      </c>
      <c r="L577" t="str">
        <v>Maharashtra</v>
      </c>
      <c r="M577" t="str">
        <v>Mumbai</v>
      </c>
      <c r="N577" t="str">
        <v>Furniture</v>
      </c>
      <c r="O577">
        <v>2</v>
      </c>
      <c r="P577">
        <v>1377.64</v>
      </c>
      <c r="Q577">
        <v>2755.28</v>
      </c>
    </row>
    <row r="578" spans="1:17">
      <c r="A578" s="19">
        <v>45224</v>
      </c>
      <c r="B578" t="s">
        <v>1242</v>
      </c>
      <c r="C578" t="s">
        <v>1243</v>
      </c>
      <c r="D578" t="s">
        <v>1244</v>
      </c>
      <c r="E578" t="s">
        <v>132</v>
      </c>
      <c r="F578" s="10">
        <v>4</v>
      </c>
      <c r="G578" s="10">
        <v>700.07</v>
      </c>
      <c r="H578" s="10">
        <v>2800.28</v>
      </c>
      <c r="J578">
        <v>44980</v>
      </c>
      <c r="K578" t="str">
        <v>West</v>
      </c>
      <c r="L578" t="str">
        <v>Maharashtra</v>
      </c>
      <c r="M578" t="str">
        <v>Mumbai</v>
      </c>
      <c r="N578" t="str">
        <v>Groceries</v>
      </c>
      <c r="O578">
        <v>20</v>
      </c>
      <c r="P578">
        <v>4638.2</v>
      </c>
      <c r="Q578">
        <v>92764</v>
      </c>
    </row>
    <row r="579" spans="1:17">
      <c r="A579" s="19">
        <v>45278</v>
      </c>
      <c r="B579" t="s">
        <v>1229</v>
      </c>
      <c r="C579" t="s">
        <v>1237</v>
      </c>
      <c r="D579" t="s">
        <v>1171</v>
      </c>
      <c r="E579" t="s">
        <v>132</v>
      </c>
      <c r="F579" s="10">
        <v>2</v>
      </c>
      <c r="G579" s="10">
        <v>1377.64</v>
      </c>
      <c r="H579" s="10">
        <v>2755.28</v>
      </c>
      <c r="J579">
        <v>45193</v>
      </c>
      <c r="K579" t="str">
        <v>West</v>
      </c>
      <c r="L579" t="str">
        <v>Maharashtra</v>
      </c>
      <c r="M579" t="str">
        <v>Mumbai</v>
      </c>
      <c r="N579" t="str">
        <v>Groceries</v>
      </c>
      <c r="O579">
        <v>10</v>
      </c>
      <c r="P579">
        <v>2691.21</v>
      </c>
      <c r="Q579">
        <v>26912.1</v>
      </c>
    </row>
    <row r="580" spans="1:17">
      <c r="A580" s="19">
        <v>45211</v>
      </c>
      <c r="B580" t="s">
        <v>1242</v>
      </c>
      <c r="C580" t="s">
        <v>1243</v>
      </c>
      <c r="D580" t="s">
        <v>1244</v>
      </c>
      <c r="E580" t="s">
        <v>132</v>
      </c>
      <c r="F580" s="10">
        <v>14</v>
      </c>
      <c r="G580" s="10">
        <v>188.94</v>
      </c>
      <c r="H580" s="10">
        <v>2645.16</v>
      </c>
      <c r="J580">
        <v>45161</v>
      </c>
      <c r="K580" t="str">
        <v>West</v>
      </c>
      <c r="L580" t="str">
        <v>Maharashtra</v>
      </c>
      <c r="M580" t="str">
        <v>Mumbai</v>
      </c>
      <c r="N580" t="str">
        <v>Groceries</v>
      </c>
      <c r="O580">
        <v>20</v>
      </c>
      <c r="P580">
        <v>1100.3800000000001</v>
      </c>
      <c r="Q580">
        <v>22007.599999999999</v>
      </c>
    </row>
    <row r="581" spans="1:17">
      <c r="A581" s="19">
        <v>45127</v>
      </c>
      <c r="B581" t="s">
        <v>1229</v>
      </c>
      <c r="C581" t="s">
        <v>1230</v>
      </c>
      <c r="D581" t="s">
        <v>1246</v>
      </c>
      <c r="E581" t="s">
        <v>132</v>
      </c>
      <c r="F581" s="10">
        <v>2</v>
      </c>
      <c r="G581" s="10">
        <v>1316.79</v>
      </c>
      <c r="H581" s="10">
        <v>2633.58</v>
      </c>
      <c r="J581">
        <v>45047</v>
      </c>
      <c r="K581" t="str">
        <v>West</v>
      </c>
      <c r="L581" t="str">
        <v>Maharashtra</v>
      </c>
      <c r="M581" t="str">
        <v>Mumbai</v>
      </c>
      <c r="N581" t="str">
        <v>Groceries</v>
      </c>
      <c r="O581">
        <v>5</v>
      </c>
      <c r="P581">
        <v>1204.6400000000001</v>
      </c>
      <c r="Q581">
        <v>6023.2</v>
      </c>
    </row>
    <row r="582" spans="1:17">
      <c r="A582" s="19">
        <v>44969</v>
      </c>
      <c r="B582" t="s">
        <v>1242</v>
      </c>
      <c r="C582" t="s">
        <v>1243</v>
      </c>
      <c r="D582" t="s">
        <v>1244</v>
      </c>
      <c r="E582" t="s">
        <v>132</v>
      </c>
      <c r="F582" s="10">
        <v>1</v>
      </c>
      <c r="G582" s="10">
        <v>2489.17</v>
      </c>
      <c r="H582" s="10">
        <v>2489.17</v>
      </c>
      <c r="J582">
        <v>44985</v>
      </c>
      <c r="K582" t="str">
        <v>West</v>
      </c>
      <c r="L582" t="str">
        <v>Maharashtra</v>
      </c>
      <c r="M582" t="str">
        <v>Mumbai</v>
      </c>
      <c r="N582" t="str">
        <v>Groceries</v>
      </c>
      <c r="O582">
        <v>4</v>
      </c>
      <c r="P582">
        <v>1080.1600000000001</v>
      </c>
      <c r="Q582">
        <v>4320.6400000000003</v>
      </c>
    </row>
    <row r="583" spans="1:17">
      <c r="A583" s="19">
        <v>45238</v>
      </c>
      <c r="B583" t="s">
        <v>1229</v>
      </c>
      <c r="C583" t="s">
        <v>1237</v>
      </c>
      <c r="D583" t="s">
        <v>1173</v>
      </c>
      <c r="E583" t="s">
        <v>132</v>
      </c>
      <c r="F583" s="10">
        <v>11</v>
      </c>
      <c r="G583" s="10">
        <v>212.86</v>
      </c>
      <c r="H583" s="10">
        <v>2341.46</v>
      </c>
      <c r="J583">
        <v>45209</v>
      </c>
      <c r="K583" t="str">
        <v>West</v>
      </c>
      <c r="L583" t="str">
        <v>Maharashtra</v>
      </c>
      <c r="M583" t="str">
        <v>Mumbai</v>
      </c>
      <c r="N583" t="str">
        <v>Groceries</v>
      </c>
      <c r="O583">
        <v>5</v>
      </c>
      <c r="P583">
        <v>800.88</v>
      </c>
      <c r="Q583">
        <v>4004.4</v>
      </c>
    </row>
    <row r="584" spans="1:17">
      <c r="A584" s="19">
        <v>45189</v>
      </c>
      <c r="B584" t="s">
        <v>1229</v>
      </c>
      <c r="C584" t="s">
        <v>1230</v>
      </c>
      <c r="D584" t="s">
        <v>1169</v>
      </c>
      <c r="E584" t="s">
        <v>132</v>
      </c>
      <c r="F584" s="10">
        <v>8</v>
      </c>
      <c r="G584" s="10">
        <v>285.94</v>
      </c>
      <c r="H584" s="10">
        <v>2287.52</v>
      </c>
      <c r="J584">
        <v>45209</v>
      </c>
      <c r="K584" t="str">
        <v>West</v>
      </c>
      <c r="L584" t="str">
        <v>Maharashtra</v>
      </c>
      <c r="M584" t="str">
        <v>Mumbai</v>
      </c>
      <c r="N584" t="str">
        <v>Stationery</v>
      </c>
      <c r="O584">
        <v>15</v>
      </c>
      <c r="P584">
        <v>4657.82</v>
      </c>
      <c r="Q584">
        <v>69867.3</v>
      </c>
    </row>
    <row r="585" spans="1:17">
      <c r="A585" s="19">
        <v>45274</v>
      </c>
      <c r="B585" t="s">
        <v>1231</v>
      </c>
      <c r="C585" t="s">
        <v>1235</v>
      </c>
      <c r="D585" t="s">
        <v>1241</v>
      </c>
      <c r="E585" t="s">
        <v>132</v>
      </c>
      <c r="F585" s="10">
        <v>10</v>
      </c>
      <c r="G585" s="10">
        <v>222.55</v>
      </c>
      <c r="H585" s="10">
        <v>2225.5</v>
      </c>
      <c r="J585">
        <v>45023</v>
      </c>
      <c r="K585" t="str">
        <v>West</v>
      </c>
      <c r="L585" t="str">
        <v>Maharashtra</v>
      </c>
      <c r="M585" t="str">
        <v>Mumbai</v>
      </c>
      <c r="N585" t="str">
        <v>Stationery</v>
      </c>
      <c r="O585">
        <v>13</v>
      </c>
      <c r="P585">
        <v>4850.17</v>
      </c>
      <c r="Q585">
        <v>63052.21</v>
      </c>
    </row>
    <row r="586" spans="1:17">
      <c r="A586" s="19">
        <v>45192</v>
      </c>
      <c r="B586" t="s">
        <v>1229</v>
      </c>
      <c r="C586" t="s">
        <v>1230</v>
      </c>
      <c r="D586" t="s">
        <v>1246</v>
      </c>
      <c r="E586" t="s">
        <v>132</v>
      </c>
      <c r="F586" s="10">
        <v>7</v>
      </c>
      <c r="G586" s="10">
        <v>281.29000000000002</v>
      </c>
      <c r="H586" s="10">
        <v>1969.03</v>
      </c>
      <c r="J586">
        <v>45219</v>
      </c>
      <c r="K586" t="str">
        <v>West</v>
      </c>
      <c r="L586" t="str">
        <v>Maharashtra</v>
      </c>
      <c r="M586" t="str">
        <v>Mumbai</v>
      </c>
      <c r="N586" t="str">
        <v>Stationery</v>
      </c>
      <c r="O586">
        <v>17</v>
      </c>
      <c r="P586">
        <v>3490.72</v>
      </c>
      <c r="Q586">
        <v>59342.239999999998</v>
      </c>
    </row>
    <row r="587" spans="1:17">
      <c r="A587" s="19">
        <v>44969</v>
      </c>
      <c r="B587" t="s">
        <v>1229</v>
      </c>
      <c r="C587" t="s">
        <v>1230</v>
      </c>
      <c r="D587" t="s">
        <v>1248</v>
      </c>
      <c r="E587" t="s">
        <v>132</v>
      </c>
      <c r="F587" s="10">
        <v>1</v>
      </c>
      <c r="G587" s="10">
        <v>1898.15</v>
      </c>
      <c r="H587" s="10">
        <v>1898.15</v>
      </c>
      <c r="J587">
        <v>45163</v>
      </c>
      <c r="K587" t="str">
        <v>West</v>
      </c>
      <c r="L587" t="str">
        <v>Maharashtra</v>
      </c>
      <c r="M587" t="str">
        <v>Mumbai</v>
      </c>
      <c r="N587" t="str">
        <v>Stationery</v>
      </c>
      <c r="O587">
        <v>16</v>
      </c>
      <c r="P587">
        <v>3580.79</v>
      </c>
      <c r="Q587">
        <v>57292.639999999999</v>
      </c>
    </row>
    <row r="588" spans="1:17">
      <c r="A588" s="19">
        <v>45004</v>
      </c>
      <c r="B588" t="s">
        <v>1231</v>
      </c>
      <c r="C588" t="s">
        <v>1232</v>
      </c>
      <c r="D588" t="s">
        <v>1233</v>
      </c>
      <c r="E588" t="s">
        <v>132</v>
      </c>
      <c r="F588" s="10">
        <v>4</v>
      </c>
      <c r="G588" s="10">
        <v>366.33</v>
      </c>
      <c r="H588" s="10">
        <v>1465.32</v>
      </c>
      <c r="J588">
        <v>44927</v>
      </c>
      <c r="K588" t="str">
        <v>West</v>
      </c>
      <c r="L588" t="str">
        <v>Maharashtra</v>
      </c>
      <c r="M588" t="str">
        <v>Mumbai</v>
      </c>
      <c r="N588" t="str">
        <v>Stationery</v>
      </c>
      <c r="O588">
        <v>9</v>
      </c>
      <c r="P588">
        <v>4858.75</v>
      </c>
      <c r="Q588">
        <v>43728.75</v>
      </c>
    </row>
    <row r="589" spans="1:17">
      <c r="A589" s="19">
        <v>45028</v>
      </c>
      <c r="B589" t="s">
        <v>1242</v>
      </c>
      <c r="C589" t="s">
        <v>1243</v>
      </c>
      <c r="D589" t="s">
        <v>1245</v>
      </c>
      <c r="E589" t="s">
        <v>132</v>
      </c>
      <c r="F589" s="10">
        <v>1</v>
      </c>
      <c r="G589" s="10">
        <v>1410.8</v>
      </c>
      <c r="H589" s="10">
        <v>1410.8</v>
      </c>
      <c r="J589">
        <v>45233</v>
      </c>
      <c r="K589" t="str">
        <v>West</v>
      </c>
      <c r="L589" t="str">
        <v>Maharashtra</v>
      </c>
      <c r="M589" t="str">
        <v>Mumbai</v>
      </c>
      <c r="N589" t="str">
        <v>Stationery</v>
      </c>
      <c r="O589">
        <v>16</v>
      </c>
      <c r="P589">
        <v>2563.69</v>
      </c>
      <c r="Q589">
        <v>41019.040000000001</v>
      </c>
    </row>
    <row r="590" spans="1:17">
      <c r="A590" s="19">
        <v>45274</v>
      </c>
      <c r="B590" t="s">
        <v>1231</v>
      </c>
      <c r="C590" t="s">
        <v>1232</v>
      </c>
      <c r="D590" t="s">
        <v>1233</v>
      </c>
      <c r="E590" t="s">
        <v>132</v>
      </c>
      <c r="F590" s="10">
        <v>5</v>
      </c>
      <c r="G590" s="10">
        <v>278.31</v>
      </c>
      <c r="H590" s="10">
        <v>1391.55</v>
      </c>
      <c r="J590">
        <v>45062</v>
      </c>
      <c r="K590" t="str">
        <v>West</v>
      </c>
      <c r="L590" t="str">
        <v>Maharashtra</v>
      </c>
      <c r="M590" t="str">
        <v>Mumbai</v>
      </c>
      <c r="N590" t="str">
        <v>Stationery</v>
      </c>
      <c r="O590">
        <v>15</v>
      </c>
      <c r="P590">
        <v>2330.62</v>
      </c>
      <c r="Q590">
        <v>34959.300000000003</v>
      </c>
    </row>
    <row r="591" spans="1:17">
      <c r="A591" s="19">
        <v>45240</v>
      </c>
      <c r="B591" t="s">
        <v>1229</v>
      </c>
      <c r="C591" t="s">
        <v>1230</v>
      </c>
      <c r="D591" t="s">
        <v>1248</v>
      </c>
      <c r="E591" t="s">
        <v>132</v>
      </c>
      <c r="F591" s="10">
        <v>5</v>
      </c>
      <c r="G591" s="10">
        <v>172.99</v>
      </c>
      <c r="H591" s="10">
        <v>864.95</v>
      </c>
      <c r="J591">
        <v>44998</v>
      </c>
      <c r="K591" t="str">
        <v>West</v>
      </c>
      <c r="L591" t="str">
        <v>Maharashtra</v>
      </c>
      <c r="M591" t="str">
        <v>Mumbai</v>
      </c>
      <c r="N591" t="str">
        <v>Stationery</v>
      </c>
      <c r="O591">
        <v>5</v>
      </c>
      <c r="P591">
        <v>4987.7</v>
      </c>
      <c r="Q591">
        <v>24938.5</v>
      </c>
    </row>
    <row r="592" spans="1:17">
      <c r="A592" s="19">
        <v>45029</v>
      </c>
      <c r="B592" t="s">
        <v>1231</v>
      </c>
      <c r="C592" t="s">
        <v>1232</v>
      </c>
      <c r="D592" t="s">
        <v>1234</v>
      </c>
      <c r="E592" t="s">
        <v>132</v>
      </c>
      <c r="F592" s="10">
        <v>1</v>
      </c>
      <c r="G592" s="10">
        <v>632.39</v>
      </c>
      <c r="H592" s="10">
        <v>632.39</v>
      </c>
      <c r="J592">
        <v>44941</v>
      </c>
      <c r="K592" t="str">
        <v>West</v>
      </c>
      <c r="L592" t="str">
        <v>Maharashtra</v>
      </c>
      <c r="M592" t="str">
        <v>Mumbai</v>
      </c>
      <c r="N592" t="str">
        <v>Stationery</v>
      </c>
      <c r="O592">
        <v>7</v>
      </c>
      <c r="P592">
        <v>3163.37</v>
      </c>
      <c r="Q592">
        <v>22143.59</v>
      </c>
    </row>
    <row r="593" spans="1:17">
      <c r="A593" s="19">
        <v>45144</v>
      </c>
      <c r="B593" t="s">
        <v>1229</v>
      </c>
      <c r="C593" t="s">
        <v>1230</v>
      </c>
      <c r="D593" t="s">
        <v>1246</v>
      </c>
      <c r="E593" t="s">
        <v>1249</v>
      </c>
      <c r="F593" s="10">
        <v>20</v>
      </c>
      <c r="G593" s="10">
        <v>4944.01</v>
      </c>
      <c r="H593" s="10">
        <v>98880.2</v>
      </c>
      <c r="J593">
        <v>45027</v>
      </c>
      <c r="K593" t="str">
        <v>West</v>
      </c>
      <c r="L593" t="str">
        <v>Maharashtra</v>
      </c>
      <c r="M593" t="str">
        <v>Mumbai</v>
      </c>
      <c r="N593" t="str">
        <v>Stationery</v>
      </c>
      <c r="O593">
        <v>9</v>
      </c>
      <c r="P593">
        <v>2376.12</v>
      </c>
      <c r="Q593">
        <v>21385.08</v>
      </c>
    </row>
    <row r="594" spans="1:17">
      <c r="A594" s="19">
        <v>44980</v>
      </c>
      <c r="B594" t="s">
        <v>1229</v>
      </c>
      <c r="C594" t="s">
        <v>1237</v>
      </c>
      <c r="D594" t="s">
        <v>1171</v>
      </c>
      <c r="E594" t="s">
        <v>1249</v>
      </c>
      <c r="F594" s="10">
        <v>20</v>
      </c>
      <c r="G594" s="10">
        <v>4638.2</v>
      </c>
      <c r="H594" s="10">
        <v>92764</v>
      </c>
      <c r="J594">
        <v>45144</v>
      </c>
      <c r="K594" t="str">
        <v>West</v>
      </c>
      <c r="L594" t="str">
        <v>Maharashtra</v>
      </c>
      <c r="M594" t="str">
        <v>Mumbai</v>
      </c>
      <c r="N594" t="str">
        <v>Stationery</v>
      </c>
      <c r="O594">
        <v>6</v>
      </c>
      <c r="P594">
        <v>3363.77</v>
      </c>
      <c r="Q594">
        <v>20182.62</v>
      </c>
    </row>
    <row r="595" spans="1:17">
      <c r="A595" s="19">
        <v>45258</v>
      </c>
      <c r="B595" t="s">
        <v>1229</v>
      </c>
      <c r="C595" t="s">
        <v>1237</v>
      </c>
      <c r="D595" t="s">
        <v>1173</v>
      </c>
      <c r="E595" t="s">
        <v>1249</v>
      </c>
      <c r="F595" s="10">
        <v>20</v>
      </c>
      <c r="G595" s="10">
        <v>4226.93</v>
      </c>
      <c r="H595" s="10">
        <v>84538.6</v>
      </c>
      <c r="J595">
        <v>45225</v>
      </c>
      <c r="K595" t="str">
        <v>West</v>
      </c>
      <c r="L595" t="str">
        <v>Maharashtra</v>
      </c>
      <c r="M595" t="str">
        <v>Mumbai</v>
      </c>
      <c r="N595" t="str">
        <v>Stationery</v>
      </c>
      <c r="O595">
        <v>4</v>
      </c>
      <c r="P595">
        <v>4386.54</v>
      </c>
      <c r="Q595">
        <v>17546.16</v>
      </c>
    </row>
    <row r="596" spans="1:17">
      <c r="A596" s="19">
        <v>45011</v>
      </c>
      <c r="B596" t="s">
        <v>1231</v>
      </c>
      <c r="C596" t="s">
        <v>1235</v>
      </c>
      <c r="D596" t="s">
        <v>1238</v>
      </c>
      <c r="E596" t="s">
        <v>1249</v>
      </c>
      <c r="F596" s="10">
        <v>17</v>
      </c>
      <c r="G596" s="10">
        <v>4825.24</v>
      </c>
      <c r="H596" s="10">
        <v>82029.08</v>
      </c>
      <c r="J596">
        <v>45199</v>
      </c>
      <c r="K596" t="str">
        <v>West</v>
      </c>
      <c r="L596" t="str">
        <v>Maharashtra</v>
      </c>
      <c r="M596" t="str">
        <v>Mumbai</v>
      </c>
      <c r="N596" t="str">
        <v>Stationery</v>
      </c>
      <c r="O596">
        <v>12</v>
      </c>
      <c r="P596">
        <v>1352.89</v>
      </c>
      <c r="Q596">
        <v>16234.68</v>
      </c>
    </row>
    <row r="597" spans="1:17">
      <c r="A597" s="19">
        <v>45114</v>
      </c>
      <c r="B597" t="s">
        <v>1231</v>
      </c>
      <c r="C597" t="s">
        <v>1232</v>
      </c>
      <c r="D597" t="s">
        <v>1234</v>
      </c>
      <c r="E597" t="s">
        <v>1249</v>
      </c>
      <c r="F597" s="10">
        <v>20</v>
      </c>
      <c r="G597" s="10">
        <v>3891.28</v>
      </c>
      <c r="H597" s="10">
        <v>77825.600000000006</v>
      </c>
      <c r="J597">
        <v>45202</v>
      </c>
      <c r="K597" t="str">
        <v>West</v>
      </c>
      <c r="L597" t="str">
        <v>Maharashtra</v>
      </c>
      <c r="M597" t="str">
        <v>Mumbai</v>
      </c>
      <c r="N597" t="str">
        <v>Stationery</v>
      </c>
      <c r="O597">
        <v>11</v>
      </c>
      <c r="P597">
        <v>1316.18</v>
      </c>
      <c r="Q597">
        <v>14477.98</v>
      </c>
    </row>
    <row r="598" spans="1:17">
      <c r="A598" s="19">
        <v>45119</v>
      </c>
      <c r="B598" t="s">
        <v>1229</v>
      </c>
      <c r="C598" t="s">
        <v>1230</v>
      </c>
      <c r="D598" t="s">
        <v>1248</v>
      </c>
      <c r="E598" t="s">
        <v>1249</v>
      </c>
      <c r="F598" s="10">
        <v>16</v>
      </c>
      <c r="G598" s="10">
        <v>4858.3100000000004</v>
      </c>
      <c r="H598" s="10">
        <v>77732.960000000006</v>
      </c>
      <c r="J598">
        <v>45241</v>
      </c>
      <c r="K598" t="str">
        <v>West</v>
      </c>
      <c r="L598" t="str">
        <v>Maharashtra</v>
      </c>
      <c r="M598" t="str">
        <v>Mumbai</v>
      </c>
      <c r="N598" t="str">
        <v>Stationery</v>
      </c>
      <c r="O598">
        <v>3</v>
      </c>
      <c r="P598">
        <v>4210.7700000000004</v>
      </c>
      <c r="Q598">
        <v>12632.31</v>
      </c>
    </row>
    <row r="599" spans="1:17">
      <c r="A599" s="19">
        <v>45092</v>
      </c>
      <c r="B599" t="s">
        <v>1231</v>
      </c>
      <c r="C599" t="s">
        <v>1232</v>
      </c>
      <c r="D599" t="s">
        <v>1240</v>
      </c>
      <c r="E599" t="s">
        <v>1249</v>
      </c>
      <c r="F599" s="10">
        <v>20</v>
      </c>
      <c r="G599" s="10">
        <v>3684.86</v>
      </c>
      <c r="H599" s="10">
        <v>73697.2</v>
      </c>
      <c r="J599">
        <v>45242</v>
      </c>
      <c r="K599" t="str">
        <v>West</v>
      </c>
      <c r="L599" t="str">
        <v>Maharashtra</v>
      </c>
      <c r="M599" t="str">
        <v>Mumbai</v>
      </c>
      <c r="N599" t="str">
        <v>Stationery</v>
      </c>
      <c r="O599">
        <v>14</v>
      </c>
      <c r="P599">
        <v>492.06</v>
      </c>
      <c r="Q599">
        <v>6888.84</v>
      </c>
    </row>
    <row r="600" spans="1:17">
      <c r="A600" s="19">
        <v>45231</v>
      </c>
      <c r="B600" t="s">
        <v>1242</v>
      </c>
      <c r="C600" t="s">
        <v>1243</v>
      </c>
      <c r="D600" t="s">
        <v>1245</v>
      </c>
      <c r="E600" t="s">
        <v>1249</v>
      </c>
      <c r="F600" s="10">
        <v>18</v>
      </c>
      <c r="G600" s="10">
        <v>4059.82</v>
      </c>
      <c r="H600" s="10">
        <v>73076.759999999995</v>
      </c>
      <c r="J600">
        <v>45208</v>
      </c>
      <c r="K600" t="str">
        <v>West</v>
      </c>
      <c r="L600" t="str">
        <v>Maharashtra</v>
      </c>
      <c r="M600" t="str">
        <v>Mumbai</v>
      </c>
      <c r="N600" t="str">
        <v>Stationery</v>
      </c>
      <c r="O600">
        <v>4</v>
      </c>
      <c r="P600">
        <v>1640.54</v>
      </c>
      <c r="Q600">
        <v>6562.16</v>
      </c>
    </row>
    <row r="601" spans="1:17">
      <c r="A601" s="19">
        <v>45121</v>
      </c>
      <c r="B601" t="s">
        <v>1229</v>
      </c>
      <c r="C601" t="s">
        <v>1230</v>
      </c>
      <c r="D601" t="s">
        <v>1248</v>
      </c>
      <c r="E601" t="s">
        <v>1249</v>
      </c>
      <c r="F601" s="10">
        <v>18</v>
      </c>
      <c r="G601" s="10">
        <v>3943.82</v>
      </c>
      <c r="H601" s="10">
        <v>70988.759999999995</v>
      </c>
      <c r="J601">
        <v>45167</v>
      </c>
      <c r="K601" t="str">
        <v>West</v>
      </c>
      <c r="L601" t="str">
        <v>Maharashtra</v>
      </c>
      <c r="M601" t="str">
        <v>Mumbai</v>
      </c>
      <c r="N601" t="str">
        <v>Stationery</v>
      </c>
      <c r="O601">
        <v>2</v>
      </c>
      <c r="P601">
        <v>816.12</v>
      </c>
      <c r="Q601">
        <v>1632.24</v>
      </c>
    </row>
    <row r="602" spans="1:17">
      <c r="A602" s="19">
        <v>45275</v>
      </c>
      <c r="B602" t="s">
        <v>1231</v>
      </c>
      <c r="C602" t="s">
        <v>1235</v>
      </c>
      <c r="D602" t="s">
        <v>1241</v>
      </c>
      <c r="E602" t="s">
        <v>1249</v>
      </c>
      <c r="F602" s="10">
        <v>15</v>
      </c>
      <c r="G602" s="10">
        <v>4659.8</v>
      </c>
      <c r="H602" s="10">
        <v>69897</v>
      </c>
      <c r="J602">
        <v>45044</v>
      </c>
      <c r="K602" t="str">
        <v>South</v>
      </c>
      <c r="L602" t="str">
        <v>Karnataka</v>
      </c>
      <c r="M602" t="str">
        <v>Mysuru</v>
      </c>
      <c r="N602" t="str">
        <v>Clothing</v>
      </c>
      <c r="O602">
        <v>20</v>
      </c>
      <c r="P602">
        <v>3937.67</v>
      </c>
      <c r="Q602">
        <v>78753.399999999994</v>
      </c>
    </row>
    <row r="603" spans="1:17">
      <c r="A603" s="19">
        <v>45200</v>
      </c>
      <c r="B603" t="s">
        <v>1231</v>
      </c>
      <c r="C603" t="s">
        <v>1235</v>
      </c>
      <c r="D603" t="s">
        <v>1241</v>
      </c>
      <c r="E603" t="s">
        <v>1249</v>
      </c>
      <c r="F603" s="10">
        <v>16</v>
      </c>
      <c r="G603" s="10">
        <v>4354.03</v>
      </c>
      <c r="H603" s="10">
        <v>69664.479999999996</v>
      </c>
      <c r="J603">
        <v>45070</v>
      </c>
      <c r="K603" t="str">
        <v>South</v>
      </c>
      <c r="L603" t="str">
        <v>Karnataka</v>
      </c>
      <c r="M603" t="str">
        <v>Mysuru</v>
      </c>
      <c r="N603" t="str">
        <v>Clothing</v>
      </c>
      <c r="O603">
        <v>17</v>
      </c>
      <c r="P603">
        <v>3342.49</v>
      </c>
      <c r="Q603">
        <v>56822.33</v>
      </c>
    </row>
    <row r="604" spans="1:17">
      <c r="A604" s="19">
        <v>45069</v>
      </c>
      <c r="B604" t="s">
        <v>1231</v>
      </c>
      <c r="C604" t="s">
        <v>1235</v>
      </c>
      <c r="D604" t="s">
        <v>1236</v>
      </c>
      <c r="E604" t="s">
        <v>1249</v>
      </c>
      <c r="F604" s="10">
        <v>15</v>
      </c>
      <c r="G604" s="10">
        <v>4269.32</v>
      </c>
      <c r="H604" s="10">
        <v>64039.8</v>
      </c>
      <c r="J604">
        <v>45184</v>
      </c>
      <c r="K604" t="str">
        <v>South</v>
      </c>
      <c r="L604" t="str">
        <v>Karnataka</v>
      </c>
      <c r="M604" t="str">
        <v>Mysuru</v>
      </c>
      <c r="N604" t="str">
        <v>Clothing</v>
      </c>
      <c r="O604">
        <v>13</v>
      </c>
      <c r="P604">
        <v>4337.22</v>
      </c>
      <c r="Q604">
        <v>56383.86</v>
      </c>
    </row>
    <row r="605" spans="1:17">
      <c r="A605" s="19">
        <v>45026</v>
      </c>
      <c r="B605" t="s">
        <v>1231</v>
      </c>
      <c r="C605" t="s">
        <v>1235</v>
      </c>
      <c r="D605" t="s">
        <v>1241</v>
      </c>
      <c r="E605" t="s">
        <v>1249</v>
      </c>
      <c r="F605" s="10">
        <v>15</v>
      </c>
      <c r="G605" s="10">
        <v>4262.53</v>
      </c>
      <c r="H605" s="10">
        <v>63937.95</v>
      </c>
      <c r="J605">
        <v>44979</v>
      </c>
      <c r="K605" t="str">
        <v>South</v>
      </c>
      <c r="L605" t="str">
        <v>Karnataka</v>
      </c>
      <c r="M605" t="str">
        <v>Mysuru</v>
      </c>
      <c r="N605" t="str">
        <v>Clothing</v>
      </c>
      <c r="O605">
        <v>20</v>
      </c>
      <c r="P605">
        <v>2750.28</v>
      </c>
      <c r="Q605">
        <v>55005.599999999999</v>
      </c>
    </row>
    <row r="606" spans="1:17">
      <c r="A606" s="19">
        <v>45170</v>
      </c>
      <c r="B606" t="s">
        <v>1229</v>
      </c>
      <c r="C606" t="s">
        <v>1230</v>
      </c>
      <c r="D606" t="s">
        <v>1246</v>
      </c>
      <c r="E606" t="s">
        <v>1249</v>
      </c>
      <c r="F606" s="10">
        <v>19</v>
      </c>
      <c r="G606" s="10">
        <v>3326.91</v>
      </c>
      <c r="H606" s="10">
        <v>63211.29</v>
      </c>
      <c r="J606">
        <v>45101</v>
      </c>
      <c r="K606" t="str">
        <v>South</v>
      </c>
      <c r="L606" t="str">
        <v>Karnataka</v>
      </c>
      <c r="M606" t="str">
        <v>Mysuru</v>
      </c>
      <c r="N606" t="str">
        <v>Clothing</v>
      </c>
      <c r="O606">
        <v>19</v>
      </c>
      <c r="P606">
        <v>2873.83</v>
      </c>
      <c r="Q606">
        <v>54602.77</v>
      </c>
    </row>
    <row r="607" spans="1:17">
      <c r="A607" s="19">
        <v>44981</v>
      </c>
      <c r="B607" t="s">
        <v>1231</v>
      </c>
      <c r="C607" t="s">
        <v>1235</v>
      </c>
      <c r="D607" t="s">
        <v>1241</v>
      </c>
      <c r="E607" t="s">
        <v>1249</v>
      </c>
      <c r="F607" s="10">
        <v>16</v>
      </c>
      <c r="G607" s="10">
        <v>3931.95</v>
      </c>
      <c r="H607" s="10">
        <v>62911.199999999997</v>
      </c>
      <c r="J607">
        <v>45151</v>
      </c>
      <c r="K607" t="str">
        <v>South</v>
      </c>
      <c r="L607" t="str">
        <v>Karnataka</v>
      </c>
      <c r="M607" t="str">
        <v>Mysuru</v>
      </c>
      <c r="N607" t="str">
        <v>Clothing</v>
      </c>
      <c r="O607">
        <v>10</v>
      </c>
      <c r="P607">
        <v>3439.35</v>
      </c>
      <c r="Q607">
        <v>34393.5</v>
      </c>
    </row>
    <row r="608" spans="1:17">
      <c r="A608" s="19">
        <v>45213</v>
      </c>
      <c r="B608" t="s">
        <v>1242</v>
      </c>
      <c r="C608" t="s">
        <v>1243</v>
      </c>
      <c r="D608" t="s">
        <v>1245</v>
      </c>
      <c r="E608" t="s">
        <v>1249</v>
      </c>
      <c r="F608" s="10">
        <v>14</v>
      </c>
      <c r="G608" s="10">
        <v>4457.21</v>
      </c>
      <c r="H608" s="10">
        <v>62400.94</v>
      </c>
      <c r="J608">
        <v>45257</v>
      </c>
      <c r="K608" t="str">
        <v>South</v>
      </c>
      <c r="L608" t="str">
        <v>Karnataka</v>
      </c>
      <c r="M608" t="str">
        <v>Mysuru</v>
      </c>
      <c r="N608" t="str">
        <v>Clothing</v>
      </c>
      <c r="O608">
        <v>8</v>
      </c>
      <c r="P608">
        <v>3120.6</v>
      </c>
      <c r="Q608">
        <v>24964.799999999999</v>
      </c>
    </row>
    <row r="609" spans="1:17">
      <c r="A609" s="19">
        <v>45268</v>
      </c>
      <c r="B609" t="s">
        <v>1231</v>
      </c>
      <c r="C609" t="s">
        <v>1235</v>
      </c>
      <c r="D609" t="s">
        <v>1241</v>
      </c>
      <c r="E609" t="s">
        <v>1249</v>
      </c>
      <c r="F609" s="10">
        <v>16</v>
      </c>
      <c r="G609" s="10">
        <v>3895.18</v>
      </c>
      <c r="H609" s="10">
        <v>62322.879999999997</v>
      </c>
      <c r="J609">
        <v>45083</v>
      </c>
      <c r="K609" t="str">
        <v>South</v>
      </c>
      <c r="L609" t="str">
        <v>Karnataka</v>
      </c>
      <c r="M609" t="str">
        <v>Mysuru</v>
      </c>
      <c r="N609" t="str">
        <v>Clothing</v>
      </c>
      <c r="O609">
        <v>9</v>
      </c>
      <c r="P609">
        <v>2438.9899999999998</v>
      </c>
      <c r="Q609">
        <v>21950.91</v>
      </c>
    </row>
    <row r="610" spans="1:17">
      <c r="A610" s="19">
        <v>45141</v>
      </c>
      <c r="B610" t="s">
        <v>1242</v>
      </c>
      <c r="C610" t="s">
        <v>1243</v>
      </c>
      <c r="D610" t="s">
        <v>1244</v>
      </c>
      <c r="E610" t="s">
        <v>1249</v>
      </c>
      <c r="F610" s="10">
        <v>16</v>
      </c>
      <c r="G610" s="10">
        <v>3836.1</v>
      </c>
      <c r="H610" s="10">
        <v>61377.599999999999</v>
      </c>
      <c r="J610">
        <v>45023</v>
      </c>
      <c r="K610" t="str">
        <v>South</v>
      </c>
      <c r="L610" t="str">
        <v>Karnataka</v>
      </c>
      <c r="M610" t="str">
        <v>Mysuru</v>
      </c>
      <c r="N610" t="str">
        <v>Clothing</v>
      </c>
      <c r="O610">
        <v>7</v>
      </c>
      <c r="P610">
        <v>1849.17</v>
      </c>
      <c r="Q610">
        <v>12944.19</v>
      </c>
    </row>
    <row r="611" spans="1:17">
      <c r="A611" s="19">
        <v>45012</v>
      </c>
      <c r="B611" t="s">
        <v>1242</v>
      </c>
      <c r="C611" t="s">
        <v>1243</v>
      </c>
      <c r="D611" t="s">
        <v>1244</v>
      </c>
      <c r="E611" t="s">
        <v>1249</v>
      </c>
      <c r="F611" s="10">
        <v>16</v>
      </c>
      <c r="G611" s="10">
        <v>3788.36</v>
      </c>
      <c r="H611" s="10">
        <v>60613.760000000002</v>
      </c>
      <c r="J611">
        <v>45040</v>
      </c>
      <c r="K611" t="str">
        <v>South</v>
      </c>
      <c r="L611" t="str">
        <v>Karnataka</v>
      </c>
      <c r="M611" t="str">
        <v>Mysuru</v>
      </c>
      <c r="N611" t="str">
        <v>Clothing</v>
      </c>
      <c r="O611">
        <v>7</v>
      </c>
      <c r="P611">
        <v>1590.73</v>
      </c>
      <c r="Q611">
        <v>11135.11</v>
      </c>
    </row>
    <row r="612" spans="1:17">
      <c r="A612" s="19">
        <v>44980</v>
      </c>
      <c r="B612" t="s">
        <v>1231</v>
      </c>
      <c r="C612" t="s">
        <v>1235</v>
      </c>
      <c r="D612" t="s">
        <v>1238</v>
      </c>
      <c r="E612" t="s">
        <v>1249</v>
      </c>
      <c r="F612" s="10">
        <v>12</v>
      </c>
      <c r="G612" s="10">
        <v>4964.87</v>
      </c>
      <c r="H612" s="10">
        <v>59578.44</v>
      </c>
      <c r="J612">
        <v>45212</v>
      </c>
      <c r="K612" t="str">
        <v>South</v>
      </c>
      <c r="L612" t="str">
        <v>Karnataka</v>
      </c>
      <c r="M612" t="str">
        <v>Mysuru</v>
      </c>
      <c r="N612" t="str">
        <v>Clothing</v>
      </c>
      <c r="O612">
        <v>12</v>
      </c>
      <c r="P612">
        <v>835.83</v>
      </c>
      <c r="Q612">
        <v>10029.959999999999</v>
      </c>
    </row>
    <row r="613" spans="1:17">
      <c r="A613" s="19">
        <v>45146</v>
      </c>
      <c r="B613" t="s">
        <v>1231</v>
      </c>
      <c r="C613" t="s">
        <v>1235</v>
      </c>
      <c r="D613" t="s">
        <v>1238</v>
      </c>
      <c r="E613" t="s">
        <v>1249</v>
      </c>
      <c r="F613" s="10">
        <v>15</v>
      </c>
      <c r="G613" s="10">
        <v>3943.63</v>
      </c>
      <c r="H613" s="10">
        <v>59154.45</v>
      </c>
      <c r="J613">
        <v>45232</v>
      </c>
      <c r="K613" t="str">
        <v>South</v>
      </c>
      <c r="L613" t="str">
        <v>Karnataka</v>
      </c>
      <c r="M613" t="str">
        <v>Mysuru</v>
      </c>
      <c r="N613" t="str">
        <v>Clothing</v>
      </c>
      <c r="O613">
        <v>9</v>
      </c>
      <c r="P613">
        <v>228.49</v>
      </c>
      <c r="Q613">
        <v>2056.41</v>
      </c>
    </row>
    <row r="614" spans="1:17">
      <c r="A614" s="19">
        <v>45236</v>
      </c>
      <c r="B614" t="s">
        <v>1231</v>
      </c>
      <c r="C614" t="s">
        <v>1235</v>
      </c>
      <c r="D614" t="s">
        <v>1238</v>
      </c>
      <c r="E614" t="s">
        <v>1249</v>
      </c>
      <c r="F614" s="10">
        <v>13</v>
      </c>
      <c r="G614" s="10">
        <v>4226.47</v>
      </c>
      <c r="H614" s="10">
        <v>54944.11</v>
      </c>
      <c r="J614">
        <v>45270</v>
      </c>
      <c r="K614" t="str">
        <v>South</v>
      </c>
      <c r="L614" t="str">
        <v>Karnataka</v>
      </c>
      <c r="M614" t="str">
        <v>Mysuru</v>
      </c>
      <c r="N614" t="str">
        <v>Electronics</v>
      </c>
      <c r="O614">
        <v>16</v>
      </c>
      <c r="P614">
        <v>4999.8999999999996</v>
      </c>
      <c r="Q614">
        <v>79998.399999999994</v>
      </c>
    </row>
    <row r="615" spans="1:17">
      <c r="A615" s="19">
        <v>45101</v>
      </c>
      <c r="B615" t="s">
        <v>1231</v>
      </c>
      <c r="C615" t="s">
        <v>1235</v>
      </c>
      <c r="D615" t="s">
        <v>1238</v>
      </c>
      <c r="E615" t="s">
        <v>1249</v>
      </c>
      <c r="F615" s="10">
        <v>12</v>
      </c>
      <c r="G615" s="10">
        <v>4572.79</v>
      </c>
      <c r="H615" s="10">
        <v>54873.48</v>
      </c>
      <c r="J615">
        <v>45266</v>
      </c>
      <c r="K615" t="str">
        <v>South</v>
      </c>
      <c r="L615" t="str">
        <v>Karnataka</v>
      </c>
      <c r="M615" t="str">
        <v>Mysuru</v>
      </c>
      <c r="N615" t="str">
        <v>Electronics</v>
      </c>
      <c r="O615">
        <v>16</v>
      </c>
      <c r="P615">
        <v>3897.57</v>
      </c>
      <c r="Q615">
        <v>62361.120000000003</v>
      </c>
    </row>
    <row r="616" spans="1:17">
      <c r="A616" s="19">
        <v>44969</v>
      </c>
      <c r="B616" t="s">
        <v>1229</v>
      </c>
      <c r="C616" t="s">
        <v>1237</v>
      </c>
      <c r="D616" t="s">
        <v>1173</v>
      </c>
      <c r="E616" t="s">
        <v>1249</v>
      </c>
      <c r="F616" s="10">
        <v>18</v>
      </c>
      <c r="G616" s="10">
        <v>3040.28</v>
      </c>
      <c r="H616" s="10">
        <v>54725.04</v>
      </c>
      <c r="J616">
        <v>45272</v>
      </c>
      <c r="K616" t="str">
        <v>South</v>
      </c>
      <c r="L616" t="str">
        <v>Karnataka</v>
      </c>
      <c r="M616" t="str">
        <v>Mysuru</v>
      </c>
      <c r="N616" t="str">
        <v>Electronics</v>
      </c>
      <c r="O616">
        <v>18</v>
      </c>
      <c r="P616">
        <v>2784.49</v>
      </c>
      <c r="Q616">
        <v>50120.82</v>
      </c>
    </row>
    <row r="617" spans="1:17">
      <c r="A617" s="19">
        <v>44959</v>
      </c>
      <c r="B617" t="s">
        <v>1229</v>
      </c>
      <c r="C617" t="s">
        <v>1230</v>
      </c>
      <c r="D617" t="s">
        <v>1169</v>
      </c>
      <c r="E617" t="s">
        <v>1249</v>
      </c>
      <c r="F617" s="10">
        <v>15</v>
      </c>
      <c r="G617" s="10">
        <v>3555.88</v>
      </c>
      <c r="H617" s="10">
        <v>53338.2</v>
      </c>
      <c r="J617">
        <v>44957</v>
      </c>
      <c r="K617" t="str">
        <v>South</v>
      </c>
      <c r="L617" t="str">
        <v>Karnataka</v>
      </c>
      <c r="M617" t="str">
        <v>Mysuru</v>
      </c>
      <c r="N617" t="str">
        <v>Electronics</v>
      </c>
      <c r="O617">
        <v>15</v>
      </c>
      <c r="P617">
        <v>3270.81</v>
      </c>
      <c r="Q617">
        <v>49062.15</v>
      </c>
    </row>
    <row r="618" spans="1:17">
      <c r="A618" s="19">
        <v>44986</v>
      </c>
      <c r="B618" t="s">
        <v>1231</v>
      </c>
      <c r="C618" t="s">
        <v>1232</v>
      </c>
      <c r="D618" t="s">
        <v>1234</v>
      </c>
      <c r="E618" t="s">
        <v>1249</v>
      </c>
      <c r="F618" s="10">
        <v>12</v>
      </c>
      <c r="G618" s="10">
        <v>4403.8500000000004</v>
      </c>
      <c r="H618" s="10">
        <v>52846.2</v>
      </c>
      <c r="J618">
        <v>45048</v>
      </c>
      <c r="K618" t="str">
        <v>South</v>
      </c>
      <c r="L618" t="str">
        <v>Karnataka</v>
      </c>
      <c r="M618" t="str">
        <v>Mysuru</v>
      </c>
      <c r="N618" t="str">
        <v>Electronics</v>
      </c>
      <c r="O618">
        <v>12</v>
      </c>
      <c r="P618">
        <v>3358.78</v>
      </c>
      <c r="Q618">
        <v>40305.360000000001</v>
      </c>
    </row>
    <row r="619" spans="1:17">
      <c r="A619" s="19">
        <v>45186</v>
      </c>
      <c r="B619" t="s">
        <v>1242</v>
      </c>
      <c r="C619" t="s">
        <v>1243</v>
      </c>
      <c r="D619" t="s">
        <v>1244</v>
      </c>
      <c r="E619" t="s">
        <v>1249</v>
      </c>
      <c r="F619" s="10">
        <v>12</v>
      </c>
      <c r="G619" s="10">
        <v>4378.41</v>
      </c>
      <c r="H619" s="10">
        <v>52540.92</v>
      </c>
      <c r="J619">
        <v>45202</v>
      </c>
      <c r="K619" t="str">
        <v>South</v>
      </c>
      <c r="L619" t="str">
        <v>Karnataka</v>
      </c>
      <c r="M619" t="str">
        <v>Mysuru</v>
      </c>
      <c r="N619" t="str">
        <v>Electronics</v>
      </c>
      <c r="O619">
        <v>17</v>
      </c>
      <c r="P619">
        <v>1194.33</v>
      </c>
      <c r="Q619">
        <v>20303.61</v>
      </c>
    </row>
    <row r="620" spans="1:17">
      <c r="A620" s="19">
        <v>45238</v>
      </c>
      <c r="B620" t="s">
        <v>1229</v>
      </c>
      <c r="C620" t="s">
        <v>1230</v>
      </c>
      <c r="D620" t="s">
        <v>1248</v>
      </c>
      <c r="E620" t="s">
        <v>1249</v>
      </c>
      <c r="F620" s="10">
        <v>19</v>
      </c>
      <c r="G620" s="10">
        <v>2743.67</v>
      </c>
      <c r="H620" s="10">
        <v>52129.73</v>
      </c>
      <c r="J620">
        <v>45173</v>
      </c>
      <c r="K620" t="str">
        <v>South</v>
      </c>
      <c r="L620" t="str">
        <v>Karnataka</v>
      </c>
      <c r="M620" t="str">
        <v>Mysuru</v>
      </c>
      <c r="N620" t="str">
        <v>Electronics</v>
      </c>
      <c r="O620">
        <v>11</v>
      </c>
      <c r="P620">
        <v>1169.3</v>
      </c>
      <c r="Q620">
        <v>12862.3</v>
      </c>
    </row>
    <row r="621" spans="1:17">
      <c r="A621" s="19">
        <v>45210</v>
      </c>
      <c r="B621" t="s">
        <v>1231</v>
      </c>
      <c r="C621" t="s">
        <v>1232</v>
      </c>
      <c r="D621" t="s">
        <v>1233</v>
      </c>
      <c r="E621" t="s">
        <v>1249</v>
      </c>
      <c r="F621" s="10">
        <v>16</v>
      </c>
      <c r="G621" s="10">
        <v>3155.43</v>
      </c>
      <c r="H621" s="10">
        <v>50486.879999999997</v>
      </c>
      <c r="J621">
        <v>45038</v>
      </c>
      <c r="K621" t="str">
        <v>South</v>
      </c>
      <c r="L621" t="str">
        <v>Karnataka</v>
      </c>
      <c r="M621" t="str">
        <v>Mysuru</v>
      </c>
      <c r="N621" t="str">
        <v>Electronics</v>
      </c>
      <c r="O621">
        <v>5</v>
      </c>
      <c r="P621">
        <v>1566.04</v>
      </c>
      <c r="Q621">
        <v>7830.2</v>
      </c>
    </row>
    <row r="622" spans="1:17">
      <c r="A622" s="19">
        <v>45214</v>
      </c>
      <c r="B622" t="s">
        <v>1231</v>
      </c>
      <c r="C622" t="s">
        <v>1232</v>
      </c>
      <c r="D622" t="s">
        <v>1234</v>
      </c>
      <c r="E622" t="s">
        <v>1249</v>
      </c>
      <c r="F622" s="10">
        <v>20</v>
      </c>
      <c r="G622" s="10">
        <v>2487.65</v>
      </c>
      <c r="H622" s="10">
        <v>49753</v>
      </c>
      <c r="J622">
        <v>44943</v>
      </c>
      <c r="K622" t="str">
        <v>South</v>
      </c>
      <c r="L622" t="str">
        <v>Karnataka</v>
      </c>
      <c r="M622" t="str">
        <v>Mysuru</v>
      </c>
      <c r="N622" t="str">
        <v>Electronics</v>
      </c>
      <c r="O622">
        <v>8</v>
      </c>
      <c r="P622">
        <v>918.76</v>
      </c>
      <c r="Q622">
        <v>7350.08</v>
      </c>
    </row>
    <row r="623" spans="1:17">
      <c r="A623" s="19">
        <v>45117</v>
      </c>
      <c r="B623" t="s">
        <v>1229</v>
      </c>
      <c r="C623" t="s">
        <v>1237</v>
      </c>
      <c r="D623" t="s">
        <v>1239</v>
      </c>
      <c r="E623" t="s">
        <v>1249</v>
      </c>
      <c r="F623" s="10">
        <v>20</v>
      </c>
      <c r="G623" s="10">
        <v>2415.86</v>
      </c>
      <c r="H623" s="10">
        <v>48317.2</v>
      </c>
      <c r="J623">
        <v>45118</v>
      </c>
      <c r="K623" t="str">
        <v>South</v>
      </c>
      <c r="L623" t="str">
        <v>Karnataka</v>
      </c>
      <c r="M623" t="str">
        <v>Mysuru</v>
      </c>
      <c r="N623" t="str">
        <v>Electronics</v>
      </c>
      <c r="O623">
        <v>9</v>
      </c>
      <c r="P623">
        <v>773.71</v>
      </c>
      <c r="Q623">
        <v>6963.39</v>
      </c>
    </row>
    <row r="624" spans="1:17">
      <c r="A624" s="19">
        <v>45116</v>
      </c>
      <c r="B624" t="s">
        <v>1242</v>
      </c>
      <c r="C624" t="s">
        <v>1243</v>
      </c>
      <c r="D624" t="s">
        <v>1247</v>
      </c>
      <c r="E624" t="s">
        <v>1249</v>
      </c>
      <c r="F624" s="10">
        <v>12</v>
      </c>
      <c r="G624" s="10">
        <v>4003.52</v>
      </c>
      <c r="H624" s="10">
        <v>48042.239999999998</v>
      </c>
      <c r="J624">
        <v>45209</v>
      </c>
      <c r="K624" t="str">
        <v>South</v>
      </c>
      <c r="L624" t="str">
        <v>Karnataka</v>
      </c>
      <c r="M624" t="str">
        <v>Mysuru</v>
      </c>
      <c r="N624" t="str">
        <v>Electronics</v>
      </c>
      <c r="O624">
        <v>7</v>
      </c>
      <c r="P624">
        <v>702.24</v>
      </c>
      <c r="Q624">
        <v>4915.68</v>
      </c>
    </row>
    <row r="625" spans="1:17">
      <c r="A625" s="19">
        <v>45058</v>
      </c>
      <c r="B625" t="s">
        <v>1242</v>
      </c>
      <c r="C625" t="s">
        <v>1243</v>
      </c>
      <c r="D625" t="s">
        <v>1244</v>
      </c>
      <c r="E625" t="s">
        <v>1249</v>
      </c>
      <c r="F625" s="10">
        <v>16</v>
      </c>
      <c r="G625" s="10">
        <v>2991.84</v>
      </c>
      <c r="H625" s="10">
        <v>47869.440000000002</v>
      </c>
      <c r="J625">
        <v>45162</v>
      </c>
      <c r="K625" t="str">
        <v>South</v>
      </c>
      <c r="L625" t="str">
        <v>Karnataka</v>
      </c>
      <c r="M625" t="str">
        <v>Mysuru</v>
      </c>
      <c r="N625" t="str">
        <v>Electronics</v>
      </c>
      <c r="O625">
        <v>1</v>
      </c>
      <c r="P625">
        <v>2710.27</v>
      </c>
      <c r="Q625">
        <v>2710.27</v>
      </c>
    </row>
    <row r="626" spans="1:17">
      <c r="A626" s="19">
        <v>45287</v>
      </c>
      <c r="B626" t="s">
        <v>1231</v>
      </c>
      <c r="C626" t="s">
        <v>1235</v>
      </c>
      <c r="D626" t="s">
        <v>1236</v>
      </c>
      <c r="E626" t="s">
        <v>1249</v>
      </c>
      <c r="F626" s="10">
        <v>19</v>
      </c>
      <c r="G626" s="10">
        <v>2513.27</v>
      </c>
      <c r="H626" s="10">
        <v>47752.13</v>
      </c>
      <c r="J626">
        <v>44940</v>
      </c>
      <c r="K626" t="str">
        <v>South</v>
      </c>
      <c r="L626" t="str">
        <v>Karnataka</v>
      </c>
      <c r="M626" t="str">
        <v>Mysuru</v>
      </c>
      <c r="N626" t="str">
        <v>Electronics</v>
      </c>
      <c r="O626">
        <v>2</v>
      </c>
      <c r="P626">
        <v>659.83</v>
      </c>
      <c r="Q626">
        <v>1319.66</v>
      </c>
    </row>
    <row r="627" spans="1:17">
      <c r="A627" s="19">
        <v>45105</v>
      </c>
      <c r="B627" t="s">
        <v>1231</v>
      </c>
      <c r="C627" t="s">
        <v>1235</v>
      </c>
      <c r="D627" t="s">
        <v>1241</v>
      </c>
      <c r="E627" t="s">
        <v>1249</v>
      </c>
      <c r="F627" s="10">
        <v>10</v>
      </c>
      <c r="G627" s="10">
        <v>4761.1899999999996</v>
      </c>
      <c r="H627" s="10">
        <v>47611.9</v>
      </c>
      <c r="J627">
        <v>45114</v>
      </c>
      <c r="K627" t="str">
        <v>South</v>
      </c>
      <c r="L627" t="str">
        <v>Karnataka</v>
      </c>
      <c r="M627" t="str">
        <v>Mysuru</v>
      </c>
      <c r="N627" t="str">
        <v>Furniture</v>
      </c>
      <c r="O627">
        <v>19</v>
      </c>
      <c r="P627">
        <v>4421.6899999999996</v>
      </c>
      <c r="Q627">
        <v>84012.11</v>
      </c>
    </row>
    <row r="628" spans="1:17">
      <c r="A628" s="19">
        <v>45161</v>
      </c>
      <c r="B628" t="s">
        <v>1231</v>
      </c>
      <c r="C628" t="s">
        <v>1232</v>
      </c>
      <c r="D628" t="s">
        <v>1234</v>
      </c>
      <c r="E628" t="s">
        <v>1249</v>
      </c>
      <c r="F628" s="10">
        <v>12</v>
      </c>
      <c r="G628" s="10">
        <v>3932.48</v>
      </c>
      <c r="H628" s="10">
        <v>47189.760000000002</v>
      </c>
      <c r="J628">
        <v>45086</v>
      </c>
      <c r="K628" t="str">
        <v>South</v>
      </c>
      <c r="L628" t="str">
        <v>Karnataka</v>
      </c>
      <c r="M628" t="str">
        <v>Mysuru</v>
      </c>
      <c r="N628" t="str">
        <v>Furniture</v>
      </c>
      <c r="O628">
        <v>19</v>
      </c>
      <c r="P628">
        <v>3044.32</v>
      </c>
      <c r="Q628">
        <v>57842.080000000002</v>
      </c>
    </row>
    <row r="629" spans="1:17">
      <c r="A629" s="19">
        <v>45071</v>
      </c>
      <c r="B629" t="s">
        <v>1242</v>
      </c>
      <c r="C629" t="s">
        <v>1243</v>
      </c>
      <c r="D629" t="s">
        <v>1247</v>
      </c>
      <c r="E629" t="s">
        <v>1249</v>
      </c>
      <c r="F629" s="10">
        <v>20</v>
      </c>
      <c r="G629" s="10">
        <v>2344.7600000000002</v>
      </c>
      <c r="H629" s="10">
        <v>46895.199999999997</v>
      </c>
      <c r="J629">
        <v>44999</v>
      </c>
      <c r="K629" t="str">
        <v>South</v>
      </c>
      <c r="L629" t="str">
        <v>Karnataka</v>
      </c>
      <c r="M629" t="str">
        <v>Mysuru</v>
      </c>
      <c r="N629" t="str">
        <v>Furniture</v>
      </c>
      <c r="O629">
        <v>19</v>
      </c>
      <c r="P629">
        <v>1398.49</v>
      </c>
      <c r="Q629">
        <v>26571.31</v>
      </c>
    </row>
    <row r="630" spans="1:17">
      <c r="A630" s="19">
        <v>45199</v>
      </c>
      <c r="B630" t="s">
        <v>1229</v>
      </c>
      <c r="C630" t="s">
        <v>1237</v>
      </c>
      <c r="D630" t="s">
        <v>1173</v>
      </c>
      <c r="E630" t="s">
        <v>1249</v>
      </c>
      <c r="F630" s="10">
        <v>12</v>
      </c>
      <c r="G630" s="10">
        <v>3895.88</v>
      </c>
      <c r="H630" s="10">
        <v>46750.559999999998</v>
      </c>
      <c r="J630">
        <v>45264</v>
      </c>
      <c r="K630" t="str">
        <v>South</v>
      </c>
      <c r="L630" t="str">
        <v>Karnataka</v>
      </c>
      <c r="M630" t="str">
        <v>Mysuru</v>
      </c>
      <c r="N630" t="str">
        <v>Furniture</v>
      </c>
      <c r="O630">
        <v>11</v>
      </c>
      <c r="P630">
        <v>1905.7</v>
      </c>
      <c r="Q630">
        <v>20962.7</v>
      </c>
    </row>
    <row r="631" spans="1:17">
      <c r="A631" s="19">
        <v>44993</v>
      </c>
      <c r="B631" t="s">
        <v>1231</v>
      </c>
      <c r="C631" t="s">
        <v>1232</v>
      </c>
      <c r="D631" t="s">
        <v>1233</v>
      </c>
      <c r="E631" t="s">
        <v>1249</v>
      </c>
      <c r="F631" s="10">
        <v>17</v>
      </c>
      <c r="G631" s="10">
        <v>2603.4899999999998</v>
      </c>
      <c r="H631" s="10">
        <v>44259.33</v>
      </c>
      <c r="J631">
        <v>45069</v>
      </c>
      <c r="K631" t="str">
        <v>South</v>
      </c>
      <c r="L631" t="str">
        <v>Karnataka</v>
      </c>
      <c r="M631" t="str">
        <v>Mysuru</v>
      </c>
      <c r="N631" t="str">
        <v>Furniture</v>
      </c>
      <c r="O631">
        <v>4</v>
      </c>
      <c r="P631">
        <v>2689.7</v>
      </c>
      <c r="Q631">
        <v>10758.8</v>
      </c>
    </row>
    <row r="632" spans="1:17">
      <c r="A632" s="19">
        <v>45074</v>
      </c>
      <c r="B632" t="s">
        <v>1231</v>
      </c>
      <c r="C632" t="s">
        <v>1232</v>
      </c>
      <c r="D632" t="s">
        <v>1233</v>
      </c>
      <c r="E632" t="s">
        <v>1249</v>
      </c>
      <c r="F632" s="10">
        <v>10</v>
      </c>
      <c r="G632" s="10">
        <v>4413.5</v>
      </c>
      <c r="H632" s="10">
        <v>44135</v>
      </c>
      <c r="J632">
        <v>45076</v>
      </c>
      <c r="K632" t="str">
        <v>South</v>
      </c>
      <c r="L632" t="str">
        <v>Karnataka</v>
      </c>
      <c r="M632" t="str">
        <v>Mysuru</v>
      </c>
      <c r="N632" t="str">
        <v>Furniture</v>
      </c>
      <c r="O632">
        <v>8</v>
      </c>
      <c r="P632">
        <v>659.36</v>
      </c>
      <c r="Q632">
        <v>5274.88</v>
      </c>
    </row>
    <row r="633" spans="1:17">
      <c r="A633" s="19">
        <v>45057</v>
      </c>
      <c r="B633" t="s">
        <v>1231</v>
      </c>
      <c r="C633" t="s">
        <v>1232</v>
      </c>
      <c r="D633" t="s">
        <v>1233</v>
      </c>
      <c r="E633" t="s">
        <v>1249</v>
      </c>
      <c r="F633" s="10">
        <v>15</v>
      </c>
      <c r="G633" s="10">
        <v>2905.47</v>
      </c>
      <c r="H633" s="10">
        <v>43582.05</v>
      </c>
      <c r="J633">
        <v>45083</v>
      </c>
      <c r="K633" t="str">
        <v>South</v>
      </c>
      <c r="L633" t="str">
        <v>Karnataka</v>
      </c>
      <c r="M633" t="str">
        <v>Mysuru</v>
      </c>
      <c r="N633" t="str">
        <v>Furniture</v>
      </c>
      <c r="O633">
        <v>5</v>
      </c>
      <c r="P633">
        <v>975.39</v>
      </c>
      <c r="Q633">
        <v>4876.95</v>
      </c>
    </row>
    <row r="634" spans="1:17">
      <c r="A634" s="19">
        <v>45232</v>
      </c>
      <c r="B634" t="s">
        <v>1229</v>
      </c>
      <c r="C634" t="s">
        <v>1237</v>
      </c>
      <c r="D634" t="s">
        <v>1239</v>
      </c>
      <c r="E634" t="s">
        <v>1249</v>
      </c>
      <c r="F634" s="10">
        <v>15</v>
      </c>
      <c r="G634" s="10">
        <v>2869.14</v>
      </c>
      <c r="H634" s="10">
        <v>43037.1</v>
      </c>
      <c r="J634">
        <v>45278</v>
      </c>
      <c r="K634" t="str">
        <v>South</v>
      </c>
      <c r="L634" t="str">
        <v>Karnataka</v>
      </c>
      <c r="M634" t="str">
        <v>Mysuru</v>
      </c>
      <c r="N634" t="str">
        <v>Furniture</v>
      </c>
      <c r="O634">
        <v>3</v>
      </c>
      <c r="P634">
        <v>1139.5899999999999</v>
      </c>
      <c r="Q634">
        <v>3418.77</v>
      </c>
    </row>
    <row r="635" spans="1:17">
      <c r="A635" s="19">
        <v>44974</v>
      </c>
      <c r="B635" t="s">
        <v>1231</v>
      </c>
      <c r="C635" t="s">
        <v>1235</v>
      </c>
      <c r="D635" t="s">
        <v>1238</v>
      </c>
      <c r="E635" t="s">
        <v>1249</v>
      </c>
      <c r="F635" s="10">
        <v>10</v>
      </c>
      <c r="G635" s="10">
        <v>4196.24</v>
      </c>
      <c r="H635" s="10">
        <v>41962.400000000001</v>
      </c>
      <c r="J635">
        <v>45148</v>
      </c>
      <c r="K635" t="str">
        <v>South</v>
      </c>
      <c r="L635" t="str">
        <v>Karnataka</v>
      </c>
      <c r="M635" t="str">
        <v>Mysuru</v>
      </c>
      <c r="N635" t="str">
        <v>Furniture</v>
      </c>
      <c r="O635">
        <v>1</v>
      </c>
      <c r="P635">
        <v>3374.31</v>
      </c>
      <c r="Q635">
        <v>3374.31</v>
      </c>
    </row>
    <row r="636" spans="1:17">
      <c r="A636" s="19">
        <v>45210</v>
      </c>
      <c r="B636" t="s">
        <v>1231</v>
      </c>
      <c r="C636" t="s">
        <v>1235</v>
      </c>
      <c r="D636" t="s">
        <v>1238</v>
      </c>
      <c r="E636" t="s">
        <v>1249</v>
      </c>
      <c r="F636" s="10">
        <v>16</v>
      </c>
      <c r="G636" s="10">
        <v>2619.73</v>
      </c>
      <c r="H636" s="10">
        <v>41915.68</v>
      </c>
      <c r="J636">
        <v>45069</v>
      </c>
      <c r="K636" t="str">
        <v>South</v>
      </c>
      <c r="L636" t="str">
        <v>Karnataka</v>
      </c>
      <c r="M636" t="str">
        <v>Mysuru</v>
      </c>
      <c r="N636" t="str">
        <v>Groceries</v>
      </c>
      <c r="O636">
        <v>15</v>
      </c>
      <c r="P636">
        <v>4269.32</v>
      </c>
      <c r="Q636">
        <v>64039.8</v>
      </c>
    </row>
    <row r="637" spans="1:17">
      <c r="A637" s="19">
        <v>45278</v>
      </c>
      <c r="B637" t="s">
        <v>1231</v>
      </c>
      <c r="C637" t="s">
        <v>1232</v>
      </c>
      <c r="D637" t="s">
        <v>1233</v>
      </c>
      <c r="E637" t="s">
        <v>1249</v>
      </c>
      <c r="F637" s="10">
        <v>9</v>
      </c>
      <c r="G637" s="10">
        <v>4638.57</v>
      </c>
      <c r="H637" s="10">
        <v>41747.129999999997</v>
      </c>
      <c r="J637">
        <v>45287</v>
      </c>
      <c r="K637" t="str">
        <v>South</v>
      </c>
      <c r="L637" t="str">
        <v>Karnataka</v>
      </c>
      <c r="M637" t="str">
        <v>Mysuru</v>
      </c>
      <c r="N637" t="str">
        <v>Groceries</v>
      </c>
      <c r="O637">
        <v>19</v>
      </c>
      <c r="P637">
        <v>2513.27</v>
      </c>
      <c r="Q637">
        <v>47752.13</v>
      </c>
    </row>
    <row r="638" spans="1:17">
      <c r="A638" s="19">
        <v>45059</v>
      </c>
      <c r="B638" t="s">
        <v>1242</v>
      </c>
      <c r="C638" t="s">
        <v>1243</v>
      </c>
      <c r="D638" t="s">
        <v>1245</v>
      </c>
      <c r="E638" t="s">
        <v>1249</v>
      </c>
      <c r="F638" s="10">
        <v>10</v>
      </c>
      <c r="G638" s="10">
        <v>4092.05</v>
      </c>
      <c r="H638" s="10">
        <v>40920.5</v>
      </c>
      <c r="J638">
        <v>45044</v>
      </c>
      <c r="K638" t="str">
        <v>South</v>
      </c>
      <c r="L638" t="str">
        <v>Karnataka</v>
      </c>
      <c r="M638" t="str">
        <v>Mysuru</v>
      </c>
      <c r="N638" t="str">
        <v>Groceries</v>
      </c>
      <c r="O638">
        <v>9</v>
      </c>
      <c r="P638">
        <v>4485.21</v>
      </c>
      <c r="Q638">
        <v>40366.89</v>
      </c>
    </row>
    <row r="639" spans="1:17">
      <c r="A639" s="19">
        <v>45044</v>
      </c>
      <c r="B639" t="s">
        <v>1231</v>
      </c>
      <c r="C639" t="s">
        <v>1235</v>
      </c>
      <c r="D639" t="s">
        <v>1236</v>
      </c>
      <c r="E639" t="s">
        <v>1249</v>
      </c>
      <c r="F639" s="10">
        <v>9</v>
      </c>
      <c r="G639" s="10">
        <v>4485.21</v>
      </c>
      <c r="H639" s="10">
        <v>40366.89</v>
      </c>
      <c r="J639">
        <v>44975</v>
      </c>
      <c r="K639" t="str">
        <v>South</v>
      </c>
      <c r="L639" t="str">
        <v>Karnataka</v>
      </c>
      <c r="M639" t="str">
        <v>Mysuru</v>
      </c>
      <c r="N639" t="str">
        <v>Groceries</v>
      </c>
      <c r="O639">
        <v>15</v>
      </c>
      <c r="P639">
        <v>1972.75</v>
      </c>
      <c r="Q639">
        <v>29591.25</v>
      </c>
    </row>
    <row r="640" spans="1:17">
      <c r="A640" s="19">
        <v>45122</v>
      </c>
      <c r="B640" t="s">
        <v>1231</v>
      </c>
      <c r="C640" t="s">
        <v>1235</v>
      </c>
      <c r="D640" t="s">
        <v>1241</v>
      </c>
      <c r="E640" t="s">
        <v>1249</v>
      </c>
      <c r="F640" s="10">
        <v>11</v>
      </c>
      <c r="G640" s="10">
        <v>3590.89</v>
      </c>
      <c r="H640" s="10">
        <v>39499.79</v>
      </c>
      <c r="J640">
        <v>45163</v>
      </c>
      <c r="K640" t="str">
        <v>South</v>
      </c>
      <c r="L640" t="str">
        <v>Karnataka</v>
      </c>
      <c r="M640" t="str">
        <v>Mysuru</v>
      </c>
      <c r="N640" t="str">
        <v>Groceries</v>
      </c>
      <c r="O640">
        <v>8</v>
      </c>
      <c r="P640">
        <v>3547.38</v>
      </c>
      <c r="Q640">
        <v>28379.040000000001</v>
      </c>
    </row>
    <row r="641" spans="1:17">
      <c r="A641" s="19">
        <v>45112</v>
      </c>
      <c r="B641" t="s">
        <v>1231</v>
      </c>
      <c r="C641" t="s">
        <v>1232</v>
      </c>
      <c r="D641" t="s">
        <v>1234</v>
      </c>
      <c r="E641" t="s">
        <v>1249</v>
      </c>
      <c r="F641" s="10">
        <v>14</v>
      </c>
      <c r="G641" s="10">
        <v>2808.58</v>
      </c>
      <c r="H641" s="10">
        <v>39320.120000000003</v>
      </c>
      <c r="J641">
        <v>45220</v>
      </c>
      <c r="K641" t="str">
        <v>South</v>
      </c>
      <c r="L641" t="str">
        <v>Karnataka</v>
      </c>
      <c r="M641" t="str">
        <v>Mysuru</v>
      </c>
      <c r="N641" t="str">
        <v>Groceries</v>
      </c>
      <c r="O641">
        <v>13</v>
      </c>
      <c r="P641">
        <v>1976.63</v>
      </c>
      <c r="Q641">
        <v>25696.19</v>
      </c>
    </row>
    <row r="642" spans="1:17">
      <c r="A642" s="19">
        <v>44993</v>
      </c>
      <c r="B642" t="s">
        <v>1231</v>
      </c>
      <c r="C642" t="s">
        <v>1232</v>
      </c>
      <c r="D642" t="s">
        <v>1234</v>
      </c>
      <c r="E642" t="s">
        <v>1249</v>
      </c>
      <c r="F642" s="10">
        <v>11</v>
      </c>
      <c r="G642" s="10">
        <v>3561.4</v>
      </c>
      <c r="H642" s="10">
        <v>39175.4</v>
      </c>
      <c r="J642">
        <v>44932</v>
      </c>
      <c r="K642" t="str">
        <v>South</v>
      </c>
      <c r="L642" t="str">
        <v>Karnataka</v>
      </c>
      <c r="M642" t="str">
        <v>Mysuru</v>
      </c>
      <c r="N642" t="str">
        <v>Groceries</v>
      </c>
      <c r="O642">
        <v>18</v>
      </c>
      <c r="P642">
        <v>1073</v>
      </c>
      <c r="Q642">
        <v>19314</v>
      </c>
    </row>
    <row r="643" spans="1:17">
      <c r="A643" s="19">
        <v>45078</v>
      </c>
      <c r="B643" t="s">
        <v>1229</v>
      </c>
      <c r="C643" t="s">
        <v>1230</v>
      </c>
      <c r="D643" t="s">
        <v>1169</v>
      </c>
      <c r="E643" t="s">
        <v>1249</v>
      </c>
      <c r="F643" s="10">
        <v>15</v>
      </c>
      <c r="G643" s="10">
        <v>2586.8000000000002</v>
      </c>
      <c r="H643" s="10">
        <v>38802</v>
      </c>
      <c r="J643">
        <v>45189</v>
      </c>
      <c r="K643" t="str">
        <v>South</v>
      </c>
      <c r="L643" t="str">
        <v>Karnataka</v>
      </c>
      <c r="M643" t="str">
        <v>Mysuru</v>
      </c>
      <c r="N643" t="str">
        <v>Groceries</v>
      </c>
      <c r="O643">
        <v>15</v>
      </c>
      <c r="P643">
        <v>1259.1600000000001</v>
      </c>
      <c r="Q643">
        <v>18887.400000000001</v>
      </c>
    </row>
    <row r="644" spans="1:17">
      <c r="A644" s="19">
        <v>44992</v>
      </c>
      <c r="B644" t="s">
        <v>1229</v>
      </c>
      <c r="C644" t="s">
        <v>1230</v>
      </c>
      <c r="D644" t="s">
        <v>1248</v>
      </c>
      <c r="E644" t="s">
        <v>1249</v>
      </c>
      <c r="F644" s="10">
        <v>20</v>
      </c>
      <c r="G644" s="10">
        <v>1916.52</v>
      </c>
      <c r="H644" s="10">
        <v>38330.400000000001</v>
      </c>
      <c r="J644">
        <v>45158</v>
      </c>
      <c r="K644" t="str">
        <v>South</v>
      </c>
      <c r="L644" t="str">
        <v>Karnataka</v>
      </c>
      <c r="M644" t="str">
        <v>Mysuru</v>
      </c>
      <c r="N644" t="str">
        <v>Groceries</v>
      </c>
      <c r="O644">
        <v>7</v>
      </c>
      <c r="P644">
        <v>2560.5</v>
      </c>
      <c r="Q644">
        <v>17923.5</v>
      </c>
    </row>
    <row r="645" spans="1:17">
      <c r="A645" s="19">
        <v>45182</v>
      </c>
      <c r="B645" t="s">
        <v>1231</v>
      </c>
      <c r="C645" t="s">
        <v>1232</v>
      </c>
      <c r="D645" t="s">
        <v>1240</v>
      </c>
      <c r="E645" t="s">
        <v>1249</v>
      </c>
      <c r="F645" s="10">
        <v>8</v>
      </c>
      <c r="G645" s="10">
        <v>4651.3</v>
      </c>
      <c r="H645" s="10">
        <v>37210.400000000001</v>
      </c>
      <c r="J645">
        <v>44992</v>
      </c>
      <c r="K645" t="str">
        <v>South</v>
      </c>
      <c r="L645" t="str">
        <v>Karnataka</v>
      </c>
      <c r="M645" t="str">
        <v>Mysuru</v>
      </c>
      <c r="N645" t="str">
        <v>Groceries</v>
      </c>
      <c r="O645">
        <v>5</v>
      </c>
      <c r="P645">
        <v>1991.64</v>
      </c>
      <c r="Q645">
        <v>9958.2000000000007</v>
      </c>
    </row>
    <row r="646" spans="1:17">
      <c r="A646" s="19">
        <v>45114</v>
      </c>
      <c r="B646" t="s">
        <v>1231</v>
      </c>
      <c r="C646" t="s">
        <v>1235</v>
      </c>
      <c r="D646" t="s">
        <v>1241</v>
      </c>
      <c r="E646" t="s">
        <v>1249</v>
      </c>
      <c r="F646" s="10">
        <v>15</v>
      </c>
      <c r="G646" s="10">
        <v>2477.09</v>
      </c>
      <c r="H646" s="10">
        <v>37156.35</v>
      </c>
      <c r="J646">
        <v>45255</v>
      </c>
      <c r="K646" t="str">
        <v>South</v>
      </c>
      <c r="L646" t="str">
        <v>Karnataka</v>
      </c>
      <c r="M646" t="str">
        <v>Mysuru</v>
      </c>
      <c r="N646" t="str">
        <v>Groceries</v>
      </c>
      <c r="O646">
        <v>15</v>
      </c>
      <c r="P646">
        <v>534.41999999999996</v>
      </c>
      <c r="Q646">
        <v>8016.3</v>
      </c>
    </row>
    <row r="647" spans="1:17">
      <c r="A647" s="19">
        <v>45072</v>
      </c>
      <c r="B647" t="s">
        <v>1231</v>
      </c>
      <c r="C647" t="s">
        <v>1235</v>
      </c>
      <c r="D647" t="s">
        <v>1241</v>
      </c>
      <c r="E647" t="s">
        <v>1249</v>
      </c>
      <c r="F647" s="10">
        <v>16</v>
      </c>
      <c r="G647" s="10">
        <v>2231.67</v>
      </c>
      <c r="H647" s="10">
        <v>35706.720000000001</v>
      </c>
      <c r="J647">
        <v>45280</v>
      </c>
      <c r="K647" t="str">
        <v>South</v>
      </c>
      <c r="L647" t="str">
        <v>Karnataka</v>
      </c>
      <c r="M647" t="str">
        <v>Mysuru</v>
      </c>
      <c r="N647" t="str">
        <v>Groceries</v>
      </c>
      <c r="O647">
        <v>13</v>
      </c>
      <c r="P647">
        <v>512.69000000000005</v>
      </c>
      <c r="Q647">
        <v>6664.97</v>
      </c>
    </row>
    <row r="648" spans="1:17">
      <c r="A648" s="19">
        <v>45204</v>
      </c>
      <c r="B648" t="s">
        <v>1231</v>
      </c>
      <c r="C648" t="s">
        <v>1235</v>
      </c>
      <c r="D648" t="s">
        <v>1241</v>
      </c>
      <c r="E648" t="s">
        <v>1249</v>
      </c>
      <c r="F648" s="10">
        <v>10</v>
      </c>
      <c r="G648" s="10">
        <v>3540.6</v>
      </c>
      <c r="H648" s="10">
        <v>35406</v>
      </c>
      <c r="J648">
        <v>45173</v>
      </c>
      <c r="K648" t="str">
        <v>South</v>
      </c>
      <c r="L648" t="str">
        <v>Karnataka</v>
      </c>
      <c r="M648" t="str">
        <v>Mysuru</v>
      </c>
      <c r="N648" t="str">
        <v>Groceries</v>
      </c>
      <c r="O648">
        <v>4</v>
      </c>
      <c r="P648">
        <v>1381.71</v>
      </c>
      <c r="Q648">
        <v>5526.84</v>
      </c>
    </row>
    <row r="649" spans="1:17">
      <c r="A649" s="19">
        <v>45264</v>
      </c>
      <c r="B649" t="s">
        <v>1231</v>
      </c>
      <c r="C649" t="s">
        <v>1235</v>
      </c>
      <c r="D649" t="s">
        <v>1238</v>
      </c>
      <c r="E649" t="s">
        <v>1249</v>
      </c>
      <c r="F649" s="10">
        <v>15</v>
      </c>
      <c r="G649" s="10">
        <v>2346.4</v>
      </c>
      <c r="H649" s="10">
        <v>35196</v>
      </c>
      <c r="J649">
        <v>44965</v>
      </c>
      <c r="K649" t="str">
        <v>South</v>
      </c>
      <c r="L649" t="str">
        <v>Karnataka</v>
      </c>
      <c r="M649" t="str">
        <v>Mysuru</v>
      </c>
      <c r="N649" t="str">
        <v>Groceries</v>
      </c>
      <c r="O649">
        <v>17</v>
      </c>
      <c r="P649">
        <v>269.7</v>
      </c>
      <c r="Q649">
        <v>4584.8999999999996</v>
      </c>
    </row>
    <row r="650" spans="1:17">
      <c r="A650" s="19">
        <v>45050</v>
      </c>
      <c r="B650" t="s">
        <v>1229</v>
      </c>
      <c r="C650" t="s">
        <v>1237</v>
      </c>
      <c r="D650" t="s">
        <v>1239</v>
      </c>
      <c r="E650" t="s">
        <v>1249</v>
      </c>
      <c r="F650" s="10">
        <v>17</v>
      </c>
      <c r="G650" s="10">
        <v>2031.75</v>
      </c>
      <c r="H650" s="10">
        <v>34539.75</v>
      </c>
      <c r="J650">
        <v>45275</v>
      </c>
      <c r="K650" t="str">
        <v>South</v>
      </c>
      <c r="L650" t="str">
        <v>Karnataka</v>
      </c>
      <c r="M650" t="str">
        <v>Mysuru</v>
      </c>
      <c r="N650" t="str">
        <v>Groceries</v>
      </c>
      <c r="O650">
        <v>3</v>
      </c>
      <c r="P650">
        <v>1043.3900000000001</v>
      </c>
      <c r="Q650">
        <v>3130.17</v>
      </c>
    </row>
    <row r="651" spans="1:17">
      <c r="A651" s="19">
        <v>44936</v>
      </c>
      <c r="B651" t="s">
        <v>1229</v>
      </c>
      <c r="C651" t="s">
        <v>1237</v>
      </c>
      <c r="D651" t="s">
        <v>1173</v>
      </c>
      <c r="E651" t="s">
        <v>1249</v>
      </c>
      <c r="F651" s="10">
        <v>8</v>
      </c>
      <c r="G651" s="10">
        <v>4146.82</v>
      </c>
      <c r="H651" s="10">
        <v>33174.559999999998</v>
      </c>
      <c r="J651">
        <v>45226</v>
      </c>
      <c r="K651" t="str">
        <v>South</v>
      </c>
      <c r="L651" t="str">
        <v>Karnataka</v>
      </c>
      <c r="M651" t="str">
        <v>Mysuru</v>
      </c>
      <c r="N651" t="str">
        <v>Stationery</v>
      </c>
      <c r="O651">
        <v>15</v>
      </c>
      <c r="P651">
        <v>4545.26</v>
      </c>
      <c r="Q651">
        <v>68178.899999999994</v>
      </c>
    </row>
    <row r="652" spans="1:17">
      <c r="A652" s="19">
        <v>45142</v>
      </c>
      <c r="B652" t="s">
        <v>1242</v>
      </c>
      <c r="C652" t="s">
        <v>1243</v>
      </c>
      <c r="D652" t="s">
        <v>1247</v>
      </c>
      <c r="E652" t="s">
        <v>1249</v>
      </c>
      <c r="F652" s="10">
        <v>11</v>
      </c>
      <c r="G652" s="10">
        <v>3011.73</v>
      </c>
      <c r="H652" s="10">
        <v>33129.03</v>
      </c>
      <c r="J652">
        <v>45198</v>
      </c>
      <c r="K652" t="str">
        <v>South</v>
      </c>
      <c r="L652" t="str">
        <v>Karnataka</v>
      </c>
      <c r="M652" t="str">
        <v>Mysuru</v>
      </c>
      <c r="N652" t="str">
        <v>Stationery</v>
      </c>
      <c r="O652">
        <v>14</v>
      </c>
      <c r="P652">
        <v>4192.8599999999997</v>
      </c>
      <c r="Q652">
        <v>58700.04</v>
      </c>
    </row>
    <row r="653" spans="1:17">
      <c r="A653" s="19">
        <v>45026</v>
      </c>
      <c r="B653" t="s">
        <v>1242</v>
      </c>
      <c r="C653" t="s">
        <v>1243</v>
      </c>
      <c r="D653" t="s">
        <v>1244</v>
      </c>
      <c r="E653" t="s">
        <v>1249</v>
      </c>
      <c r="F653" s="10">
        <v>7</v>
      </c>
      <c r="G653" s="10">
        <v>4541.83</v>
      </c>
      <c r="H653" s="10">
        <v>31792.81</v>
      </c>
      <c r="J653">
        <v>45264</v>
      </c>
      <c r="K653" t="str">
        <v>South</v>
      </c>
      <c r="L653" t="str">
        <v>Karnataka</v>
      </c>
      <c r="M653" t="str">
        <v>Mysuru</v>
      </c>
      <c r="N653" t="str">
        <v>Stationery</v>
      </c>
      <c r="O653">
        <v>10</v>
      </c>
      <c r="P653">
        <v>3964.05</v>
      </c>
      <c r="Q653">
        <v>39640.5</v>
      </c>
    </row>
    <row r="654" spans="1:17">
      <c r="A654" s="19">
        <v>45118</v>
      </c>
      <c r="B654" t="s">
        <v>1231</v>
      </c>
      <c r="C654" t="s">
        <v>1232</v>
      </c>
      <c r="D654" t="s">
        <v>1234</v>
      </c>
      <c r="E654" t="s">
        <v>1249</v>
      </c>
      <c r="F654" s="10">
        <v>10</v>
      </c>
      <c r="G654" s="10">
        <v>3122.59</v>
      </c>
      <c r="H654" s="10">
        <v>31225.9</v>
      </c>
      <c r="J654">
        <v>45115</v>
      </c>
      <c r="K654" t="str">
        <v>South</v>
      </c>
      <c r="L654" t="str">
        <v>Karnataka</v>
      </c>
      <c r="M654" t="str">
        <v>Mysuru</v>
      </c>
      <c r="N654" t="str">
        <v>Stationery</v>
      </c>
      <c r="O654">
        <v>17</v>
      </c>
      <c r="P654">
        <v>2316.09</v>
      </c>
      <c r="Q654">
        <v>39373.53</v>
      </c>
    </row>
    <row r="655" spans="1:17">
      <c r="A655" s="19">
        <v>45195</v>
      </c>
      <c r="B655" t="s">
        <v>1242</v>
      </c>
      <c r="C655" t="s">
        <v>1243</v>
      </c>
      <c r="D655" t="s">
        <v>1245</v>
      </c>
      <c r="E655" t="s">
        <v>1249</v>
      </c>
      <c r="F655" s="10">
        <v>9</v>
      </c>
      <c r="G655" s="10">
        <v>3458</v>
      </c>
      <c r="H655" s="10">
        <v>31122</v>
      </c>
      <c r="J655">
        <v>45284</v>
      </c>
      <c r="K655" t="str">
        <v>South</v>
      </c>
      <c r="L655" t="str">
        <v>Karnataka</v>
      </c>
      <c r="M655" t="str">
        <v>Mysuru</v>
      </c>
      <c r="N655" t="str">
        <v>Stationery</v>
      </c>
      <c r="O655">
        <v>8</v>
      </c>
      <c r="P655">
        <v>4516.82</v>
      </c>
      <c r="Q655">
        <v>36134.559999999998</v>
      </c>
    </row>
    <row r="656" spans="1:17">
      <c r="A656" s="19">
        <v>45113</v>
      </c>
      <c r="B656" t="s">
        <v>1231</v>
      </c>
      <c r="C656" t="s">
        <v>1232</v>
      </c>
      <c r="D656" t="s">
        <v>1234</v>
      </c>
      <c r="E656" t="s">
        <v>1249</v>
      </c>
      <c r="F656" s="10">
        <v>9</v>
      </c>
      <c r="G656" s="10">
        <v>3395.02</v>
      </c>
      <c r="H656" s="10">
        <v>30555.18</v>
      </c>
      <c r="J656">
        <v>45110</v>
      </c>
      <c r="K656" t="str">
        <v>South</v>
      </c>
      <c r="L656" t="str">
        <v>Karnataka</v>
      </c>
      <c r="M656" t="str">
        <v>Mysuru</v>
      </c>
      <c r="N656" t="str">
        <v>Stationery</v>
      </c>
      <c r="O656">
        <v>18</v>
      </c>
      <c r="P656">
        <v>1968.87</v>
      </c>
      <c r="Q656">
        <v>35439.660000000003</v>
      </c>
    </row>
    <row r="657" spans="1:17">
      <c r="A657" s="19">
        <v>45156</v>
      </c>
      <c r="B657" t="s">
        <v>1229</v>
      </c>
      <c r="C657" t="s">
        <v>1230</v>
      </c>
      <c r="D657" t="s">
        <v>1246</v>
      </c>
      <c r="E657" t="s">
        <v>1249</v>
      </c>
      <c r="F657" s="10">
        <v>16</v>
      </c>
      <c r="G657" s="10">
        <v>1907.95</v>
      </c>
      <c r="H657" s="10">
        <v>30527.200000000001</v>
      </c>
      <c r="J657">
        <v>44933</v>
      </c>
      <c r="K657" t="str">
        <v>South</v>
      </c>
      <c r="L657" t="str">
        <v>Karnataka</v>
      </c>
      <c r="M657" t="str">
        <v>Mysuru</v>
      </c>
      <c r="N657" t="str">
        <v>Stationery</v>
      </c>
      <c r="O657">
        <v>8</v>
      </c>
      <c r="P657">
        <v>4201.6899999999996</v>
      </c>
      <c r="Q657">
        <v>33613.519999999997</v>
      </c>
    </row>
    <row r="658" spans="1:17">
      <c r="A658" s="19">
        <v>45258</v>
      </c>
      <c r="B658" t="s">
        <v>1231</v>
      </c>
      <c r="C658" t="s">
        <v>1232</v>
      </c>
      <c r="D658" t="s">
        <v>1240</v>
      </c>
      <c r="E658" t="s">
        <v>1249</v>
      </c>
      <c r="F658" s="10">
        <v>13</v>
      </c>
      <c r="G658" s="10">
        <v>2347.66</v>
      </c>
      <c r="H658" s="10">
        <v>30519.58</v>
      </c>
      <c r="J658">
        <v>45201</v>
      </c>
      <c r="K658" t="str">
        <v>South</v>
      </c>
      <c r="L658" t="str">
        <v>Karnataka</v>
      </c>
      <c r="M658" t="str">
        <v>Mysuru</v>
      </c>
      <c r="N658" t="str">
        <v>Stationery</v>
      </c>
      <c r="O658">
        <v>19</v>
      </c>
      <c r="P658">
        <v>1564.94</v>
      </c>
      <c r="Q658">
        <v>29733.86</v>
      </c>
    </row>
    <row r="659" spans="1:17">
      <c r="A659" s="19">
        <v>45024</v>
      </c>
      <c r="B659" t="s">
        <v>1242</v>
      </c>
      <c r="C659" t="s">
        <v>1243</v>
      </c>
      <c r="D659" t="s">
        <v>1244</v>
      </c>
      <c r="E659" t="s">
        <v>1249</v>
      </c>
      <c r="F659" s="10">
        <v>6</v>
      </c>
      <c r="G659" s="10">
        <v>4939.09</v>
      </c>
      <c r="H659" s="10">
        <v>29634.54</v>
      </c>
      <c r="J659">
        <v>45043</v>
      </c>
      <c r="K659" t="str">
        <v>South</v>
      </c>
      <c r="L659" t="str">
        <v>Karnataka</v>
      </c>
      <c r="M659" t="str">
        <v>Mysuru</v>
      </c>
      <c r="N659" t="str">
        <v>Stationery</v>
      </c>
      <c r="O659">
        <v>18</v>
      </c>
      <c r="P659">
        <v>1156.17</v>
      </c>
      <c r="Q659">
        <v>20811.060000000001</v>
      </c>
    </row>
    <row r="660" spans="1:17">
      <c r="A660" s="19">
        <v>44975</v>
      </c>
      <c r="B660" t="s">
        <v>1231</v>
      </c>
      <c r="C660" t="s">
        <v>1235</v>
      </c>
      <c r="D660" t="s">
        <v>1236</v>
      </c>
      <c r="E660" t="s">
        <v>1249</v>
      </c>
      <c r="F660" s="10">
        <v>15</v>
      </c>
      <c r="G660" s="10">
        <v>1972.75</v>
      </c>
      <c r="H660" s="10">
        <v>29591.25</v>
      </c>
      <c r="J660">
        <v>45034</v>
      </c>
      <c r="K660" t="str">
        <v>South</v>
      </c>
      <c r="L660" t="str">
        <v>Karnataka</v>
      </c>
      <c r="M660" t="str">
        <v>Mysuru</v>
      </c>
      <c r="N660" t="str">
        <v>Stationery</v>
      </c>
      <c r="O660">
        <v>6</v>
      </c>
      <c r="P660">
        <v>3439.83</v>
      </c>
      <c r="Q660">
        <v>20638.98</v>
      </c>
    </row>
    <row r="661" spans="1:17">
      <c r="A661" s="19">
        <v>45058</v>
      </c>
      <c r="B661" t="s">
        <v>1229</v>
      </c>
      <c r="C661" t="s">
        <v>1230</v>
      </c>
      <c r="D661" t="s">
        <v>1246</v>
      </c>
      <c r="E661" t="s">
        <v>1249</v>
      </c>
      <c r="F661" s="10">
        <v>12</v>
      </c>
      <c r="G661" s="10">
        <v>2438.6799999999998</v>
      </c>
      <c r="H661" s="10">
        <v>29264.16</v>
      </c>
      <c r="J661">
        <v>45090</v>
      </c>
      <c r="K661" t="str">
        <v>South</v>
      </c>
      <c r="L661" t="str">
        <v>Karnataka</v>
      </c>
      <c r="M661" t="str">
        <v>Mysuru</v>
      </c>
      <c r="N661" t="str">
        <v>Stationery</v>
      </c>
      <c r="O661">
        <v>5</v>
      </c>
      <c r="P661">
        <v>3701.17</v>
      </c>
      <c r="Q661">
        <v>18505.849999999999</v>
      </c>
    </row>
    <row r="662" spans="1:17">
      <c r="A662" s="19">
        <v>45252</v>
      </c>
      <c r="B662" t="s">
        <v>1229</v>
      </c>
      <c r="C662" t="s">
        <v>1230</v>
      </c>
      <c r="D662" t="s">
        <v>1246</v>
      </c>
      <c r="E662" t="s">
        <v>1249</v>
      </c>
      <c r="F662" s="10">
        <v>9</v>
      </c>
      <c r="G662" s="10">
        <v>3209.83</v>
      </c>
      <c r="H662" s="10">
        <v>28888.47</v>
      </c>
      <c r="J662">
        <v>45114</v>
      </c>
      <c r="K662" t="str">
        <v>South</v>
      </c>
      <c r="L662" t="str">
        <v>Karnataka</v>
      </c>
      <c r="M662" t="str">
        <v>Mysuru</v>
      </c>
      <c r="N662" t="str">
        <v>Stationery</v>
      </c>
      <c r="O662">
        <v>7</v>
      </c>
      <c r="P662">
        <v>2016.03</v>
      </c>
      <c r="Q662">
        <v>14112.21</v>
      </c>
    </row>
    <row r="663" spans="1:17">
      <c r="A663" s="19">
        <v>45163</v>
      </c>
      <c r="B663" t="s">
        <v>1231</v>
      </c>
      <c r="C663" t="s">
        <v>1235</v>
      </c>
      <c r="D663" t="s">
        <v>1236</v>
      </c>
      <c r="E663" t="s">
        <v>1249</v>
      </c>
      <c r="F663" s="10">
        <v>8</v>
      </c>
      <c r="G663" s="10">
        <v>3547.38</v>
      </c>
      <c r="H663" s="10">
        <v>28379.040000000001</v>
      </c>
      <c r="J663">
        <v>45243</v>
      </c>
      <c r="K663" t="str">
        <v>South</v>
      </c>
      <c r="L663" t="str">
        <v>Karnataka</v>
      </c>
      <c r="M663" t="str">
        <v>Mysuru</v>
      </c>
      <c r="N663" t="str">
        <v>Stationery</v>
      </c>
      <c r="O663">
        <v>2</v>
      </c>
      <c r="P663">
        <v>2914.14</v>
      </c>
      <c r="Q663">
        <v>5828.28</v>
      </c>
    </row>
    <row r="664" spans="1:17">
      <c r="A664" s="19">
        <v>44940</v>
      </c>
      <c r="B664" t="s">
        <v>1242</v>
      </c>
      <c r="C664" t="s">
        <v>1243</v>
      </c>
      <c r="D664" t="s">
        <v>1247</v>
      </c>
      <c r="E664" t="s">
        <v>1249</v>
      </c>
      <c r="F664" s="10">
        <v>9</v>
      </c>
      <c r="G664" s="10">
        <v>3137.87</v>
      </c>
      <c r="H664" s="10">
        <v>28240.83</v>
      </c>
      <c r="J664">
        <v>45021</v>
      </c>
      <c r="K664" t="str">
        <v>South</v>
      </c>
      <c r="L664" t="str">
        <v>Karnataka</v>
      </c>
      <c r="M664" t="str">
        <v>Mysuru</v>
      </c>
      <c r="N664" t="str">
        <v>Stationery</v>
      </c>
      <c r="O664">
        <v>4</v>
      </c>
      <c r="P664">
        <v>1456.19</v>
      </c>
      <c r="Q664">
        <v>5824.76</v>
      </c>
    </row>
    <row r="665" spans="1:17">
      <c r="A665" s="19">
        <v>45185</v>
      </c>
      <c r="B665" t="s">
        <v>1229</v>
      </c>
      <c r="C665" t="s">
        <v>1237</v>
      </c>
      <c r="D665" t="s">
        <v>1239</v>
      </c>
      <c r="E665" t="s">
        <v>1249</v>
      </c>
      <c r="F665" s="10">
        <v>8</v>
      </c>
      <c r="G665" s="10">
        <v>3372.86</v>
      </c>
      <c r="H665" s="10">
        <v>26982.880000000001</v>
      </c>
      <c r="J665">
        <v>45257</v>
      </c>
      <c r="K665" t="str">
        <v>South</v>
      </c>
      <c r="L665" t="str">
        <v>Karnataka</v>
      </c>
      <c r="M665" t="str">
        <v>Mysuru</v>
      </c>
      <c r="N665" t="str">
        <v>Stationery</v>
      </c>
      <c r="O665">
        <v>7</v>
      </c>
      <c r="P665">
        <v>633.15</v>
      </c>
      <c r="Q665">
        <v>4432.05</v>
      </c>
    </row>
    <row r="666" spans="1:17">
      <c r="A666" s="19">
        <v>45193</v>
      </c>
      <c r="B666" t="s">
        <v>1229</v>
      </c>
      <c r="C666" t="s">
        <v>1237</v>
      </c>
      <c r="D666" t="s">
        <v>1171</v>
      </c>
      <c r="E666" t="s">
        <v>1249</v>
      </c>
      <c r="F666" s="10">
        <v>10</v>
      </c>
      <c r="G666" s="10">
        <v>2691.21</v>
      </c>
      <c r="H666" s="10">
        <v>26912.1</v>
      </c>
      <c r="J666">
        <v>44985</v>
      </c>
      <c r="K666" t="str">
        <v>South</v>
      </c>
      <c r="L666" t="str">
        <v>Karnataka</v>
      </c>
      <c r="M666" t="str">
        <v>Mysuru</v>
      </c>
      <c r="N666" t="str">
        <v>Stationery</v>
      </c>
      <c r="O666">
        <v>10</v>
      </c>
      <c r="P666">
        <v>429.69</v>
      </c>
      <c r="Q666">
        <v>4296.8999999999996</v>
      </c>
    </row>
    <row r="667" spans="1:17">
      <c r="A667" s="19">
        <v>45000</v>
      </c>
      <c r="B667" t="s">
        <v>1242</v>
      </c>
      <c r="C667" t="s">
        <v>1243</v>
      </c>
      <c r="D667" t="s">
        <v>1247</v>
      </c>
      <c r="E667" t="s">
        <v>1249</v>
      </c>
      <c r="F667" s="10">
        <v>6</v>
      </c>
      <c r="G667" s="10">
        <v>4364.67</v>
      </c>
      <c r="H667" s="10">
        <v>26188.02</v>
      </c>
      <c r="J667">
        <v>44933</v>
      </c>
      <c r="K667" t="str">
        <v>South</v>
      </c>
      <c r="L667" t="str">
        <v>Karnataka</v>
      </c>
      <c r="M667" t="str">
        <v>Mysuru</v>
      </c>
      <c r="N667" t="str">
        <v>Stationery</v>
      </c>
      <c r="O667">
        <v>7</v>
      </c>
      <c r="P667">
        <v>410.28</v>
      </c>
      <c r="Q667">
        <v>2871.96</v>
      </c>
    </row>
    <row r="668" spans="1:17">
      <c r="A668" s="19">
        <v>45220</v>
      </c>
      <c r="B668" t="s">
        <v>1231</v>
      </c>
      <c r="C668" t="s">
        <v>1235</v>
      </c>
      <c r="D668" t="s">
        <v>1236</v>
      </c>
      <c r="E668" t="s">
        <v>1249</v>
      </c>
      <c r="F668" s="10">
        <v>13</v>
      </c>
      <c r="G668" s="10">
        <v>1976.63</v>
      </c>
      <c r="H668" s="10">
        <v>25696.19</v>
      </c>
      <c r="J668">
        <v>45018</v>
      </c>
      <c r="K668" t="str">
        <v>South</v>
      </c>
      <c r="L668" t="str">
        <v>Karnataka</v>
      </c>
      <c r="M668" t="str">
        <v>Mysuru</v>
      </c>
      <c r="N668" t="str">
        <v>Stationery</v>
      </c>
      <c r="O668">
        <v>5</v>
      </c>
      <c r="P668">
        <v>491.78</v>
      </c>
      <c r="Q668">
        <v>2458.9</v>
      </c>
    </row>
    <row r="669" spans="1:17">
      <c r="A669" s="19">
        <v>45241</v>
      </c>
      <c r="B669" t="s">
        <v>1231</v>
      </c>
      <c r="C669" t="s">
        <v>1235</v>
      </c>
      <c r="D669" t="s">
        <v>1241</v>
      </c>
      <c r="E669" t="s">
        <v>1249</v>
      </c>
      <c r="F669" s="10">
        <v>10</v>
      </c>
      <c r="G669" s="10">
        <v>2539.6799999999998</v>
      </c>
      <c r="H669" s="10">
        <v>25396.799999999999</v>
      </c>
      <c r="J669">
        <v>45128</v>
      </c>
      <c r="K669" t="str">
        <v>West</v>
      </c>
      <c r="L669" t="str">
        <v>Maharashtra</v>
      </c>
      <c r="M669" t="str">
        <v>Nagpur</v>
      </c>
      <c r="N669" t="str">
        <v>Clothing</v>
      </c>
      <c r="O669">
        <v>16</v>
      </c>
      <c r="P669">
        <v>4780.7700000000004</v>
      </c>
      <c r="Q669">
        <v>76492.320000000007</v>
      </c>
    </row>
    <row r="670" spans="1:17">
      <c r="A670" s="19">
        <v>44978</v>
      </c>
      <c r="B670" t="s">
        <v>1242</v>
      </c>
      <c r="C670" t="s">
        <v>1243</v>
      </c>
      <c r="D670" t="s">
        <v>1245</v>
      </c>
      <c r="E670" t="s">
        <v>1249</v>
      </c>
      <c r="F670" s="10">
        <v>6</v>
      </c>
      <c r="G670" s="10">
        <v>4219.6099999999997</v>
      </c>
      <c r="H670" s="10">
        <v>25317.66</v>
      </c>
      <c r="J670">
        <v>45235</v>
      </c>
      <c r="K670" t="str">
        <v>West</v>
      </c>
      <c r="L670" t="str">
        <v>Maharashtra</v>
      </c>
      <c r="M670" t="str">
        <v>Nagpur</v>
      </c>
      <c r="N670" t="str">
        <v>Clothing</v>
      </c>
      <c r="O670">
        <v>17</v>
      </c>
      <c r="P670">
        <v>4082.38</v>
      </c>
      <c r="Q670">
        <v>69400.460000000006</v>
      </c>
    </row>
    <row r="671" spans="1:17">
      <c r="A671" s="19">
        <v>45131</v>
      </c>
      <c r="B671" t="s">
        <v>1229</v>
      </c>
      <c r="C671" t="s">
        <v>1237</v>
      </c>
      <c r="D671" t="s">
        <v>1173</v>
      </c>
      <c r="E671" t="s">
        <v>1249</v>
      </c>
      <c r="F671" s="10">
        <v>16</v>
      </c>
      <c r="G671" s="10">
        <v>1575.89</v>
      </c>
      <c r="H671" s="10">
        <v>25214.240000000002</v>
      </c>
      <c r="J671">
        <v>45080</v>
      </c>
      <c r="K671" t="str">
        <v>West</v>
      </c>
      <c r="L671" t="str">
        <v>Maharashtra</v>
      </c>
      <c r="M671" t="str">
        <v>Nagpur</v>
      </c>
      <c r="N671" t="str">
        <v>Clothing</v>
      </c>
      <c r="O671">
        <v>16</v>
      </c>
      <c r="P671">
        <v>3599.32</v>
      </c>
      <c r="Q671">
        <v>57589.120000000003</v>
      </c>
    </row>
    <row r="672" spans="1:17">
      <c r="A672" s="19">
        <v>45027</v>
      </c>
      <c r="B672" t="s">
        <v>1229</v>
      </c>
      <c r="C672" t="s">
        <v>1230</v>
      </c>
      <c r="D672" t="s">
        <v>1246</v>
      </c>
      <c r="E672" t="s">
        <v>1249</v>
      </c>
      <c r="F672" s="10">
        <v>6</v>
      </c>
      <c r="G672" s="10">
        <v>4042.16</v>
      </c>
      <c r="H672" s="10">
        <v>24252.959999999999</v>
      </c>
      <c r="J672">
        <v>45283</v>
      </c>
      <c r="K672" t="str">
        <v>West</v>
      </c>
      <c r="L672" t="str">
        <v>Maharashtra</v>
      </c>
      <c r="M672" t="str">
        <v>Nagpur</v>
      </c>
      <c r="N672" t="str">
        <v>Clothing</v>
      </c>
      <c r="O672">
        <v>10</v>
      </c>
      <c r="P672">
        <v>3907.49</v>
      </c>
      <c r="Q672">
        <v>39074.9</v>
      </c>
    </row>
    <row r="673" spans="1:17">
      <c r="A673" s="19">
        <v>44976</v>
      </c>
      <c r="B673" t="s">
        <v>1229</v>
      </c>
      <c r="C673" t="s">
        <v>1230</v>
      </c>
      <c r="D673" t="s">
        <v>1248</v>
      </c>
      <c r="E673" t="s">
        <v>1249</v>
      </c>
      <c r="F673" s="10">
        <v>16</v>
      </c>
      <c r="G673" s="10">
        <v>1514.31</v>
      </c>
      <c r="H673" s="10">
        <v>24228.959999999999</v>
      </c>
      <c r="J673">
        <v>45069</v>
      </c>
      <c r="K673" t="str">
        <v>West</v>
      </c>
      <c r="L673" t="str">
        <v>Maharashtra</v>
      </c>
      <c r="M673" t="str">
        <v>Nagpur</v>
      </c>
      <c r="N673" t="str">
        <v>Clothing</v>
      </c>
      <c r="O673">
        <v>14</v>
      </c>
      <c r="P673">
        <v>2785.95</v>
      </c>
      <c r="Q673">
        <v>39003.300000000003</v>
      </c>
    </row>
    <row r="674" spans="1:17">
      <c r="A674" s="19">
        <v>45180</v>
      </c>
      <c r="B674" t="s">
        <v>1229</v>
      </c>
      <c r="C674" t="s">
        <v>1237</v>
      </c>
      <c r="D674" t="s">
        <v>1173</v>
      </c>
      <c r="E674" t="s">
        <v>1249</v>
      </c>
      <c r="F674" s="10">
        <v>9</v>
      </c>
      <c r="G674" s="10">
        <v>2660.79</v>
      </c>
      <c r="H674" s="10">
        <v>23947.11</v>
      </c>
      <c r="J674">
        <v>45209</v>
      </c>
      <c r="K674" t="str">
        <v>West</v>
      </c>
      <c r="L674" t="str">
        <v>Maharashtra</v>
      </c>
      <c r="M674" t="str">
        <v>Nagpur</v>
      </c>
      <c r="N674" t="str">
        <v>Clothing</v>
      </c>
      <c r="O674">
        <v>15</v>
      </c>
      <c r="P674">
        <v>2148.0100000000002</v>
      </c>
      <c r="Q674">
        <v>32220.15</v>
      </c>
    </row>
    <row r="675" spans="1:17">
      <c r="A675" s="19">
        <v>44993</v>
      </c>
      <c r="B675" t="s">
        <v>1229</v>
      </c>
      <c r="C675" t="s">
        <v>1237</v>
      </c>
      <c r="D675" t="s">
        <v>1239</v>
      </c>
      <c r="E675" t="s">
        <v>1249</v>
      </c>
      <c r="F675" s="10">
        <v>14</v>
      </c>
      <c r="G675" s="10">
        <v>1694.59</v>
      </c>
      <c r="H675" s="10">
        <v>23724.26</v>
      </c>
      <c r="J675">
        <v>45253</v>
      </c>
      <c r="K675" t="str">
        <v>West</v>
      </c>
      <c r="L675" t="str">
        <v>Maharashtra</v>
      </c>
      <c r="M675" t="str">
        <v>Nagpur</v>
      </c>
      <c r="N675" t="str">
        <v>Clothing</v>
      </c>
      <c r="O675">
        <v>6</v>
      </c>
      <c r="P675">
        <v>4908.9799999999996</v>
      </c>
      <c r="Q675">
        <v>29453.88</v>
      </c>
    </row>
    <row r="676" spans="1:17">
      <c r="A676" s="19">
        <v>44987</v>
      </c>
      <c r="B676" t="s">
        <v>1229</v>
      </c>
      <c r="C676" t="s">
        <v>1237</v>
      </c>
      <c r="D676" t="s">
        <v>1239</v>
      </c>
      <c r="E676" t="s">
        <v>1249</v>
      </c>
      <c r="F676" s="10">
        <v>18</v>
      </c>
      <c r="G676" s="10">
        <v>1306.19</v>
      </c>
      <c r="H676" s="10">
        <v>23511.42</v>
      </c>
      <c r="J676">
        <v>45180</v>
      </c>
      <c r="K676" t="str">
        <v>West</v>
      </c>
      <c r="L676" t="str">
        <v>Maharashtra</v>
      </c>
      <c r="M676" t="str">
        <v>Nagpur</v>
      </c>
      <c r="N676" t="str">
        <v>Clothing</v>
      </c>
      <c r="O676">
        <v>10</v>
      </c>
      <c r="P676">
        <v>2853.88</v>
      </c>
      <c r="Q676">
        <v>28538.799999999999</v>
      </c>
    </row>
    <row r="677" spans="1:17">
      <c r="A677" s="19">
        <v>45187</v>
      </c>
      <c r="B677" t="s">
        <v>1231</v>
      </c>
      <c r="C677" t="s">
        <v>1232</v>
      </c>
      <c r="D677" t="s">
        <v>1240</v>
      </c>
      <c r="E677" t="s">
        <v>1249</v>
      </c>
      <c r="F677" s="10">
        <v>12</v>
      </c>
      <c r="G677" s="10">
        <v>1947.14</v>
      </c>
      <c r="H677" s="10">
        <v>23365.68</v>
      </c>
      <c r="J677">
        <v>44977</v>
      </c>
      <c r="K677" t="str">
        <v>West</v>
      </c>
      <c r="L677" t="str">
        <v>Maharashtra</v>
      </c>
      <c r="M677" t="str">
        <v>Nagpur</v>
      </c>
      <c r="N677" t="str">
        <v>Clothing</v>
      </c>
      <c r="O677">
        <v>7</v>
      </c>
      <c r="P677">
        <v>4046.34</v>
      </c>
      <c r="Q677">
        <v>28324.38</v>
      </c>
    </row>
    <row r="678" spans="1:17">
      <c r="A678" s="19">
        <v>45032</v>
      </c>
      <c r="B678" t="s">
        <v>1229</v>
      </c>
      <c r="C678" t="s">
        <v>1230</v>
      </c>
      <c r="D678" t="s">
        <v>1246</v>
      </c>
      <c r="E678" t="s">
        <v>1249</v>
      </c>
      <c r="F678" s="10">
        <v>17</v>
      </c>
      <c r="G678" s="10">
        <v>1340.98</v>
      </c>
      <c r="H678" s="10">
        <v>22796.66</v>
      </c>
      <c r="J678">
        <v>45182</v>
      </c>
      <c r="K678" t="str">
        <v>West</v>
      </c>
      <c r="L678" t="str">
        <v>Maharashtra</v>
      </c>
      <c r="M678" t="str">
        <v>Nagpur</v>
      </c>
      <c r="N678" t="str">
        <v>Clothing</v>
      </c>
      <c r="O678">
        <v>6</v>
      </c>
      <c r="P678">
        <v>3279.45</v>
      </c>
      <c r="Q678">
        <v>19676.7</v>
      </c>
    </row>
    <row r="679" spans="1:17">
      <c r="A679" s="19">
        <v>44987</v>
      </c>
      <c r="B679" t="s">
        <v>1229</v>
      </c>
      <c r="C679" t="s">
        <v>1230</v>
      </c>
      <c r="D679" t="s">
        <v>1248</v>
      </c>
      <c r="E679" t="s">
        <v>1249</v>
      </c>
      <c r="F679" s="10">
        <v>19</v>
      </c>
      <c r="G679" s="10">
        <v>1199.24</v>
      </c>
      <c r="H679" s="10">
        <v>22785.56</v>
      </c>
      <c r="J679">
        <v>44996</v>
      </c>
      <c r="K679" t="str">
        <v>West</v>
      </c>
      <c r="L679" t="str">
        <v>Maharashtra</v>
      </c>
      <c r="M679" t="str">
        <v>Nagpur</v>
      </c>
      <c r="N679" t="str">
        <v>Clothing</v>
      </c>
      <c r="O679">
        <v>5</v>
      </c>
      <c r="P679">
        <v>3732.82</v>
      </c>
      <c r="Q679">
        <v>18664.099999999999</v>
      </c>
    </row>
    <row r="680" spans="1:17">
      <c r="A680" s="19">
        <v>45195</v>
      </c>
      <c r="B680" t="s">
        <v>1231</v>
      </c>
      <c r="C680" t="s">
        <v>1232</v>
      </c>
      <c r="D680" t="s">
        <v>1233</v>
      </c>
      <c r="E680" t="s">
        <v>1249</v>
      </c>
      <c r="F680" s="10">
        <v>5</v>
      </c>
      <c r="G680" s="10">
        <v>4499.88</v>
      </c>
      <c r="H680" s="10">
        <v>22499.4</v>
      </c>
      <c r="J680">
        <v>45179</v>
      </c>
      <c r="K680" t="str">
        <v>West</v>
      </c>
      <c r="L680" t="str">
        <v>Maharashtra</v>
      </c>
      <c r="M680" t="str">
        <v>Nagpur</v>
      </c>
      <c r="N680" t="str">
        <v>Clothing</v>
      </c>
      <c r="O680">
        <v>7</v>
      </c>
      <c r="P680">
        <v>2384.5100000000002</v>
      </c>
      <c r="Q680">
        <v>16691.57</v>
      </c>
    </row>
    <row r="681" spans="1:17">
      <c r="A681" s="19">
        <v>45161</v>
      </c>
      <c r="B681" t="s">
        <v>1229</v>
      </c>
      <c r="C681" t="s">
        <v>1237</v>
      </c>
      <c r="D681" t="s">
        <v>1171</v>
      </c>
      <c r="E681" t="s">
        <v>1249</v>
      </c>
      <c r="F681" s="10">
        <v>20</v>
      </c>
      <c r="G681" s="10">
        <v>1100.3800000000001</v>
      </c>
      <c r="H681" s="10">
        <v>22007.599999999999</v>
      </c>
      <c r="J681">
        <v>45265</v>
      </c>
      <c r="K681" t="str">
        <v>West</v>
      </c>
      <c r="L681" t="str">
        <v>Maharashtra</v>
      </c>
      <c r="M681" t="str">
        <v>Nagpur</v>
      </c>
      <c r="N681" t="str">
        <v>Clothing</v>
      </c>
      <c r="O681">
        <v>4</v>
      </c>
      <c r="P681">
        <v>4020.65</v>
      </c>
      <c r="Q681">
        <v>16082.6</v>
      </c>
    </row>
    <row r="682" spans="1:17">
      <c r="A682" s="19">
        <v>45253</v>
      </c>
      <c r="B682" t="s">
        <v>1231</v>
      </c>
      <c r="C682" t="s">
        <v>1235</v>
      </c>
      <c r="D682" t="s">
        <v>1238</v>
      </c>
      <c r="E682" t="s">
        <v>1249</v>
      </c>
      <c r="F682" s="10">
        <v>12</v>
      </c>
      <c r="G682" s="10">
        <v>1748.6</v>
      </c>
      <c r="H682" s="10">
        <v>20983.200000000001</v>
      </c>
      <c r="J682">
        <v>45251</v>
      </c>
      <c r="K682" t="str">
        <v>West</v>
      </c>
      <c r="L682" t="str">
        <v>Maharashtra</v>
      </c>
      <c r="M682" t="str">
        <v>Nagpur</v>
      </c>
      <c r="N682" t="str">
        <v>Clothing</v>
      </c>
      <c r="O682">
        <v>13</v>
      </c>
      <c r="P682">
        <v>1198.5</v>
      </c>
      <c r="Q682">
        <v>15580.5</v>
      </c>
    </row>
    <row r="683" spans="1:17">
      <c r="A683" s="19">
        <v>45019</v>
      </c>
      <c r="B683" t="s">
        <v>1231</v>
      </c>
      <c r="C683" t="s">
        <v>1235</v>
      </c>
      <c r="D683" t="s">
        <v>1238</v>
      </c>
      <c r="E683" t="s">
        <v>1249</v>
      </c>
      <c r="F683" s="10">
        <v>6</v>
      </c>
      <c r="G683" s="10">
        <v>3466.7</v>
      </c>
      <c r="H683" s="10">
        <v>20800.2</v>
      </c>
      <c r="J683">
        <v>45192</v>
      </c>
      <c r="K683" t="str">
        <v>West</v>
      </c>
      <c r="L683" t="str">
        <v>Maharashtra</v>
      </c>
      <c r="M683" t="str">
        <v>Nagpur</v>
      </c>
      <c r="N683" t="str">
        <v>Clothing</v>
      </c>
      <c r="O683">
        <v>7</v>
      </c>
      <c r="P683">
        <v>1801.74</v>
      </c>
      <c r="Q683">
        <v>12612.18</v>
      </c>
    </row>
    <row r="684" spans="1:17">
      <c r="A684" s="19">
        <v>45021</v>
      </c>
      <c r="B684" t="s">
        <v>1231</v>
      </c>
      <c r="C684" t="s">
        <v>1235</v>
      </c>
      <c r="D684" t="s">
        <v>1238</v>
      </c>
      <c r="E684" t="s">
        <v>1249</v>
      </c>
      <c r="F684" s="10">
        <v>6</v>
      </c>
      <c r="G684" s="10">
        <v>3457.43</v>
      </c>
      <c r="H684" s="10">
        <v>20744.580000000002</v>
      </c>
      <c r="J684">
        <v>45001</v>
      </c>
      <c r="K684" t="str">
        <v>West</v>
      </c>
      <c r="L684" t="str">
        <v>Maharashtra</v>
      </c>
      <c r="M684" t="str">
        <v>Nagpur</v>
      </c>
      <c r="N684" t="str">
        <v>Clothing</v>
      </c>
      <c r="O684">
        <v>4</v>
      </c>
      <c r="P684">
        <v>1256.3399999999999</v>
      </c>
      <c r="Q684">
        <v>5025.3599999999997</v>
      </c>
    </row>
    <row r="685" spans="1:17">
      <c r="A685" s="19">
        <v>45158</v>
      </c>
      <c r="B685" t="s">
        <v>1229</v>
      </c>
      <c r="C685" t="s">
        <v>1230</v>
      </c>
      <c r="D685" t="s">
        <v>1169</v>
      </c>
      <c r="E685" t="s">
        <v>1249</v>
      </c>
      <c r="F685" s="10">
        <v>17</v>
      </c>
      <c r="G685" s="10">
        <v>1217.48</v>
      </c>
      <c r="H685" s="10">
        <v>20697.16</v>
      </c>
      <c r="J685">
        <v>45083</v>
      </c>
      <c r="K685" t="str">
        <v>West</v>
      </c>
      <c r="L685" t="str">
        <v>Maharashtra</v>
      </c>
      <c r="M685" t="str">
        <v>Nagpur</v>
      </c>
      <c r="N685" t="str">
        <v>Clothing</v>
      </c>
      <c r="O685">
        <v>1</v>
      </c>
      <c r="P685">
        <v>4681.07</v>
      </c>
      <c r="Q685">
        <v>4681.07</v>
      </c>
    </row>
    <row r="686" spans="1:17">
      <c r="A686" s="19">
        <v>44980</v>
      </c>
      <c r="B686" t="s">
        <v>1229</v>
      </c>
      <c r="C686" t="s">
        <v>1230</v>
      </c>
      <c r="D686" t="s">
        <v>1169</v>
      </c>
      <c r="E686" t="s">
        <v>1249</v>
      </c>
      <c r="F686" s="10">
        <v>19</v>
      </c>
      <c r="G686" s="10">
        <v>1067.6199999999999</v>
      </c>
      <c r="H686" s="10">
        <v>20284.78</v>
      </c>
      <c r="J686">
        <v>44964</v>
      </c>
      <c r="K686" t="str">
        <v>West</v>
      </c>
      <c r="L686" t="str">
        <v>Maharashtra</v>
      </c>
      <c r="M686" t="str">
        <v>Nagpur</v>
      </c>
      <c r="N686" t="str">
        <v>Clothing</v>
      </c>
      <c r="O686">
        <v>11</v>
      </c>
      <c r="P686">
        <v>335.31</v>
      </c>
      <c r="Q686">
        <v>3688.41</v>
      </c>
    </row>
    <row r="687" spans="1:17">
      <c r="A687" s="19">
        <v>45092</v>
      </c>
      <c r="B687" t="s">
        <v>1229</v>
      </c>
      <c r="C687" t="s">
        <v>1230</v>
      </c>
      <c r="D687" t="s">
        <v>1246</v>
      </c>
      <c r="E687" t="s">
        <v>1249</v>
      </c>
      <c r="F687" s="10">
        <v>10</v>
      </c>
      <c r="G687" s="10">
        <v>1979.32</v>
      </c>
      <c r="H687" s="10">
        <v>19793.2</v>
      </c>
      <c r="J687">
        <v>45136</v>
      </c>
      <c r="K687" t="str">
        <v>West</v>
      </c>
      <c r="L687" t="str">
        <v>Maharashtra</v>
      </c>
      <c r="M687" t="str">
        <v>Nagpur</v>
      </c>
      <c r="N687" t="str">
        <v>Clothing</v>
      </c>
      <c r="O687">
        <v>12</v>
      </c>
      <c r="P687">
        <v>283.86</v>
      </c>
      <c r="Q687">
        <v>3406.32</v>
      </c>
    </row>
    <row r="688" spans="1:17">
      <c r="A688" s="19">
        <v>44978</v>
      </c>
      <c r="B688" t="s">
        <v>1231</v>
      </c>
      <c r="C688" t="s">
        <v>1232</v>
      </c>
      <c r="D688" t="s">
        <v>1234</v>
      </c>
      <c r="E688" t="s">
        <v>1249</v>
      </c>
      <c r="F688" s="10">
        <v>4</v>
      </c>
      <c r="G688" s="10">
        <v>4878.16</v>
      </c>
      <c r="H688" s="10">
        <v>19512.64</v>
      </c>
      <c r="J688">
        <v>45194</v>
      </c>
      <c r="K688" t="str">
        <v>West</v>
      </c>
      <c r="L688" t="str">
        <v>Maharashtra</v>
      </c>
      <c r="M688" t="str">
        <v>Nagpur</v>
      </c>
      <c r="N688" t="str">
        <v>Clothing</v>
      </c>
      <c r="O688">
        <v>7</v>
      </c>
      <c r="P688">
        <v>392.9</v>
      </c>
      <c r="Q688">
        <v>2750.3</v>
      </c>
    </row>
    <row r="689" spans="1:17">
      <c r="A689" s="19">
        <v>45049</v>
      </c>
      <c r="B689" t="s">
        <v>1231</v>
      </c>
      <c r="C689" t="s">
        <v>1235</v>
      </c>
      <c r="D689" t="s">
        <v>1238</v>
      </c>
      <c r="E689" t="s">
        <v>1249</v>
      </c>
      <c r="F689" s="10">
        <v>5</v>
      </c>
      <c r="G689" s="10">
        <v>3898.88</v>
      </c>
      <c r="H689" s="10">
        <v>19494.400000000001</v>
      </c>
      <c r="J689">
        <v>45180</v>
      </c>
      <c r="K689" t="str">
        <v>West</v>
      </c>
      <c r="L689" t="str">
        <v>Maharashtra</v>
      </c>
      <c r="M689" t="str">
        <v>Nagpur</v>
      </c>
      <c r="N689" t="str">
        <v>Clothing</v>
      </c>
      <c r="O689">
        <v>3</v>
      </c>
      <c r="P689">
        <v>116.58</v>
      </c>
      <c r="Q689">
        <v>349.74</v>
      </c>
    </row>
    <row r="690" spans="1:17">
      <c r="A690" s="19">
        <v>44932</v>
      </c>
      <c r="B690" t="s">
        <v>1231</v>
      </c>
      <c r="C690" t="s">
        <v>1235</v>
      </c>
      <c r="D690" t="s">
        <v>1236</v>
      </c>
      <c r="E690" t="s">
        <v>1249</v>
      </c>
      <c r="F690" s="10">
        <v>18</v>
      </c>
      <c r="G690" s="10">
        <v>1073</v>
      </c>
      <c r="H690" s="10">
        <v>19314</v>
      </c>
      <c r="J690">
        <v>45040</v>
      </c>
      <c r="K690" t="str">
        <v>West</v>
      </c>
      <c r="L690" t="str">
        <v>Maharashtra</v>
      </c>
      <c r="M690" t="str">
        <v>Nagpur</v>
      </c>
      <c r="N690" t="str">
        <v>Electronics</v>
      </c>
      <c r="O690">
        <v>19</v>
      </c>
      <c r="P690">
        <v>4943.6899999999996</v>
      </c>
      <c r="Q690">
        <v>93930.11</v>
      </c>
    </row>
    <row r="691" spans="1:17">
      <c r="A691" s="19">
        <v>44965</v>
      </c>
      <c r="B691" t="s">
        <v>1231</v>
      </c>
      <c r="C691" t="s">
        <v>1232</v>
      </c>
      <c r="D691" t="s">
        <v>1233</v>
      </c>
      <c r="E691" t="s">
        <v>1249</v>
      </c>
      <c r="F691" s="10">
        <v>12</v>
      </c>
      <c r="G691" s="10">
        <v>1608.11</v>
      </c>
      <c r="H691" s="10">
        <v>19297.32</v>
      </c>
      <c r="J691">
        <v>45055</v>
      </c>
      <c r="K691" t="str">
        <v>West</v>
      </c>
      <c r="L691" t="str">
        <v>Maharashtra</v>
      </c>
      <c r="M691" t="str">
        <v>Nagpur</v>
      </c>
      <c r="N691" t="str">
        <v>Electronics</v>
      </c>
      <c r="O691">
        <v>19</v>
      </c>
      <c r="P691">
        <v>3374.33</v>
      </c>
      <c r="Q691">
        <v>64112.27</v>
      </c>
    </row>
    <row r="692" spans="1:17">
      <c r="A692" s="19">
        <v>45189</v>
      </c>
      <c r="B692" t="s">
        <v>1231</v>
      </c>
      <c r="C692" t="s">
        <v>1235</v>
      </c>
      <c r="D692" t="s">
        <v>1236</v>
      </c>
      <c r="E692" t="s">
        <v>1249</v>
      </c>
      <c r="F692" s="10">
        <v>15</v>
      </c>
      <c r="G692" s="10">
        <v>1259.1600000000001</v>
      </c>
      <c r="H692" s="10">
        <v>18887.400000000001</v>
      </c>
      <c r="J692">
        <v>45245</v>
      </c>
      <c r="K692" t="str">
        <v>West</v>
      </c>
      <c r="L692" t="str">
        <v>Maharashtra</v>
      </c>
      <c r="M692" t="str">
        <v>Nagpur</v>
      </c>
      <c r="N692" t="str">
        <v>Electronics</v>
      </c>
      <c r="O692">
        <v>12</v>
      </c>
      <c r="P692">
        <v>4713.26</v>
      </c>
      <c r="Q692">
        <v>56559.12</v>
      </c>
    </row>
    <row r="693" spans="1:17">
      <c r="A693" s="19">
        <v>44960</v>
      </c>
      <c r="B693" t="s">
        <v>1229</v>
      </c>
      <c r="C693" t="s">
        <v>1230</v>
      </c>
      <c r="D693" t="s">
        <v>1169</v>
      </c>
      <c r="E693" t="s">
        <v>1249</v>
      </c>
      <c r="F693" s="10">
        <v>5</v>
      </c>
      <c r="G693" s="10">
        <v>3770.46</v>
      </c>
      <c r="H693" s="10">
        <v>18852.3</v>
      </c>
      <c r="J693">
        <v>45289</v>
      </c>
      <c r="K693" t="str">
        <v>West</v>
      </c>
      <c r="L693" t="str">
        <v>Maharashtra</v>
      </c>
      <c r="M693" t="str">
        <v>Nagpur</v>
      </c>
      <c r="N693" t="str">
        <v>Electronics</v>
      </c>
      <c r="O693">
        <v>18</v>
      </c>
      <c r="P693">
        <v>2494.9499999999998</v>
      </c>
      <c r="Q693">
        <v>44909.1</v>
      </c>
    </row>
    <row r="694" spans="1:17">
      <c r="A694" s="19">
        <v>45111</v>
      </c>
      <c r="B694" t="s">
        <v>1231</v>
      </c>
      <c r="C694" t="s">
        <v>1235</v>
      </c>
      <c r="D694" t="s">
        <v>1241</v>
      </c>
      <c r="E694" t="s">
        <v>1249</v>
      </c>
      <c r="F694" s="10">
        <v>8</v>
      </c>
      <c r="G694" s="10">
        <v>2342.02</v>
      </c>
      <c r="H694" s="10">
        <v>18736.16</v>
      </c>
      <c r="J694">
        <v>45004</v>
      </c>
      <c r="K694" t="str">
        <v>West</v>
      </c>
      <c r="L694" t="str">
        <v>Maharashtra</v>
      </c>
      <c r="M694" t="str">
        <v>Nagpur</v>
      </c>
      <c r="N694" t="str">
        <v>Electronics</v>
      </c>
      <c r="O694">
        <v>9</v>
      </c>
      <c r="P694">
        <v>4953.3999999999996</v>
      </c>
      <c r="Q694">
        <v>44580.6</v>
      </c>
    </row>
    <row r="695" spans="1:17">
      <c r="A695" s="19">
        <v>44958</v>
      </c>
      <c r="B695" t="s">
        <v>1231</v>
      </c>
      <c r="C695" t="s">
        <v>1235</v>
      </c>
      <c r="D695" t="s">
        <v>1241</v>
      </c>
      <c r="E695" t="s">
        <v>1249</v>
      </c>
      <c r="F695" s="10">
        <v>6</v>
      </c>
      <c r="G695" s="10">
        <v>3116.12</v>
      </c>
      <c r="H695" s="10">
        <v>18696.72</v>
      </c>
      <c r="J695">
        <v>44988</v>
      </c>
      <c r="K695" t="str">
        <v>West</v>
      </c>
      <c r="L695" t="str">
        <v>Maharashtra</v>
      </c>
      <c r="M695" t="str">
        <v>Nagpur</v>
      </c>
      <c r="N695" t="str">
        <v>Electronics</v>
      </c>
      <c r="O695">
        <v>11</v>
      </c>
      <c r="P695">
        <v>3584.06</v>
      </c>
      <c r="Q695">
        <v>39424.660000000003</v>
      </c>
    </row>
    <row r="696" spans="1:17">
      <c r="A696" s="19">
        <v>45158</v>
      </c>
      <c r="B696" t="s">
        <v>1231</v>
      </c>
      <c r="C696" t="s">
        <v>1235</v>
      </c>
      <c r="D696" t="s">
        <v>1236</v>
      </c>
      <c r="E696" t="s">
        <v>1249</v>
      </c>
      <c r="F696" s="10">
        <v>7</v>
      </c>
      <c r="G696" s="10">
        <v>2560.5</v>
      </c>
      <c r="H696" s="10">
        <v>17923.5</v>
      </c>
      <c r="J696">
        <v>45113</v>
      </c>
      <c r="K696" t="str">
        <v>West</v>
      </c>
      <c r="L696" t="str">
        <v>Maharashtra</v>
      </c>
      <c r="M696" t="str">
        <v>Nagpur</v>
      </c>
      <c r="N696" t="str">
        <v>Electronics</v>
      </c>
      <c r="O696">
        <v>15</v>
      </c>
      <c r="P696">
        <v>2551.6</v>
      </c>
      <c r="Q696">
        <v>38274</v>
      </c>
    </row>
    <row r="697" spans="1:17">
      <c r="A697" s="19">
        <v>45205</v>
      </c>
      <c r="B697" t="s">
        <v>1229</v>
      </c>
      <c r="C697" t="s">
        <v>1230</v>
      </c>
      <c r="D697" t="s">
        <v>1246</v>
      </c>
      <c r="E697" t="s">
        <v>1249</v>
      </c>
      <c r="F697" s="10">
        <v>4</v>
      </c>
      <c r="G697" s="10">
        <v>4317.2</v>
      </c>
      <c r="H697" s="10">
        <v>17268.8</v>
      </c>
      <c r="J697">
        <v>45218</v>
      </c>
      <c r="K697" t="str">
        <v>West</v>
      </c>
      <c r="L697" t="str">
        <v>Maharashtra</v>
      </c>
      <c r="M697" t="str">
        <v>Nagpur</v>
      </c>
      <c r="N697" t="str">
        <v>Electronics</v>
      </c>
      <c r="O697">
        <v>8</v>
      </c>
      <c r="P697">
        <v>3615.06</v>
      </c>
      <c r="Q697">
        <v>28920.48</v>
      </c>
    </row>
    <row r="698" spans="1:17">
      <c r="A698" s="19">
        <v>45167</v>
      </c>
      <c r="B698" t="s">
        <v>1229</v>
      </c>
      <c r="C698" t="s">
        <v>1237</v>
      </c>
      <c r="D698" t="s">
        <v>1239</v>
      </c>
      <c r="E698" t="s">
        <v>1249</v>
      </c>
      <c r="F698" s="10">
        <v>5</v>
      </c>
      <c r="G698" s="10">
        <v>3342.48</v>
      </c>
      <c r="H698" s="10">
        <v>16712.400000000001</v>
      </c>
      <c r="J698">
        <v>45178</v>
      </c>
      <c r="K698" t="str">
        <v>West</v>
      </c>
      <c r="L698" t="str">
        <v>Maharashtra</v>
      </c>
      <c r="M698" t="str">
        <v>Nagpur</v>
      </c>
      <c r="N698" t="str">
        <v>Electronics</v>
      </c>
      <c r="O698">
        <v>15</v>
      </c>
      <c r="P698">
        <v>1790.03</v>
      </c>
      <c r="Q698">
        <v>26850.45</v>
      </c>
    </row>
    <row r="699" spans="1:17">
      <c r="A699" s="19">
        <v>45009</v>
      </c>
      <c r="B699" t="s">
        <v>1229</v>
      </c>
      <c r="C699" t="s">
        <v>1230</v>
      </c>
      <c r="D699" t="s">
        <v>1169</v>
      </c>
      <c r="E699" t="s">
        <v>1249</v>
      </c>
      <c r="F699" s="10">
        <v>11</v>
      </c>
      <c r="G699" s="10">
        <v>1435.18</v>
      </c>
      <c r="H699" s="10">
        <v>15786.98</v>
      </c>
      <c r="J699">
        <v>45256</v>
      </c>
      <c r="K699" t="str">
        <v>West</v>
      </c>
      <c r="L699" t="str">
        <v>Maharashtra</v>
      </c>
      <c r="M699" t="str">
        <v>Nagpur</v>
      </c>
      <c r="N699" t="str">
        <v>Electronics</v>
      </c>
      <c r="O699">
        <v>20</v>
      </c>
      <c r="P699">
        <v>1260.25</v>
      </c>
      <c r="Q699">
        <v>25205</v>
      </c>
    </row>
    <row r="700" spans="1:17">
      <c r="A700" s="19">
        <v>45203</v>
      </c>
      <c r="B700" t="s">
        <v>1242</v>
      </c>
      <c r="C700" t="s">
        <v>1243</v>
      </c>
      <c r="D700" t="s">
        <v>1244</v>
      </c>
      <c r="E700" t="s">
        <v>1249</v>
      </c>
      <c r="F700" s="10">
        <v>7</v>
      </c>
      <c r="G700" s="10">
        <v>2227.0700000000002</v>
      </c>
      <c r="H700" s="10">
        <v>15589.49</v>
      </c>
      <c r="J700">
        <v>44955</v>
      </c>
      <c r="K700" t="str">
        <v>West</v>
      </c>
      <c r="L700" t="str">
        <v>Maharashtra</v>
      </c>
      <c r="M700" t="str">
        <v>Nagpur</v>
      </c>
      <c r="N700" t="str">
        <v>Electronics</v>
      </c>
      <c r="O700">
        <v>17</v>
      </c>
      <c r="P700">
        <v>1457.07</v>
      </c>
      <c r="Q700">
        <v>24770.19</v>
      </c>
    </row>
    <row r="701" spans="1:17">
      <c r="A701" s="19">
        <v>45146</v>
      </c>
      <c r="B701" t="s">
        <v>1229</v>
      </c>
      <c r="C701" t="s">
        <v>1230</v>
      </c>
      <c r="D701" t="s">
        <v>1246</v>
      </c>
      <c r="E701" t="s">
        <v>1249</v>
      </c>
      <c r="F701" s="10">
        <v>8</v>
      </c>
      <c r="G701" s="10">
        <v>1927.88</v>
      </c>
      <c r="H701" s="10">
        <v>15423.04</v>
      </c>
      <c r="J701">
        <v>45134</v>
      </c>
      <c r="K701" t="str">
        <v>West</v>
      </c>
      <c r="L701" t="str">
        <v>Maharashtra</v>
      </c>
      <c r="M701" t="str">
        <v>Nagpur</v>
      </c>
      <c r="N701" t="str">
        <v>Electronics</v>
      </c>
      <c r="O701">
        <v>12</v>
      </c>
      <c r="P701">
        <v>1333.81</v>
      </c>
      <c r="Q701">
        <v>16005.72</v>
      </c>
    </row>
    <row r="702" spans="1:17">
      <c r="A702" s="19">
        <v>45279</v>
      </c>
      <c r="B702" t="s">
        <v>1231</v>
      </c>
      <c r="C702" t="s">
        <v>1232</v>
      </c>
      <c r="D702" t="s">
        <v>1240</v>
      </c>
      <c r="E702" t="s">
        <v>1249</v>
      </c>
      <c r="F702" s="10">
        <v>11</v>
      </c>
      <c r="G702" s="10">
        <v>1389.59</v>
      </c>
      <c r="H702" s="10">
        <v>15285.49</v>
      </c>
      <c r="J702">
        <v>45134</v>
      </c>
      <c r="K702" t="str">
        <v>West</v>
      </c>
      <c r="L702" t="str">
        <v>Maharashtra</v>
      </c>
      <c r="M702" t="str">
        <v>Nagpur</v>
      </c>
      <c r="N702" t="str">
        <v>Electronics</v>
      </c>
      <c r="O702">
        <v>9</v>
      </c>
      <c r="P702">
        <v>1280.74</v>
      </c>
      <c r="Q702">
        <v>11526.66</v>
      </c>
    </row>
    <row r="703" spans="1:17">
      <c r="A703" s="19">
        <v>45220</v>
      </c>
      <c r="B703" t="s">
        <v>1231</v>
      </c>
      <c r="C703" t="s">
        <v>1235</v>
      </c>
      <c r="D703" t="s">
        <v>1241</v>
      </c>
      <c r="E703" t="s">
        <v>1249</v>
      </c>
      <c r="F703" s="10">
        <v>7</v>
      </c>
      <c r="G703" s="10">
        <v>2048.48</v>
      </c>
      <c r="H703" s="10">
        <v>14339.36</v>
      </c>
      <c r="J703">
        <v>45028</v>
      </c>
      <c r="K703" t="str">
        <v>West</v>
      </c>
      <c r="L703" t="str">
        <v>Maharashtra</v>
      </c>
      <c r="M703" t="str">
        <v>Nagpur</v>
      </c>
      <c r="N703" t="str">
        <v>Electronics</v>
      </c>
      <c r="O703">
        <v>7</v>
      </c>
      <c r="P703">
        <v>1576.4</v>
      </c>
      <c r="Q703">
        <v>11034.8</v>
      </c>
    </row>
    <row r="704" spans="1:17">
      <c r="A704" s="19">
        <v>45183</v>
      </c>
      <c r="B704" t="s">
        <v>1229</v>
      </c>
      <c r="C704" t="s">
        <v>1230</v>
      </c>
      <c r="D704" t="s">
        <v>1248</v>
      </c>
      <c r="E704" t="s">
        <v>1249</v>
      </c>
      <c r="F704" s="10">
        <v>4</v>
      </c>
      <c r="G704" s="10">
        <v>3377.27</v>
      </c>
      <c r="H704" s="10">
        <v>13509.08</v>
      </c>
      <c r="J704">
        <v>45174</v>
      </c>
      <c r="K704" t="str">
        <v>West</v>
      </c>
      <c r="L704" t="str">
        <v>Maharashtra</v>
      </c>
      <c r="M704" t="str">
        <v>Nagpur</v>
      </c>
      <c r="N704" t="str">
        <v>Furniture</v>
      </c>
      <c r="O704">
        <v>20</v>
      </c>
      <c r="P704">
        <v>3474.05</v>
      </c>
      <c r="Q704">
        <v>69481</v>
      </c>
    </row>
    <row r="705" spans="1:17">
      <c r="A705" s="19">
        <v>44965</v>
      </c>
      <c r="B705" t="s">
        <v>1231</v>
      </c>
      <c r="C705" t="s">
        <v>1235</v>
      </c>
      <c r="D705" t="s">
        <v>1238</v>
      </c>
      <c r="E705" t="s">
        <v>1249</v>
      </c>
      <c r="F705" s="10">
        <v>13</v>
      </c>
      <c r="G705" s="10">
        <v>1030.9000000000001</v>
      </c>
      <c r="H705" s="10">
        <v>13401.7</v>
      </c>
      <c r="J705">
        <v>45200</v>
      </c>
      <c r="K705" t="str">
        <v>West</v>
      </c>
      <c r="L705" t="str">
        <v>Maharashtra</v>
      </c>
      <c r="M705" t="str">
        <v>Nagpur</v>
      </c>
      <c r="N705" t="str">
        <v>Furniture</v>
      </c>
      <c r="O705">
        <v>16</v>
      </c>
      <c r="P705">
        <v>3988.32</v>
      </c>
      <c r="Q705">
        <v>63813.120000000003</v>
      </c>
    </row>
    <row r="706" spans="1:17">
      <c r="A706" s="19">
        <v>45181</v>
      </c>
      <c r="B706" t="s">
        <v>1231</v>
      </c>
      <c r="C706" t="s">
        <v>1235</v>
      </c>
      <c r="D706" t="s">
        <v>1241</v>
      </c>
      <c r="E706" t="s">
        <v>1249</v>
      </c>
      <c r="F706" s="10">
        <v>6</v>
      </c>
      <c r="G706" s="10">
        <v>2207.64</v>
      </c>
      <c r="H706" s="10">
        <v>13245.84</v>
      </c>
      <c r="J706">
        <v>45154</v>
      </c>
      <c r="K706" t="str">
        <v>West</v>
      </c>
      <c r="L706" t="str">
        <v>Maharashtra</v>
      </c>
      <c r="M706" t="str">
        <v>Nagpur</v>
      </c>
      <c r="N706" t="str">
        <v>Furniture</v>
      </c>
      <c r="O706">
        <v>11</v>
      </c>
      <c r="P706">
        <v>3646.35</v>
      </c>
      <c r="Q706">
        <v>40109.85</v>
      </c>
    </row>
    <row r="707" spans="1:17">
      <c r="A707" s="19">
        <v>44996</v>
      </c>
      <c r="B707" t="s">
        <v>1229</v>
      </c>
      <c r="C707" t="s">
        <v>1237</v>
      </c>
      <c r="D707" t="s">
        <v>1173</v>
      </c>
      <c r="E707" t="s">
        <v>1249</v>
      </c>
      <c r="F707" s="10">
        <v>5</v>
      </c>
      <c r="G707" s="10">
        <v>2583.81</v>
      </c>
      <c r="H707" s="10">
        <v>12919.05</v>
      </c>
      <c r="J707">
        <v>45030</v>
      </c>
      <c r="K707" t="str">
        <v>West</v>
      </c>
      <c r="L707" t="str">
        <v>Maharashtra</v>
      </c>
      <c r="M707" t="str">
        <v>Nagpur</v>
      </c>
      <c r="N707" t="str">
        <v>Furniture</v>
      </c>
      <c r="O707">
        <v>10</v>
      </c>
      <c r="P707">
        <v>3882.87</v>
      </c>
      <c r="Q707">
        <v>38828.699999999997</v>
      </c>
    </row>
    <row r="708" spans="1:17">
      <c r="A708" s="19">
        <v>45257</v>
      </c>
      <c r="B708" t="s">
        <v>1231</v>
      </c>
      <c r="C708" t="s">
        <v>1235</v>
      </c>
      <c r="D708" t="s">
        <v>1241</v>
      </c>
      <c r="E708" t="s">
        <v>1249</v>
      </c>
      <c r="F708" s="10">
        <v>16</v>
      </c>
      <c r="G708" s="10">
        <v>795.17</v>
      </c>
      <c r="H708" s="10">
        <v>12722.72</v>
      </c>
      <c r="J708">
        <v>45215</v>
      </c>
      <c r="K708" t="str">
        <v>West</v>
      </c>
      <c r="L708" t="str">
        <v>Maharashtra</v>
      </c>
      <c r="M708" t="str">
        <v>Nagpur</v>
      </c>
      <c r="N708" t="str">
        <v>Furniture</v>
      </c>
      <c r="O708">
        <v>9</v>
      </c>
      <c r="P708">
        <v>3678.86</v>
      </c>
      <c r="Q708">
        <v>33109.74</v>
      </c>
    </row>
    <row r="709" spans="1:17">
      <c r="A709" s="19">
        <v>45089</v>
      </c>
      <c r="B709" t="s">
        <v>1242</v>
      </c>
      <c r="C709" t="s">
        <v>1243</v>
      </c>
      <c r="D709" t="s">
        <v>1244</v>
      </c>
      <c r="E709" t="s">
        <v>1249</v>
      </c>
      <c r="F709" s="10">
        <v>3</v>
      </c>
      <c r="G709" s="10">
        <v>4171.91</v>
      </c>
      <c r="H709" s="10">
        <v>12515.73</v>
      </c>
      <c r="J709">
        <v>45071</v>
      </c>
      <c r="K709" t="str">
        <v>West</v>
      </c>
      <c r="L709" t="str">
        <v>Maharashtra</v>
      </c>
      <c r="M709" t="str">
        <v>Nagpur</v>
      </c>
      <c r="N709" t="str">
        <v>Furniture</v>
      </c>
      <c r="O709">
        <v>7</v>
      </c>
      <c r="P709">
        <v>4238.07</v>
      </c>
      <c r="Q709">
        <v>29666.49</v>
      </c>
    </row>
    <row r="710" spans="1:17">
      <c r="A710" s="19">
        <v>45018</v>
      </c>
      <c r="B710" t="s">
        <v>1242</v>
      </c>
      <c r="C710" t="s">
        <v>1243</v>
      </c>
      <c r="D710" t="s">
        <v>1244</v>
      </c>
      <c r="E710" t="s">
        <v>1249</v>
      </c>
      <c r="F710" s="10">
        <v>20</v>
      </c>
      <c r="G710" s="10">
        <v>605.86</v>
      </c>
      <c r="H710" s="10">
        <v>12117.2</v>
      </c>
      <c r="J710">
        <v>45160</v>
      </c>
      <c r="K710" t="str">
        <v>West</v>
      </c>
      <c r="L710" t="str">
        <v>Maharashtra</v>
      </c>
      <c r="M710" t="str">
        <v>Nagpur</v>
      </c>
      <c r="N710" t="str">
        <v>Furniture</v>
      </c>
      <c r="O710">
        <v>5</v>
      </c>
      <c r="P710">
        <v>4386.2</v>
      </c>
      <c r="Q710">
        <v>21931</v>
      </c>
    </row>
    <row r="711" spans="1:17">
      <c r="A711" s="19">
        <v>45104</v>
      </c>
      <c r="B711" t="s">
        <v>1229</v>
      </c>
      <c r="C711" t="s">
        <v>1230</v>
      </c>
      <c r="D711" t="s">
        <v>1246</v>
      </c>
      <c r="E711" t="s">
        <v>1249</v>
      </c>
      <c r="F711" s="10">
        <v>6</v>
      </c>
      <c r="G711" s="10">
        <v>1985.97</v>
      </c>
      <c r="H711" s="10">
        <v>11915.82</v>
      </c>
      <c r="J711">
        <v>44980</v>
      </c>
      <c r="K711" t="str">
        <v>West</v>
      </c>
      <c r="L711" t="str">
        <v>Maharashtra</v>
      </c>
      <c r="M711" t="str">
        <v>Nagpur</v>
      </c>
      <c r="N711" t="str">
        <v>Furniture</v>
      </c>
      <c r="O711">
        <v>4</v>
      </c>
      <c r="P711">
        <v>4245.67</v>
      </c>
      <c r="Q711">
        <v>16982.68</v>
      </c>
    </row>
    <row r="712" spans="1:17">
      <c r="A712" s="19">
        <v>45044</v>
      </c>
      <c r="B712" t="s">
        <v>1229</v>
      </c>
      <c r="C712" t="s">
        <v>1237</v>
      </c>
      <c r="D712" t="s">
        <v>1239</v>
      </c>
      <c r="E712" t="s">
        <v>1249</v>
      </c>
      <c r="F712" s="10">
        <v>12</v>
      </c>
      <c r="G712" s="10">
        <v>992.16</v>
      </c>
      <c r="H712" s="10">
        <v>11905.92</v>
      </c>
      <c r="J712">
        <v>45040</v>
      </c>
      <c r="K712" t="str">
        <v>West</v>
      </c>
      <c r="L712" t="str">
        <v>Maharashtra</v>
      </c>
      <c r="M712" t="str">
        <v>Nagpur</v>
      </c>
      <c r="N712" t="str">
        <v>Furniture</v>
      </c>
      <c r="O712">
        <v>7</v>
      </c>
      <c r="P712">
        <v>1905.14</v>
      </c>
      <c r="Q712">
        <v>13335.98</v>
      </c>
    </row>
    <row r="713" spans="1:17">
      <c r="A713" s="19">
        <v>45113</v>
      </c>
      <c r="B713" t="s">
        <v>1229</v>
      </c>
      <c r="C713" t="s">
        <v>1230</v>
      </c>
      <c r="D713" t="s">
        <v>1248</v>
      </c>
      <c r="E713" t="s">
        <v>1249</v>
      </c>
      <c r="F713" s="10">
        <v>8</v>
      </c>
      <c r="G713" s="10">
        <v>1484.56</v>
      </c>
      <c r="H713" s="10">
        <v>11876.48</v>
      </c>
      <c r="J713">
        <v>45070</v>
      </c>
      <c r="K713" t="str">
        <v>West</v>
      </c>
      <c r="L713" t="str">
        <v>Maharashtra</v>
      </c>
      <c r="M713" t="str">
        <v>Nagpur</v>
      </c>
      <c r="N713" t="str">
        <v>Furniture</v>
      </c>
      <c r="O713">
        <v>4</v>
      </c>
      <c r="P713">
        <v>2792.23</v>
      </c>
      <c r="Q713">
        <v>11168.92</v>
      </c>
    </row>
    <row r="714" spans="1:17">
      <c r="A714" s="19">
        <v>45069</v>
      </c>
      <c r="B714" t="s">
        <v>1229</v>
      </c>
      <c r="C714" t="s">
        <v>1230</v>
      </c>
      <c r="D714" t="s">
        <v>1246</v>
      </c>
      <c r="E714" t="s">
        <v>1249</v>
      </c>
      <c r="F714" s="10">
        <v>16</v>
      </c>
      <c r="G714" s="10">
        <v>704.88</v>
      </c>
      <c r="H714" s="10">
        <v>11278.08</v>
      </c>
      <c r="J714">
        <v>44955</v>
      </c>
      <c r="K714" t="str">
        <v>West</v>
      </c>
      <c r="L714" t="str">
        <v>Maharashtra</v>
      </c>
      <c r="M714" t="str">
        <v>Nagpur</v>
      </c>
      <c r="N714" t="str">
        <v>Furniture</v>
      </c>
      <c r="O714">
        <v>2</v>
      </c>
      <c r="P714">
        <v>3297.48</v>
      </c>
      <c r="Q714">
        <v>6594.96</v>
      </c>
    </row>
    <row r="715" spans="1:17">
      <c r="A715" s="19">
        <v>45245</v>
      </c>
      <c r="B715" t="s">
        <v>1242</v>
      </c>
      <c r="C715" t="s">
        <v>1243</v>
      </c>
      <c r="D715" t="s">
        <v>1247</v>
      </c>
      <c r="E715" t="s">
        <v>1249</v>
      </c>
      <c r="F715" s="10">
        <v>13</v>
      </c>
      <c r="G715" s="10">
        <v>864.09</v>
      </c>
      <c r="H715" s="10">
        <v>11233.17</v>
      </c>
      <c r="J715">
        <v>45070</v>
      </c>
      <c r="K715" t="str">
        <v>West</v>
      </c>
      <c r="L715" t="str">
        <v>Maharashtra</v>
      </c>
      <c r="M715" t="str">
        <v>Nagpur</v>
      </c>
      <c r="N715" t="str">
        <v>Furniture</v>
      </c>
      <c r="O715">
        <v>3</v>
      </c>
      <c r="P715">
        <v>2082</v>
      </c>
      <c r="Q715">
        <v>6246</v>
      </c>
    </row>
    <row r="716" spans="1:17">
      <c r="A716" s="19">
        <v>45148</v>
      </c>
      <c r="B716" t="s">
        <v>1231</v>
      </c>
      <c r="C716" t="s">
        <v>1232</v>
      </c>
      <c r="D716" t="s">
        <v>1240</v>
      </c>
      <c r="E716" t="s">
        <v>1249</v>
      </c>
      <c r="F716" s="10">
        <v>4</v>
      </c>
      <c r="G716" s="10">
        <v>2740.14</v>
      </c>
      <c r="H716" s="10">
        <v>10960.56</v>
      </c>
      <c r="J716">
        <v>45171</v>
      </c>
      <c r="K716" t="str">
        <v>West</v>
      </c>
      <c r="L716" t="str">
        <v>Maharashtra</v>
      </c>
      <c r="M716" t="str">
        <v>Nagpur</v>
      </c>
      <c r="N716" t="str">
        <v>Furniture</v>
      </c>
      <c r="O716">
        <v>2</v>
      </c>
      <c r="P716">
        <v>1695.6</v>
      </c>
      <c r="Q716">
        <v>3391.2</v>
      </c>
    </row>
    <row r="717" spans="1:17">
      <c r="A717" s="19">
        <v>44994</v>
      </c>
      <c r="B717" t="s">
        <v>1229</v>
      </c>
      <c r="C717" t="s">
        <v>1230</v>
      </c>
      <c r="D717" t="s">
        <v>1248</v>
      </c>
      <c r="E717" t="s">
        <v>1249</v>
      </c>
      <c r="F717" s="10">
        <v>7</v>
      </c>
      <c r="G717" s="10">
        <v>1500.87</v>
      </c>
      <c r="H717" s="10">
        <v>10506.09</v>
      </c>
      <c r="J717">
        <v>45117</v>
      </c>
      <c r="K717" t="str">
        <v>West</v>
      </c>
      <c r="L717" t="str">
        <v>Maharashtra</v>
      </c>
      <c r="M717" t="str">
        <v>Nagpur</v>
      </c>
      <c r="N717" t="str">
        <v>Groceries</v>
      </c>
      <c r="O717">
        <v>20</v>
      </c>
      <c r="P717">
        <v>2415.86</v>
      </c>
      <c r="Q717">
        <v>48317.2</v>
      </c>
    </row>
    <row r="718" spans="1:17">
      <c r="A718" s="19">
        <v>45052</v>
      </c>
      <c r="B718" t="s">
        <v>1231</v>
      </c>
      <c r="C718" t="s">
        <v>1232</v>
      </c>
      <c r="D718" t="s">
        <v>1234</v>
      </c>
      <c r="E718" t="s">
        <v>1249</v>
      </c>
      <c r="F718" s="10">
        <v>19</v>
      </c>
      <c r="G718" s="10">
        <v>548.70000000000005</v>
      </c>
      <c r="H718" s="10">
        <v>10425.299999999999</v>
      </c>
      <c r="J718">
        <v>45232</v>
      </c>
      <c r="K718" t="str">
        <v>West</v>
      </c>
      <c r="L718" t="str">
        <v>Maharashtra</v>
      </c>
      <c r="M718" t="str">
        <v>Nagpur</v>
      </c>
      <c r="N718" t="str">
        <v>Groceries</v>
      </c>
      <c r="O718">
        <v>15</v>
      </c>
      <c r="P718">
        <v>2869.14</v>
      </c>
      <c r="Q718">
        <v>43037.1</v>
      </c>
    </row>
    <row r="719" spans="1:17">
      <c r="A719" s="19">
        <v>45168</v>
      </c>
      <c r="B719" t="s">
        <v>1231</v>
      </c>
      <c r="C719" t="s">
        <v>1232</v>
      </c>
      <c r="D719" t="s">
        <v>1234</v>
      </c>
      <c r="E719" t="s">
        <v>1249</v>
      </c>
      <c r="F719" s="10">
        <v>11</v>
      </c>
      <c r="G719" s="10">
        <v>920.95</v>
      </c>
      <c r="H719" s="10">
        <v>10130.450000000001</v>
      </c>
      <c r="J719">
        <v>45050</v>
      </c>
      <c r="K719" t="str">
        <v>West</v>
      </c>
      <c r="L719" t="str">
        <v>Maharashtra</v>
      </c>
      <c r="M719" t="str">
        <v>Nagpur</v>
      </c>
      <c r="N719" t="str">
        <v>Groceries</v>
      </c>
      <c r="O719">
        <v>17</v>
      </c>
      <c r="P719">
        <v>2031.75</v>
      </c>
      <c r="Q719">
        <v>34539.75</v>
      </c>
    </row>
    <row r="720" spans="1:17">
      <c r="A720" s="19">
        <v>44992</v>
      </c>
      <c r="B720" t="s">
        <v>1231</v>
      </c>
      <c r="C720" t="s">
        <v>1235</v>
      </c>
      <c r="D720" t="s">
        <v>1236</v>
      </c>
      <c r="E720" t="s">
        <v>1249</v>
      </c>
      <c r="F720" s="10">
        <v>5</v>
      </c>
      <c r="G720" s="10">
        <v>1991.64</v>
      </c>
      <c r="H720" s="10">
        <v>9958.2000000000007</v>
      </c>
      <c r="J720">
        <v>45185</v>
      </c>
      <c r="K720" t="str">
        <v>West</v>
      </c>
      <c r="L720" t="str">
        <v>Maharashtra</v>
      </c>
      <c r="M720" t="str">
        <v>Nagpur</v>
      </c>
      <c r="N720" t="str">
        <v>Groceries</v>
      </c>
      <c r="O720">
        <v>8</v>
      </c>
      <c r="P720">
        <v>3372.86</v>
      </c>
      <c r="Q720">
        <v>26982.880000000001</v>
      </c>
    </row>
    <row r="721" spans="1:17">
      <c r="A721" s="19">
        <v>45010</v>
      </c>
      <c r="B721" t="s">
        <v>1231</v>
      </c>
      <c r="C721" t="s">
        <v>1232</v>
      </c>
      <c r="D721" t="s">
        <v>1234</v>
      </c>
      <c r="E721" t="s">
        <v>1249</v>
      </c>
      <c r="F721" s="10">
        <v>17</v>
      </c>
      <c r="G721" s="10">
        <v>578.88</v>
      </c>
      <c r="H721" s="10">
        <v>9840.9599999999991</v>
      </c>
      <c r="J721">
        <v>44993</v>
      </c>
      <c r="K721" t="str">
        <v>West</v>
      </c>
      <c r="L721" t="str">
        <v>Maharashtra</v>
      </c>
      <c r="M721" t="str">
        <v>Nagpur</v>
      </c>
      <c r="N721" t="str">
        <v>Groceries</v>
      </c>
      <c r="O721">
        <v>14</v>
      </c>
      <c r="P721">
        <v>1694.59</v>
      </c>
      <c r="Q721">
        <v>23724.26</v>
      </c>
    </row>
    <row r="722" spans="1:17">
      <c r="A722" s="19">
        <v>45021</v>
      </c>
      <c r="B722" t="s">
        <v>1229</v>
      </c>
      <c r="C722" t="s">
        <v>1230</v>
      </c>
      <c r="D722" t="s">
        <v>1246</v>
      </c>
      <c r="E722" t="s">
        <v>1249</v>
      </c>
      <c r="F722" s="10">
        <v>8</v>
      </c>
      <c r="G722" s="10">
        <v>1185.17</v>
      </c>
      <c r="H722" s="10">
        <v>9481.36</v>
      </c>
      <c r="J722">
        <v>44987</v>
      </c>
      <c r="K722" t="str">
        <v>West</v>
      </c>
      <c r="L722" t="str">
        <v>Maharashtra</v>
      </c>
      <c r="M722" t="str">
        <v>Nagpur</v>
      </c>
      <c r="N722" t="str">
        <v>Groceries</v>
      </c>
      <c r="O722">
        <v>18</v>
      </c>
      <c r="P722">
        <v>1306.19</v>
      </c>
      <c r="Q722">
        <v>23511.42</v>
      </c>
    </row>
    <row r="723" spans="1:17">
      <c r="A723" s="19">
        <v>45223</v>
      </c>
      <c r="B723" t="s">
        <v>1231</v>
      </c>
      <c r="C723" t="s">
        <v>1235</v>
      </c>
      <c r="D723" t="s">
        <v>1241</v>
      </c>
      <c r="E723" t="s">
        <v>1249</v>
      </c>
      <c r="F723" s="10">
        <v>11</v>
      </c>
      <c r="G723" s="10">
        <v>841.99</v>
      </c>
      <c r="H723" s="10">
        <v>9261.89</v>
      </c>
      <c r="J723">
        <v>45167</v>
      </c>
      <c r="K723" t="str">
        <v>West</v>
      </c>
      <c r="L723" t="str">
        <v>Maharashtra</v>
      </c>
      <c r="M723" t="str">
        <v>Nagpur</v>
      </c>
      <c r="N723" t="str">
        <v>Groceries</v>
      </c>
      <c r="O723">
        <v>5</v>
      </c>
      <c r="P723">
        <v>3342.48</v>
      </c>
      <c r="Q723">
        <v>16712.400000000001</v>
      </c>
    </row>
    <row r="724" spans="1:17">
      <c r="A724" s="19">
        <v>45077</v>
      </c>
      <c r="B724" t="s">
        <v>1229</v>
      </c>
      <c r="C724" t="s">
        <v>1237</v>
      </c>
      <c r="D724" t="s">
        <v>1239</v>
      </c>
      <c r="E724" t="s">
        <v>1249</v>
      </c>
      <c r="F724" s="10">
        <v>4</v>
      </c>
      <c r="G724" s="10">
        <v>2298.98</v>
      </c>
      <c r="H724" s="10">
        <v>9195.92</v>
      </c>
      <c r="J724">
        <v>45044</v>
      </c>
      <c r="K724" t="str">
        <v>West</v>
      </c>
      <c r="L724" t="str">
        <v>Maharashtra</v>
      </c>
      <c r="M724" t="str">
        <v>Nagpur</v>
      </c>
      <c r="N724" t="str">
        <v>Groceries</v>
      </c>
      <c r="O724">
        <v>12</v>
      </c>
      <c r="P724">
        <v>992.16</v>
      </c>
      <c r="Q724">
        <v>11905.92</v>
      </c>
    </row>
    <row r="725" spans="1:17">
      <c r="A725" s="19">
        <v>44966</v>
      </c>
      <c r="B725" t="s">
        <v>1242</v>
      </c>
      <c r="C725" t="s">
        <v>1243</v>
      </c>
      <c r="D725" t="s">
        <v>1244</v>
      </c>
      <c r="E725" t="s">
        <v>1249</v>
      </c>
      <c r="F725" s="10">
        <v>18</v>
      </c>
      <c r="G725" s="10">
        <v>497.68</v>
      </c>
      <c r="H725" s="10">
        <v>8958.24</v>
      </c>
      <c r="J725">
        <v>45077</v>
      </c>
      <c r="K725" t="str">
        <v>West</v>
      </c>
      <c r="L725" t="str">
        <v>Maharashtra</v>
      </c>
      <c r="M725" t="str">
        <v>Nagpur</v>
      </c>
      <c r="N725" t="str">
        <v>Groceries</v>
      </c>
      <c r="O725">
        <v>4</v>
      </c>
      <c r="P725">
        <v>2298.98</v>
      </c>
      <c r="Q725">
        <v>9195.92</v>
      </c>
    </row>
    <row r="726" spans="1:17">
      <c r="A726" s="19">
        <v>45110</v>
      </c>
      <c r="B726" t="s">
        <v>1231</v>
      </c>
      <c r="C726" t="s">
        <v>1232</v>
      </c>
      <c r="D726" t="s">
        <v>1240</v>
      </c>
      <c r="E726" t="s">
        <v>1249</v>
      </c>
      <c r="F726" s="10">
        <v>3</v>
      </c>
      <c r="G726" s="10">
        <v>2966.4</v>
      </c>
      <c r="H726" s="10">
        <v>8899.2000000000007</v>
      </c>
      <c r="J726">
        <v>45050</v>
      </c>
      <c r="K726" t="str">
        <v>West</v>
      </c>
      <c r="L726" t="str">
        <v>Maharashtra</v>
      </c>
      <c r="M726" t="str">
        <v>Nagpur</v>
      </c>
      <c r="N726" t="str">
        <v>Groceries</v>
      </c>
      <c r="O726">
        <v>19</v>
      </c>
      <c r="P726">
        <v>430.16</v>
      </c>
      <c r="Q726">
        <v>8173.04</v>
      </c>
    </row>
    <row r="727" spans="1:17">
      <c r="A727" s="19">
        <v>45194</v>
      </c>
      <c r="B727" t="s">
        <v>1229</v>
      </c>
      <c r="C727" t="s">
        <v>1230</v>
      </c>
      <c r="D727" t="s">
        <v>1169</v>
      </c>
      <c r="E727" t="s">
        <v>1249</v>
      </c>
      <c r="F727" s="10">
        <v>2</v>
      </c>
      <c r="G727" s="10">
        <v>4176.99</v>
      </c>
      <c r="H727" s="10">
        <v>8353.98</v>
      </c>
      <c r="J727">
        <v>45213</v>
      </c>
      <c r="K727" t="str">
        <v>West</v>
      </c>
      <c r="L727" t="str">
        <v>Maharashtra</v>
      </c>
      <c r="M727" t="str">
        <v>Nagpur</v>
      </c>
      <c r="N727" t="str">
        <v>Groceries</v>
      </c>
      <c r="O727">
        <v>5</v>
      </c>
      <c r="P727">
        <v>1141.32</v>
      </c>
      <c r="Q727">
        <v>5706.6</v>
      </c>
    </row>
    <row r="728" spans="1:17">
      <c r="A728" s="19">
        <v>45128</v>
      </c>
      <c r="B728" t="s">
        <v>1242</v>
      </c>
      <c r="C728" t="s">
        <v>1243</v>
      </c>
      <c r="D728" t="s">
        <v>1244</v>
      </c>
      <c r="E728" t="s">
        <v>1249</v>
      </c>
      <c r="F728" s="10">
        <v>6</v>
      </c>
      <c r="G728" s="10">
        <v>1366.98</v>
      </c>
      <c r="H728" s="10">
        <v>8201.8799999999992</v>
      </c>
      <c r="J728">
        <v>45105</v>
      </c>
      <c r="K728" t="str">
        <v>West</v>
      </c>
      <c r="L728" t="str">
        <v>Maharashtra</v>
      </c>
      <c r="M728" t="str">
        <v>Nagpur</v>
      </c>
      <c r="N728" t="str">
        <v>Stationery</v>
      </c>
      <c r="O728">
        <v>17</v>
      </c>
      <c r="P728">
        <v>4982.8100000000004</v>
      </c>
      <c r="Q728">
        <v>84707.77</v>
      </c>
    </row>
    <row r="729" spans="1:17">
      <c r="A729" s="19">
        <v>45050</v>
      </c>
      <c r="B729" t="s">
        <v>1229</v>
      </c>
      <c r="C729" t="s">
        <v>1237</v>
      </c>
      <c r="D729" t="s">
        <v>1239</v>
      </c>
      <c r="E729" t="s">
        <v>1249</v>
      </c>
      <c r="F729" s="10">
        <v>19</v>
      </c>
      <c r="G729" s="10">
        <v>430.16</v>
      </c>
      <c r="H729" s="10">
        <v>8173.04</v>
      </c>
      <c r="J729">
        <v>45042</v>
      </c>
      <c r="K729" t="str">
        <v>West</v>
      </c>
      <c r="L729" t="str">
        <v>Maharashtra</v>
      </c>
      <c r="M729" t="str">
        <v>Nagpur</v>
      </c>
      <c r="N729" t="str">
        <v>Stationery</v>
      </c>
      <c r="O729">
        <v>18</v>
      </c>
      <c r="P729">
        <v>4022.66</v>
      </c>
      <c r="Q729">
        <v>72407.88</v>
      </c>
    </row>
    <row r="730" spans="1:17">
      <c r="A730" s="19">
        <v>44973</v>
      </c>
      <c r="B730" t="s">
        <v>1242</v>
      </c>
      <c r="C730" t="s">
        <v>1243</v>
      </c>
      <c r="D730" t="s">
        <v>1245</v>
      </c>
      <c r="E730" t="s">
        <v>1249</v>
      </c>
      <c r="F730" s="10">
        <v>2</v>
      </c>
      <c r="G730" s="10">
        <v>4059.61</v>
      </c>
      <c r="H730" s="10">
        <v>8119.22</v>
      </c>
      <c r="J730">
        <v>45244</v>
      </c>
      <c r="K730" t="str">
        <v>West</v>
      </c>
      <c r="L730" t="str">
        <v>Maharashtra</v>
      </c>
      <c r="M730" t="str">
        <v>Nagpur</v>
      </c>
      <c r="N730" t="str">
        <v>Stationery</v>
      </c>
      <c r="O730">
        <v>13</v>
      </c>
      <c r="P730">
        <v>4357.0200000000004</v>
      </c>
      <c r="Q730">
        <v>56641.26</v>
      </c>
    </row>
    <row r="731" spans="1:17">
      <c r="A731" s="19">
        <v>45168</v>
      </c>
      <c r="B731" t="s">
        <v>1242</v>
      </c>
      <c r="C731" t="s">
        <v>1243</v>
      </c>
      <c r="D731" t="s">
        <v>1245</v>
      </c>
      <c r="E731" t="s">
        <v>1249</v>
      </c>
      <c r="F731" s="10">
        <v>18</v>
      </c>
      <c r="G731" s="10">
        <v>448.42</v>
      </c>
      <c r="H731" s="10">
        <v>8071.56</v>
      </c>
      <c r="J731">
        <v>44950</v>
      </c>
      <c r="K731" t="str">
        <v>West</v>
      </c>
      <c r="L731" t="str">
        <v>Maharashtra</v>
      </c>
      <c r="M731" t="str">
        <v>Nagpur</v>
      </c>
      <c r="N731" t="str">
        <v>Stationery</v>
      </c>
      <c r="O731">
        <v>15</v>
      </c>
      <c r="P731">
        <v>2706.66</v>
      </c>
      <c r="Q731">
        <v>40599.9</v>
      </c>
    </row>
    <row r="732" spans="1:17">
      <c r="A732" s="19">
        <v>45095</v>
      </c>
      <c r="B732" t="s">
        <v>1231</v>
      </c>
      <c r="C732" t="s">
        <v>1235</v>
      </c>
      <c r="D732" t="s">
        <v>1241</v>
      </c>
      <c r="E732" t="s">
        <v>1249</v>
      </c>
      <c r="F732" s="10">
        <v>2</v>
      </c>
      <c r="G732" s="10">
        <v>4032.05</v>
      </c>
      <c r="H732" s="10">
        <v>8064.1</v>
      </c>
      <c r="J732">
        <v>45246</v>
      </c>
      <c r="K732" t="str">
        <v>West</v>
      </c>
      <c r="L732" t="str">
        <v>Maharashtra</v>
      </c>
      <c r="M732" t="str">
        <v>Nagpur</v>
      </c>
      <c r="N732" t="str">
        <v>Stationery</v>
      </c>
      <c r="O732">
        <v>12</v>
      </c>
      <c r="P732">
        <v>3028.88</v>
      </c>
      <c r="Q732">
        <v>36346.559999999998</v>
      </c>
    </row>
    <row r="733" spans="1:17">
      <c r="A733" s="19">
        <v>45255</v>
      </c>
      <c r="B733" t="s">
        <v>1231</v>
      </c>
      <c r="C733" t="s">
        <v>1235</v>
      </c>
      <c r="D733" t="s">
        <v>1236</v>
      </c>
      <c r="E733" t="s">
        <v>1249</v>
      </c>
      <c r="F733" s="10">
        <v>15</v>
      </c>
      <c r="G733" s="10">
        <v>534.41999999999996</v>
      </c>
      <c r="H733" s="10">
        <v>8016.3</v>
      </c>
      <c r="J733">
        <v>44961</v>
      </c>
      <c r="K733" t="str">
        <v>West</v>
      </c>
      <c r="L733" t="str">
        <v>Maharashtra</v>
      </c>
      <c r="M733" t="str">
        <v>Nagpur</v>
      </c>
      <c r="N733" t="str">
        <v>Stationery</v>
      </c>
      <c r="O733">
        <v>8</v>
      </c>
      <c r="P733">
        <v>4290.04</v>
      </c>
      <c r="Q733">
        <v>34320.32</v>
      </c>
    </row>
    <row r="734" spans="1:17">
      <c r="A734" s="19">
        <v>45015</v>
      </c>
      <c r="B734" t="s">
        <v>1229</v>
      </c>
      <c r="C734" t="s">
        <v>1230</v>
      </c>
      <c r="D734" t="s">
        <v>1246</v>
      </c>
      <c r="E734" t="s">
        <v>1249</v>
      </c>
      <c r="F734" s="10">
        <v>9</v>
      </c>
      <c r="G734" s="10">
        <v>888.33</v>
      </c>
      <c r="H734" s="10">
        <v>7994.97</v>
      </c>
      <c r="J734">
        <v>44977</v>
      </c>
      <c r="K734" t="str">
        <v>West</v>
      </c>
      <c r="L734" t="str">
        <v>Maharashtra</v>
      </c>
      <c r="M734" t="str">
        <v>Nagpur</v>
      </c>
      <c r="N734" t="str">
        <v>Stationery</v>
      </c>
      <c r="O734">
        <v>9</v>
      </c>
      <c r="P734">
        <v>3318.1</v>
      </c>
      <c r="Q734">
        <v>29862.9</v>
      </c>
    </row>
    <row r="735" spans="1:17">
      <c r="A735" s="19">
        <v>45253</v>
      </c>
      <c r="B735" t="s">
        <v>1229</v>
      </c>
      <c r="C735" t="s">
        <v>1230</v>
      </c>
      <c r="D735" t="s">
        <v>1246</v>
      </c>
      <c r="E735" t="s">
        <v>1249</v>
      </c>
      <c r="F735" s="10">
        <v>9</v>
      </c>
      <c r="G735" s="10">
        <v>851.87</v>
      </c>
      <c r="H735" s="10">
        <v>7666.83</v>
      </c>
      <c r="J735">
        <v>45121</v>
      </c>
      <c r="K735" t="str">
        <v>West</v>
      </c>
      <c r="L735" t="str">
        <v>Maharashtra</v>
      </c>
      <c r="M735" t="str">
        <v>Nagpur</v>
      </c>
      <c r="N735" t="str">
        <v>Stationery</v>
      </c>
      <c r="O735">
        <v>5</v>
      </c>
      <c r="P735">
        <v>4035.07</v>
      </c>
      <c r="Q735">
        <v>20175.349999999999</v>
      </c>
    </row>
    <row r="736" spans="1:17">
      <c r="A736" s="19">
        <v>45213</v>
      </c>
      <c r="B736" t="s">
        <v>1231</v>
      </c>
      <c r="C736" t="s">
        <v>1232</v>
      </c>
      <c r="D736" t="s">
        <v>1233</v>
      </c>
      <c r="E736" t="s">
        <v>1249</v>
      </c>
      <c r="F736" s="10">
        <v>5</v>
      </c>
      <c r="G736" s="10">
        <v>1445.72</v>
      </c>
      <c r="H736" s="10">
        <v>7228.6</v>
      </c>
      <c r="J736">
        <v>45233</v>
      </c>
      <c r="K736" t="str">
        <v>West</v>
      </c>
      <c r="L736" t="str">
        <v>Maharashtra</v>
      </c>
      <c r="M736" t="str">
        <v>Nagpur</v>
      </c>
      <c r="N736" t="str">
        <v>Stationery</v>
      </c>
      <c r="O736">
        <v>5</v>
      </c>
      <c r="P736">
        <v>3259.3</v>
      </c>
      <c r="Q736">
        <v>16296.5</v>
      </c>
    </row>
    <row r="737" spans="1:17">
      <c r="A737" s="19">
        <v>45090</v>
      </c>
      <c r="B737" t="s">
        <v>1242</v>
      </c>
      <c r="C737" t="s">
        <v>1243</v>
      </c>
      <c r="D737" t="s">
        <v>1247</v>
      </c>
      <c r="E737" t="s">
        <v>1249</v>
      </c>
      <c r="F737" s="10">
        <v>5</v>
      </c>
      <c r="G737" s="10">
        <v>1412.08</v>
      </c>
      <c r="H737" s="10">
        <v>7060.4</v>
      </c>
      <c r="J737">
        <v>44977</v>
      </c>
      <c r="K737" t="str">
        <v>West</v>
      </c>
      <c r="L737" t="str">
        <v>Maharashtra</v>
      </c>
      <c r="M737" t="str">
        <v>Nagpur</v>
      </c>
      <c r="N737" t="str">
        <v>Stationery</v>
      </c>
      <c r="O737">
        <v>9</v>
      </c>
      <c r="P737">
        <v>1474.56</v>
      </c>
      <c r="Q737">
        <v>13271.04</v>
      </c>
    </row>
    <row r="738" spans="1:17">
      <c r="A738" s="19">
        <v>45280</v>
      </c>
      <c r="B738" t="s">
        <v>1231</v>
      </c>
      <c r="C738" t="s">
        <v>1235</v>
      </c>
      <c r="D738" t="s">
        <v>1236</v>
      </c>
      <c r="E738" t="s">
        <v>1249</v>
      </c>
      <c r="F738" s="10">
        <v>13</v>
      </c>
      <c r="G738" s="10">
        <v>512.69000000000005</v>
      </c>
      <c r="H738" s="10">
        <v>6664.97</v>
      </c>
      <c r="J738">
        <v>45113</v>
      </c>
      <c r="K738" t="str">
        <v>West</v>
      </c>
      <c r="L738" t="str">
        <v>Maharashtra</v>
      </c>
      <c r="M738" t="str">
        <v>Nagpur</v>
      </c>
      <c r="N738" t="str">
        <v>Stationery</v>
      </c>
      <c r="O738">
        <v>5</v>
      </c>
      <c r="P738">
        <v>2545.9299999999998</v>
      </c>
      <c r="Q738">
        <v>12729.65</v>
      </c>
    </row>
    <row r="739" spans="1:17">
      <c r="A739" s="19">
        <v>45243</v>
      </c>
      <c r="B739" t="s">
        <v>1229</v>
      </c>
      <c r="C739" t="s">
        <v>1237</v>
      </c>
      <c r="D739" t="s">
        <v>1173</v>
      </c>
      <c r="E739" t="s">
        <v>1249</v>
      </c>
      <c r="F739" s="10">
        <v>3</v>
      </c>
      <c r="G739" s="10">
        <v>2214.86</v>
      </c>
      <c r="H739" s="10">
        <v>6644.58</v>
      </c>
      <c r="J739">
        <v>45107</v>
      </c>
      <c r="K739" t="str">
        <v>West</v>
      </c>
      <c r="L739" t="str">
        <v>Maharashtra</v>
      </c>
      <c r="M739" t="str">
        <v>Nagpur</v>
      </c>
      <c r="N739" t="str">
        <v>Stationery</v>
      </c>
      <c r="O739">
        <v>16</v>
      </c>
      <c r="P739">
        <v>494.05</v>
      </c>
      <c r="Q739">
        <v>7904.8</v>
      </c>
    </row>
    <row r="740" spans="1:17">
      <c r="A740" s="19">
        <v>45191</v>
      </c>
      <c r="B740" t="s">
        <v>1231</v>
      </c>
      <c r="C740" t="s">
        <v>1235</v>
      </c>
      <c r="D740" t="s">
        <v>1241</v>
      </c>
      <c r="E740" t="s">
        <v>1249</v>
      </c>
      <c r="F740" s="10">
        <v>12</v>
      </c>
      <c r="G740" s="10">
        <v>549.84</v>
      </c>
      <c r="H740" s="10">
        <v>6598.08</v>
      </c>
      <c r="J740">
        <v>45062</v>
      </c>
      <c r="K740" t="str">
        <v>West</v>
      </c>
      <c r="L740" t="str">
        <v>Maharashtra</v>
      </c>
      <c r="M740" t="str">
        <v>Nagpur</v>
      </c>
      <c r="N740" t="str">
        <v>Stationery</v>
      </c>
      <c r="O740">
        <v>3</v>
      </c>
      <c r="P740">
        <v>2618.2199999999998</v>
      </c>
      <c r="Q740">
        <v>7854.66</v>
      </c>
    </row>
    <row r="741" spans="1:17">
      <c r="A741" s="19">
        <v>45204</v>
      </c>
      <c r="B741" t="s">
        <v>1229</v>
      </c>
      <c r="C741" t="s">
        <v>1230</v>
      </c>
      <c r="D741" t="s">
        <v>1248</v>
      </c>
      <c r="E741" t="s">
        <v>1249</v>
      </c>
      <c r="F741" s="10">
        <v>9</v>
      </c>
      <c r="G741" s="10">
        <v>722.4</v>
      </c>
      <c r="H741" s="10">
        <v>6501.6</v>
      </c>
      <c r="J741">
        <v>45158</v>
      </c>
      <c r="K741" t="str">
        <v>West</v>
      </c>
      <c r="L741" t="str">
        <v>Maharashtra</v>
      </c>
      <c r="M741" t="str">
        <v>Nagpur</v>
      </c>
      <c r="N741" t="str">
        <v>Stationery</v>
      </c>
      <c r="O741">
        <v>2</v>
      </c>
      <c r="P741">
        <v>3385.43</v>
      </c>
      <c r="Q741">
        <v>6770.86</v>
      </c>
    </row>
    <row r="742" spans="1:17">
      <c r="A742" s="19">
        <v>45270</v>
      </c>
      <c r="B742" t="s">
        <v>1231</v>
      </c>
      <c r="C742" t="s">
        <v>1235</v>
      </c>
      <c r="D742" t="s">
        <v>1238</v>
      </c>
      <c r="E742" t="s">
        <v>1249</v>
      </c>
      <c r="F742" s="10">
        <v>10</v>
      </c>
      <c r="G742" s="10">
        <v>642.49</v>
      </c>
      <c r="H742" s="10">
        <v>6424.9</v>
      </c>
      <c r="J742">
        <v>44984</v>
      </c>
      <c r="K742" t="str">
        <v>West</v>
      </c>
      <c r="L742" t="str">
        <v>Maharashtra</v>
      </c>
      <c r="M742" t="str">
        <v>Nagpur</v>
      </c>
      <c r="N742" t="str">
        <v>Stationery</v>
      </c>
      <c r="O742">
        <v>2</v>
      </c>
      <c r="P742">
        <v>2875.84</v>
      </c>
      <c r="Q742">
        <v>5751.68</v>
      </c>
    </row>
    <row r="743" spans="1:17">
      <c r="A743" s="19">
        <v>44928</v>
      </c>
      <c r="B743" t="s">
        <v>1229</v>
      </c>
      <c r="C743" t="s">
        <v>1230</v>
      </c>
      <c r="D743" t="s">
        <v>1248</v>
      </c>
      <c r="E743" t="s">
        <v>1249</v>
      </c>
      <c r="F743" s="10">
        <v>11</v>
      </c>
      <c r="G743" s="10">
        <v>548.91999999999996</v>
      </c>
      <c r="H743" s="10">
        <v>6038.12</v>
      </c>
      <c r="J743">
        <v>45099</v>
      </c>
      <c r="K743" t="str">
        <v>West</v>
      </c>
      <c r="L743" t="str">
        <v>Maharashtra</v>
      </c>
      <c r="M743" t="str">
        <v>Nagpur</v>
      </c>
      <c r="N743" t="str">
        <v>Stationery</v>
      </c>
      <c r="O743">
        <v>1</v>
      </c>
      <c r="P743">
        <v>4640.17</v>
      </c>
      <c r="Q743">
        <v>4640.17</v>
      </c>
    </row>
    <row r="744" spans="1:17">
      <c r="A744" s="19">
        <v>45047</v>
      </c>
      <c r="B744" t="s">
        <v>1229</v>
      </c>
      <c r="C744" t="s">
        <v>1237</v>
      </c>
      <c r="D744" t="s">
        <v>1171</v>
      </c>
      <c r="E744" t="s">
        <v>1249</v>
      </c>
      <c r="F744" s="10">
        <v>5</v>
      </c>
      <c r="G744" s="10">
        <v>1204.6400000000001</v>
      </c>
      <c r="H744" s="10">
        <v>6023.2</v>
      </c>
      <c r="J744">
        <v>45130</v>
      </c>
      <c r="K744" t="str">
        <v>West</v>
      </c>
      <c r="L744" t="str">
        <v>Maharashtra</v>
      </c>
      <c r="M744" t="str">
        <v>Nagpur</v>
      </c>
      <c r="N744" t="str">
        <v>Stationery</v>
      </c>
      <c r="O744">
        <v>2</v>
      </c>
      <c r="P744">
        <v>741.33</v>
      </c>
      <c r="Q744">
        <v>1482.66</v>
      </c>
    </row>
    <row r="745" spans="1:17">
      <c r="A745" s="19">
        <v>44974</v>
      </c>
      <c r="B745" t="s">
        <v>1231</v>
      </c>
      <c r="C745" t="s">
        <v>1235</v>
      </c>
      <c r="D745" t="s">
        <v>1241</v>
      </c>
      <c r="E745" t="s">
        <v>1249</v>
      </c>
      <c r="F745" s="10">
        <v>4</v>
      </c>
      <c r="G745" s="10">
        <v>1493.04</v>
      </c>
      <c r="H745" s="10">
        <v>5972.16</v>
      </c>
      <c r="J745">
        <v>45096</v>
      </c>
      <c r="K745" t="str">
        <v>West</v>
      </c>
      <c r="L745" t="str">
        <v>Maharashtra</v>
      </c>
      <c r="M745" t="str">
        <v>Nagpur</v>
      </c>
      <c r="N745" t="str">
        <v>Stationery</v>
      </c>
      <c r="O745">
        <v>3</v>
      </c>
      <c r="P745">
        <v>264.98</v>
      </c>
      <c r="Q745">
        <v>794.94</v>
      </c>
    </row>
    <row r="746" spans="1:17">
      <c r="A746" s="19">
        <v>45213</v>
      </c>
      <c r="B746" t="s">
        <v>1229</v>
      </c>
      <c r="C746" t="s">
        <v>1237</v>
      </c>
      <c r="D746" t="s">
        <v>1239</v>
      </c>
      <c r="E746" t="s">
        <v>1249</v>
      </c>
      <c r="F746" s="10">
        <v>5</v>
      </c>
      <c r="G746" s="10">
        <v>1141.32</v>
      </c>
      <c r="H746" s="10">
        <v>5706.6</v>
      </c>
      <c r="J746">
        <v>45116</v>
      </c>
      <c r="K746" t="str">
        <v>North</v>
      </c>
      <c r="L746" t="str">
        <v>Delhi</v>
      </c>
      <c r="M746" t="str">
        <v>New Delhi</v>
      </c>
      <c r="N746" t="str">
        <v>Clothing</v>
      </c>
      <c r="O746">
        <v>17</v>
      </c>
      <c r="P746">
        <v>3679.89</v>
      </c>
      <c r="Q746">
        <v>62558.13</v>
      </c>
    </row>
    <row r="747" spans="1:17">
      <c r="A747" s="19">
        <v>45173</v>
      </c>
      <c r="B747" t="s">
        <v>1231</v>
      </c>
      <c r="C747" t="s">
        <v>1235</v>
      </c>
      <c r="D747" t="s">
        <v>1236</v>
      </c>
      <c r="E747" t="s">
        <v>1249</v>
      </c>
      <c r="F747" s="10">
        <v>4</v>
      </c>
      <c r="G747" s="10">
        <v>1381.71</v>
      </c>
      <c r="H747" s="10">
        <v>5526.84</v>
      </c>
      <c r="J747">
        <v>44958</v>
      </c>
      <c r="K747" t="str">
        <v>North</v>
      </c>
      <c r="L747" t="str">
        <v>Delhi</v>
      </c>
      <c r="M747" t="str">
        <v>New Delhi</v>
      </c>
      <c r="N747" t="str">
        <v>Clothing</v>
      </c>
      <c r="O747">
        <v>10</v>
      </c>
      <c r="P747">
        <v>4298.32</v>
      </c>
      <c r="Q747">
        <v>42983.199999999997</v>
      </c>
    </row>
    <row r="748" spans="1:17">
      <c r="A748" s="19">
        <v>44931</v>
      </c>
      <c r="B748" t="s">
        <v>1229</v>
      </c>
      <c r="C748" t="s">
        <v>1230</v>
      </c>
      <c r="D748" t="s">
        <v>1246</v>
      </c>
      <c r="E748" t="s">
        <v>1249</v>
      </c>
      <c r="F748" s="10">
        <v>2</v>
      </c>
      <c r="G748" s="10">
        <v>2704.98</v>
      </c>
      <c r="H748" s="10">
        <v>5409.96</v>
      </c>
      <c r="J748">
        <v>45110</v>
      </c>
      <c r="K748" t="str">
        <v>North</v>
      </c>
      <c r="L748" t="str">
        <v>Delhi</v>
      </c>
      <c r="M748" t="str">
        <v>New Delhi</v>
      </c>
      <c r="N748" t="str">
        <v>Clothing</v>
      </c>
      <c r="O748">
        <v>17</v>
      </c>
      <c r="P748">
        <v>2045.39</v>
      </c>
      <c r="Q748">
        <v>34771.629999999997</v>
      </c>
    </row>
    <row r="749" spans="1:17">
      <c r="A749" s="19">
        <v>44969</v>
      </c>
      <c r="B749" t="s">
        <v>1242</v>
      </c>
      <c r="C749" t="s">
        <v>1243</v>
      </c>
      <c r="D749" t="s">
        <v>1247</v>
      </c>
      <c r="E749" t="s">
        <v>1249</v>
      </c>
      <c r="F749" s="10">
        <v>9</v>
      </c>
      <c r="G749" s="10">
        <v>593.01</v>
      </c>
      <c r="H749" s="10">
        <v>5337.09</v>
      </c>
      <c r="J749">
        <v>45003</v>
      </c>
      <c r="K749" t="str">
        <v>North</v>
      </c>
      <c r="L749" t="str">
        <v>Delhi</v>
      </c>
      <c r="M749" t="str">
        <v>New Delhi</v>
      </c>
      <c r="N749" t="str">
        <v>Clothing</v>
      </c>
      <c r="O749">
        <v>6</v>
      </c>
      <c r="P749">
        <v>4984.92</v>
      </c>
      <c r="Q749">
        <v>29909.52</v>
      </c>
    </row>
    <row r="750" spans="1:17">
      <c r="A750" s="19">
        <v>45140</v>
      </c>
      <c r="B750" t="s">
        <v>1231</v>
      </c>
      <c r="C750" t="s">
        <v>1235</v>
      </c>
      <c r="D750" t="s">
        <v>1241</v>
      </c>
      <c r="E750" t="s">
        <v>1249</v>
      </c>
      <c r="F750" s="10">
        <v>16</v>
      </c>
      <c r="G750" s="10">
        <v>317.82</v>
      </c>
      <c r="H750" s="10">
        <v>5085.12</v>
      </c>
      <c r="J750">
        <v>45226</v>
      </c>
      <c r="K750" t="str">
        <v>North</v>
      </c>
      <c r="L750" t="str">
        <v>Delhi</v>
      </c>
      <c r="M750" t="str">
        <v>New Delhi</v>
      </c>
      <c r="N750" t="str">
        <v>Clothing</v>
      </c>
      <c r="O750">
        <v>5</v>
      </c>
      <c r="P750">
        <v>4993.87</v>
      </c>
      <c r="Q750">
        <v>24969.35</v>
      </c>
    </row>
    <row r="751" spans="1:17">
      <c r="A751" s="19">
        <v>45028</v>
      </c>
      <c r="B751" t="s">
        <v>1231</v>
      </c>
      <c r="C751" t="s">
        <v>1235</v>
      </c>
      <c r="D751" t="s">
        <v>1238</v>
      </c>
      <c r="E751" t="s">
        <v>1249</v>
      </c>
      <c r="F751" s="10">
        <v>2</v>
      </c>
      <c r="G751" s="10">
        <v>2493.06</v>
      </c>
      <c r="H751" s="10">
        <v>4986.12</v>
      </c>
      <c r="J751">
        <v>45134</v>
      </c>
      <c r="K751" t="str">
        <v>North</v>
      </c>
      <c r="L751" t="str">
        <v>Delhi</v>
      </c>
      <c r="M751" t="str">
        <v>New Delhi</v>
      </c>
      <c r="N751" t="str">
        <v>Clothing</v>
      </c>
      <c r="O751">
        <v>6</v>
      </c>
      <c r="P751">
        <v>4100.9799999999996</v>
      </c>
      <c r="Q751">
        <v>24605.88</v>
      </c>
    </row>
    <row r="752" spans="1:17">
      <c r="A752" s="19">
        <v>45159</v>
      </c>
      <c r="B752" t="s">
        <v>1231</v>
      </c>
      <c r="C752" t="s">
        <v>1232</v>
      </c>
      <c r="D752" t="s">
        <v>1233</v>
      </c>
      <c r="E752" t="s">
        <v>1249</v>
      </c>
      <c r="F752" s="10">
        <v>7</v>
      </c>
      <c r="G752" s="10">
        <v>711.35</v>
      </c>
      <c r="H752" s="10">
        <v>4979.45</v>
      </c>
      <c r="J752">
        <v>45186</v>
      </c>
      <c r="K752" t="str">
        <v>North</v>
      </c>
      <c r="L752" t="str">
        <v>Delhi</v>
      </c>
      <c r="M752" t="str">
        <v>New Delhi</v>
      </c>
      <c r="N752" t="str">
        <v>Clothing</v>
      </c>
      <c r="O752">
        <v>7</v>
      </c>
      <c r="P752">
        <v>3063.53</v>
      </c>
      <c r="Q752">
        <v>21444.71</v>
      </c>
    </row>
    <row r="753" spans="1:17">
      <c r="A753" s="19">
        <v>45105</v>
      </c>
      <c r="B753" t="s">
        <v>1231</v>
      </c>
      <c r="C753" t="s">
        <v>1232</v>
      </c>
      <c r="D753" t="s">
        <v>1234</v>
      </c>
      <c r="E753" t="s">
        <v>1249</v>
      </c>
      <c r="F753" s="10">
        <v>7</v>
      </c>
      <c r="G753" s="10">
        <v>705.03</v>
      </c>
      <c r="H753" s="10">
        <v>4935.21</v>
      </c>
      <c r="J753">
        <v>45020</v>
      </c>
      <c r="K753" t="str">
        <v>North</v>
      </c>
      <c r="L753" t="str">
        <v>Delhi</v>
      </c>
      <c r="M753" t="str">
        <v>New Delhi</v>
      </c>
      <c r="N753" t="str">
        <v>Clothing</v>
      </c>
      <c r="O753">
        <v>14</v>
      </c>
      <c r="P753">
        <v>1116.79</v>
      </c>
      <c r="Q753">
        <v>15635.06</v>
      </c>
    </row>
    <row r="754" spans="1:17">
      <c r="A754" s="19">
        <v>45064</v>
      </c>
      <c r="B754" t="s">
        <v>1229</v>
      </c>
      <c r="C754" t="s">
        <v>1237</v>
      </c>
      <c r="D754" t="s">
        <v>1173</v>
      </c>
      <c r="E754" t="s">
        <v>1249</v>
      </c>
      <c r="F754" s="10">
        <v>2</v>
      </c>
      <c r="G754" s="10">
        <v>2402.5700000000002</v>
      </c>
      <c r="H754" s="10">
        <v>4805.1400000000003</v>
      </c>
      <c r="J754">
        <v>45016</v>
      </c>
      <c r="K754" t="str">
        <v>North</v>
      </c>
      <c r="L754" t="str">
        <v>Delhi</v>
      </c>
      <c r="M754" t="str">
        <v>New Delhi</v>
      </c>
      <c r="N754" t="str">
        <v>Clothing</v>
      </c>
      <c r="O754">
        <v>5</v>
      </c>
      <c r="P754">
        <v>2846.34</v>
      </c>
      <c r="Q754">
        <v>14231.7</v>
      </c>
    </row>
    <row r="755" spans="1:17">
      <c r="A755" s="19">
        <v>44965</v>
      </c>
      <c r="B755" t="s">
        <v>1231</v>
      </c>
      <c r="C755" t="s">
        <v>1235</v>
      </c>
      <c r="D755" t="s">
        <v>1236</v>
      </c>
      <c r="E755" t="s">
        <v>1249</v>
      </c>
      <c r="F755" s="10">
        <v>17</v>
      </c>
      <c r="G755" s="10">
        <v>269.7</v>
      </c>
      <c r="H755" s="10">
        <v>4584.8999999999996</v>
      </c>
      <c r="J755">
        <v>45129</v>
      </c>
      <c r="K755" t="str">
        <v>North</v>
      </c>
      <c r="L755" t="str">
        <v>Delhi</v>
      </c>
      <c r="M755" t="str">
        <v>New Delhi</v>
      </c>
      <c r="N755" t="str">
        <v>Clothing</v>
      </c>
      <c r="O755">
        <v>5</v>
      </c>
      <c r="P755">
        <v>2463.9499999999998</v>
      </c>
      <c r="Q755">
        <v>12319.75</v>
      </c>
    </row>
    <row r="756" spans="1:17">
      <c r="A756" s="19">
        <v>44950</v>
      </c>
      <c r="B756" t="s">
        <v>1229</v>
      </c>
      <c r="C756" t="s">
        <v>1230</v>
      </c>
      <c r="D756" t="s">
        <v>1248</v>
      </c>
      <c r="E756" t="s">
        <v>1249</v>
      </c>
      <c r="F756" s="10">
        <v>6</v>
      </c>
      <c r="G756" s="10">
        <v>744.85</v>
      </c>
      <c r="H756" s="10">
        <v>4469.1000000000004</v>
      </c>
      <c r="J756">
        <v>44975</v>
      </c>
      <c r="K756" t="str">
        <v>North</v>
      </c>
      <c r="L756" t="str">
        <v>Delhi</v>
      </c>
      <c r="M756" t="str">
        <v>New Delhi</v>
      </c>
      <c r="N756" t="str">
        <v>Clothing</v>
      </c>
      <c r="O756">
        <v>19</v>
      </c>
      <c r="P756">
        <v>609.63</v>
      </c>
      <c r="Q756">
        <v>11582.97</v>
      </c>
    </row>
    <row r="757" spans="1:17">
      <c r="A757" s="19">
        <v>44953</v>
      </c>
      <c r="B757" t="s">
        <v>1229</v>
      </c>
      <c r="C757" t="s">
        <v>1230</v>
      </c>
      <c r="D757" t="s">
        <v>1169</v>
      </c>
      <c r="E757" t="s">
        <v>1249</v>
      </c>
      <c r="F757" s="10">
        <v>5</v>
      </c>
      <c r="G757" s="10">
        <v>879.82</v>
      </c>
      <c r="H757" s="10">
        <v>4399.1000000000004</v>
      </c>
      <c r="J757">
        <v>45143</v>
      </c>
      <c r="K757" t="str">
        <v>North</v>
      </c>
      <c r="L757" t="str">
        <v>Delhi</v>
      </c>
      <c r="M757" t="str">
        <v>New Delhi</v>
      </c>
      <c r="N757" t="str">
        <v>Clothing</v>
      </c>
      <c r="O757">
        <v>3</v>
      </c>
      <c r="P757">
        <v>3366.66</v>
      </c>
      <c r="Q757">
        <v>10099.98</v>
      </c>
    </row>
    <row r="758" spans="1:17">
      <c r="A758" s="19">
        <v>45074</v>
      </c>
      <c r="B758" t="s">
        <v>1229</v>
      </c>
      <c r="C758" t="s">
        <v>1230</v>
      </c>
      <c r="D758" t="s">
        <v>1248</v>
      </c>
      <c r="E758" t="s">
        <v>1249</v>
      </c>
      <c r="F758" s="10">
        <v>5</v>
      </c>
      <c r="G758" s="10">
        <v>877.62</v>
      </c>
      <c r="H758" s="10">
        <v>4388.1000000000004</v>
      </c>
      <c r="J758">
        <v>45282</v>
      </c>
      <c r="K758" t="str">
        <v>North</v>
      </c>
      <c r="L758" t="str">
        <v>Delhi</v>
      </c>
      <c r="M758" t="str">
        <v>New Delhi</v>
      </c>
      <c r="N758" t="str">
        <v>Clothing</v>
      </c>
      <c r="O758">
        <v>12</v>
      </c>
      <c r="P758">
        <v>538.91</v>
      </c>
      <c r="Q758">
        <v>6466.92</v>
      </c>
    </row>
    <row r="759" spans="1:17">
      <c r="A759" s="19">
        <v>44985</v>
      </c>
      <c r="B759" t="s">
        <v>1229</v>
      </c>
      <c r="C759" t="s">
        <v>1237</v>
      </c>
      <c r="D759" t="s">
        <v>1171</v>
      </c>
      <c r="E759" t="s">
        <v>1249</v>
      </c>
      <c r="F759" s="10">
        <v>4</v>
      </c>
      <c r="G759" s="10">
        <v>1080.1600000000001</v>
      </c>
      <c r="H759" s="10">
        <v>4320.6400000000003</v>
      </c>
      <c r="J759">
        <v>45186</v>
      </c>
      <c r="K759" t="str">
        <v>North</v>
      </c>
      <c r="L759" t="str">
        <v>Delhi</v>
      </c>
      <c r="M759" t="str">
        <v>New Delhi</v>
      </c>
      <c r="N759" t="str">
        <v>Clothing</v>
      </c>
      <c r="O759">
        <v>7</v>
      </c>
      <c r="P759">
        <v>252.75</v>
      </c>
      <c r="Q759">
        <v>1769.25</v>
      </c>
    </row>
    <row r="760" spans="1:17">
      <c r="A760" s="19">
        <v>45090</v>
      </c>
      <c r="B760" t="s">
        <v>1229</v>
      </c>
      <c r="C760" t="s">
        <v>1230</v>
      </c>
      <c r="D760" t="s">
        <v>1248</v>
      </c>
      <c r="E760" t="s">
        <v>1249</v>
      </c>
      <c r="F760" s="10">
        <v>14</v>
      </c>
      <c r="G760" s="10">
        <v>298.99</v>
      </c>
      <c r="H760" s="10">
        <v>4185.8599999999997</v>
      </c>
      <c r="J760">
        <v>45008</v>
      </c>
      <c r="K760" t="str">
        <v>North</v>
      </c>
      <c r="L760" t="str">
        <v>Delhi</v>
      </c>
      <c r="M760" t="str">
        <v>New Delhi</v>
      </c>
      <c r="N760" t="str">
        <v>Clothing</v>
      </c>
      <c r="O760">
        <v>2</v>
      </c>
      <c r="P760">
        <v>233.75</v>
      </c>
      <c r="Q760">
        <v>467.5</v>
      </c>
    </row>
    <row r="761" spans="1:17">
      <c r="A761" s="19">
        <v>45209</v>
      </c>
      <c r="B761" t="s">
        <v>1229</v>
      </c>
      <c r="C761" t="s">
        <v>1237</v>
      </c>
      <c r="D761" t="s">
        <v>1171</v>
      </c>
      <c r="E761" t="s">
        <v>1249</v>
      </c>
      <c r="F761" s="10">
        <v>5</v>
      </c>
      <c r="G761" s="10">
        <v>800.88</v>
      </c>
      <c r="H761" s="10">
        <v>4004.4</v>
      </c>
      <c r="J761">
        <v>45267</v>
      </c>
      <c r="K761" t="str">
        <v>North</v>
      </c>
      <c r="L761" t="str">
        <v>Delhi</v>
      </c>
      <c r="M761" t="str">
        <v>New Delhi</v>
      </c>
      <c r="N761" t="str">
        <v>Clothing</v>
      </c>
      <c r="O761">
        <v>3</v>
      </c>
      <c r="P761">
        <v>144.38999999999999</v>
      </c>
      <c r="Q761">
        <v>433.17</v>
      </c>
    </row>
    <row r="762" spans="1:17">
      <c r="A762" s="19">
        <v>45106</v>
      </c>
      <c r="B762" t="s">
        <v>1229</v>
      </c>
      <c r="C762" t="s">
        <v>1230</v>
      </c>
      <c r="D762" t="s">
        <v>1248</v>
      </c>
      <c r="E762" t="s">
        <v>1249</v>
      </c>
      <c r="F762" s="10">
        <v>14</v>
      </c>
      <c r="G762" s="10">
        <v>283.7</v>
      </c>
      <c r="H762" s="10">
        <v>3971.8</v>
      </c>
      <c r="J762">
        <v>45203</v>
      </c>
      <c r="K762" t="str">
        <v>North</v>
      </c>
      <c r="L762" t="str">
        <v>Delhi</v>
      </c>
      <c r="M762" t="str">
        <v>New Delhi</v>
      </c>
      <c r="N762" t="str">
        <v>Electronics</v>
      </c>
      <c r="O762">
        <v>16</v>
      </c>
      <c r="P762">
        <v>4860.07</v>
      </c>
      <c r="Q762">
        <v>77761.119999999995</v>
      </c>
    </row>
    <row r="763" spans="1:17">
      <c r="A763" s="19">
        <v>44966</v>
      </c>
      <c r="B763" t="s">
        <v>1231</v>
      </c>
      <c r="C763" t="s">
        <v>1232</v>
      </c>
      <c r="D763" t="s">
        <v>1240</v>
      </c>
      <c r="E763" t="s">
        <v>1249</v>
      </c>
      <c r="F763" s="10">
        <v>1</v>
      </c>
      <c r="G763" s="10">
        <v>3964.37</v>
      </c>
      <c r="H763" s="10">
        <v>3964.37</v>
      </c>
      <c r="J763">
        <v>45178</v>
      </c>
      <c r="K763" t="str">
        <v>North</v>
      </c>
      <c r="L763" t="str">
        <v>Delhi</v>
      </c>
      <c r="M763" t="str">
        <v>New Delhi</v>
      </c>
      <c r="N763" t="str">
        <v>Electronics</v>
      </c>
      <c r="O763">
        <v>15</v>
      </c>
      <c r="P763">
        <v>4667.42</v>
      </c>
      <c r="Q763">
        <v>70011.3</v>
      </c>
    </row>
    <row r="764" spans="1:17">
      <c r="A764" s="19">
        <v>44997</v>
      </c>
      <c r="B764" t="s">
        <v>1231</v>
      </c>
      <c r="C764" t="s">
        <v>1235</v>
      </c>
      <c r="D764" t="s">
        <v>1238</v>
      </c>
      <c r="E764" t="s">
        <v>1249</v>
      </c>
      <c r="F764" s="10">
        <v>2</v>
      </c>
      <c r="G764" s="10">
        <v>1888.47</v>
      </c>
      <c r="H764" s="10">
        <v>3776.94</v>
      </c>
      <c r="J764">
        <v>44935</v>
      </c>
      <c r="K764" t="str">
        <v>North</v>
      </c>
      <c r="L764" t="str">
        <v>Delhi</v>
      </c>
      <c r="M764" t="str">
        <v>New Delhi</v>
      </c>
      <c r="N764" t="str">
        <v>Electronics</v>
      </c>
      <c r="O764">
        <v>16</v>
      </c>
      <c r="P764">
        <v>3625.28</v>
      </c>
      <c r="Q764">
        <v>58004.480000000003</v>
      </c>
    </row>
    <row r="765" spans="1:17">
      <c r="A765" s="19">
        <v>45107</v>
      </c>
      <c r="B765" t="s">
        <v>1229</v>
      </c>
      <c r="C765" t="s">
        <v>1237</v>
      </c>
      <c r="D765" t="s">
        <v>1173</v>
      </c>
      <c r="E765" t="s">
        <v>1249</v>
      </c>
      <c r="F765" s="10">
        <v>1</v>
      </c>
      <c r="G765" s="10">
        <v>3698.2</v>
      </c>
      <c r="H765" s="10">
        <v>3698.2</v>
      </c>
      <c r="J765">
        <v>45247</v>
      </c>
      <c r="K765" t="str">
        <v>North</v>
      </c>
      <c r="L765" t="str">
        <v>Delhi</v>
      </c>
      <c r="M765" t="str">
        <v>New Delhi</v>
      </c>
      <c r="N765" t="str">
        <v>Electronics</v>
      </c>
      <c r="O765">
        <v>13</v>
      </c>
      <c r="P765">
        <v>4339.46</v>
      </c>
      <c r="Q765">
        <v>56412.98</v>
      </c>
    </row>
    <row r="766" spans="1:17">
      <c r="A766" s="19">
        <v>45010</v>
      </c>
      <c r="B766" t="s">
        <v>1231</v>
      </c>
      <c r="C766" t="s">
        <v>1232</v>
      </c>
      <c r="D766" t="s">
        <v>1240</v>
      </c>
      <c r="E766" t="s">
        <v>1249</v>
      </c>
      <c r="F766" s="10">
        <v>5</v>
      </c>
      <c r="G766" s="10">
        <v>695.3</v>
      </c>
      <c r="H766" s="10">
        <v>3476.5</v>
      </c>
      <c r="J766">
        <v>45198</v>
      </c>
      <c r="K766" t="str">
        <v>North</v>
      </c>
      <c r="L766" t="str">
        <v>Delhi</v>
      </c>
      <c r="M766" t="str">
        <v>New Delhi</v>
      </c>
      <c r="N766" t="str">
        <v>Electronics</v>
      </c>
      <c r="O766">
        <v>13</v>
      </c>
      <c r="P766">
        <v>4084.32</v>
      </c>
      <c r="Q766">
        <v>53096.160000000003</v>
      </c>
    </row>
    <row r="767" spans="1:17">
      <c r="A767" s="19">
        <v>45257</v>
      </c>
      <c r="B767" t="s">
        <v>1229</v>
      </c>
      <c r="C767" t="s">
        <v>1237</v>
      </c>
      <c r="D767" t="s">
        <v>1173</v>
      </c>
      <c r="E767" t="s">
        <v>1249</v>
      </c>
      <c r="F767" s="10">
        <v>1</v>
      </c>
      <c r="G767" s="10">
        <v>3459.33</v>
      </c>
      <c r="H767" s="10">
        <v>3459.33</v>
      </c>
      <c r="J767">
        <v>44950</v>
      </c>
      <c r="K767" t="str">
        <v>North</v>
      </c>
      <c r="L767" t="str">
        <v>Delhi</v>
      </c>
      <c r="M767" t="str">
        <v>New Delhi</v>
      </c>
      <c r="N767" t="str">
        <v>Electronics</v>
      </c>
      <c r="O767">
        <v>8</v>
      </c>
      <c r="P767">
        <v>4986.3100000000004</v>
      </c>
      <c r="Q767">
        <v>39890.480000000003</v>
      </c>
    </row>
    <row r="768" spans="1:17">
      <c r="A768" s="19">
        <v>45022</v>
      </c>
      <c r="B768" t="s">
        <v>1229</v>
      </c>
      <c r="C768" t="s">
        <v>1230</v>
      </c>
      <c r="D768" t="s">
        <v>1169</v>
      </c>
      <c r="E768" t="s">
        <v>1249</v>
      </c>
      <c r="F768" s="10">
        <v>3</v>
      </c>
      <c r="G768" s="10">
        <v>1129.83</v>
      </c>
      <c r="H768" s="10">
        <v>3389.49</v>
      </c>
      <c r="J768">
        <v>45191</v>
      </c>
      <c r="K768" t="str">
        <v>North</v>
      </c>
      <c r="L768" t="str">
        <v>Delhi</v>
      </c>
      <c r="M768" t="str">
        <v>New Delhi</v>
      </c>
      <c r="N768" t="str">
        <v>Electronics</v>
      </c>
      <c r="O768">
        <v>8</v>
      </c>
      <c r="P768">
        <v>4866.58</v>
      </c>
      <c r="Q768">
        <v>38932.639999999999</v>
      </c>
    </row>
    <row r="769" spans="1:17">
      <c r="A769" s="19">
        <v>45161</v>
      </c>
      <c r="B769" t="s">
        <v>1231</v>
      </c>
      <c r="C769" t="s">
        <v>1232</v>
      </c>
      <c r="D769" t="s">
        <v>1240</v>
      </c>
      <c r="E769" t="s">
        <v>1249</v>
      </c>
      <c r="F769" s="10">
        <v>3</v>
      </c>
      <c r="G769" s="10">
        <v>1076.57</v>
      </c>
      <c r="H769" s="10">
        <v>3229.71</v>
      </c>
      <c r="J769">
        <v>45238</v>
      </c>
      <c r="K769" t="str">
        <v>North</v>
      </c>
      <c r="L769" t="str">
        <v>Delhi</v>
      </c>
      <c r="M769" t="str">
        <v>New Delhi</v>
      </c>
      <c r="N769" t="str">
        <v>Electronics</v>
      </c>
      <c r="O769">
        <v>17</v>
      </c>
      <c r="P769">
        <v>2216.38</v>
      </c>
      <c r="Q769">
        <v>37678.46</v>
      </c>
    </row>
    <row r="770" spans="1:17">
      <c r="A770" s="19">
        <v>45275</v>
      </c>
      <c r="B770" t="s">
        <v>1231</v>
      </c>
      <c r="C770" t="s">
        <v>1235</v>
      </c>
      <c r="D770" t="s">
        <v>1236</v>
      </c>
      <c r="E770" t="s">
        <v>1249</v>
      </c>
      <c r="F770" s="10">
        <v>3</v>
      </c>
      <c r="G770" s="10">
        <v>1043.3900000000001</v>
      </c>
      <c r="H770" s="10">
        <v>3130.17</v>
      </c>
      <c r="J770">
        <v>45112</v>
      </c>
      <c r="K770" t="str">
        <v>North</v>
      </c>
      <c r="L770" t="str">
        <v>Delhi</v>
      </c>
      <c r="M770" t="str">
        <v>New Delhi</v>
      </c>
      <c r="N770" t="str">
        <v>Electronics</v>
      </c>
      <c r="O770">
        <v>10</v>
      </c>
      <c r="P770">
        <v>3411.13</v>
      </c>
      <c r="Q770">
        <v>34111.300000000003</v>
      </c>
    </row>
    <row r="771" spans="1:17">
      <c r="A771" s="19">
        <v>45004</v>
      </c>
      <c r="B771" t="s">
        <v>1231</v>
      </c>
      <c r="C771" t="s">
        <v>1232</v>
      </c>
      <c r="D771" t="s">
        <v>1234</v>
      </c>
      <c r="E771" t="s">
        <v>1249</v>
      </c>
      <c r="F771" s="10">
        <v>6</v>
      </c>
      <c r="G771" s="10">
        <v>484.95</v>
      </c>
      <c r="H771" s="10">
        <v>2909.7</v>
      </c>
      <c r="J771">
        <v>45238</v>
      </c>
      <c r="K771" t="str">
        <v>North</v>
      </c>
      <c r="L771" t="str">
        <v>Delhi</v>
      </c>
      <c r="M771" t="str">
        <v>New Delhi</v>
      </c>
      <c r="N771" t="str">
        <v>Electronics</v>
      </c>
      <c r="O771">
        <v>15</v>
      </c>
      <c r="P771">
        <v>1543.85</v>
      </c>
      <c r="Q771">
        <v>23157.75</v>
      </c>
    </row>
    <row r="772" spans="1:17">
      <c r="A772" s="19">
        <v>45019</v>
      </c>
      <c r="B772" t="s">
        <v>1242</v>
      </c>
      <c r="C772" t="s">
        <v>1243</v>
      </c>
      <c r="D772" t="s">
        <v>1244</v>
      </c>
      <c r="E772" t="s">
        <v>1249</v>
      </c>
      <c r="F772" s="10">
        <v>8</v>
      </c>
      <c r="G772" s="10">
        <v>315</v>
      </c>
      <c r="H772" s="10">
        <v>2520</v>
      </c>
      <c r="J772">
        <v>45117</v>
      </c>
      <c r="K772" t="str">
        <v>North</v>
      </c>
      <c r="L772" t="str">
        <v>Delhi</v>
      </c>
      <c r="M772" t="str">
        <v>New Delhi</v>
      </c>
      <c r="N772" t="str">
        <v>Electronics</v>
      </c>
      <c r="O772">
        <v>8</v>
      </c>
      <c r="P772">
        <v>2606.36</v>
      </c>
      <c r="Q772">
        <v>20850.88</v>
      </c>
    </row>
    <row r="773" spans="1:17">
      <c r="A773" s="19">
        <v>45044</v>
      </c>
      <c r="B773" t="s">
        <v>1242</v>
      </c>
      <c r="C773" t="s">
        <v>1243</v>
      </c>
      <c r="D773" t="s">
        <v>1244</v>
      </c>
      <c r="E773" t="s">
        <v>1249</v>
      </c>
      <c r="F773" s="10">
        <v>5</v>
      </c>
      <c r="G773" s="10">
        <v>438.69</v>
      </c>
      <c r="H773" s="10">
        <v>2193.4499999999998</v>
      </c>
      <c r="J773">
        <v>45121</v>
      </c>
      <c r="K773" t="str">
        <v>North</v>
      </c>
      <c r="L773" t="str">
        <v>Delhi</v>
      </c>
      <c r="M773" t="str">
        <v>New Delhi</v>
      </c>
      <c r="N773" t="str">
        <v>Electronics</v>
      </c>
      <c r="O773">
        <v>16</v>
      </c>
      <c r="P773">
        <v>1192.3800000000001</v>
      </c>
      <c r="Q773">
        <v>19078.080000000002</v>
      </c>
    </row>
    <row r="774" spans="1:17">
      <c r="A774" s="19">
        <v>45226</v>
      </c>
      <c r="B774" t="s">
        <v>1229</v>
      </c>
      <c r="C774" t="s">
        <v>1237</v>
      </c>
      <c r="D774" t="s">
        <v>1173</v>
      </c>
      <c r="E774" t="s">
        <v>1249</v>
      </c>
      <c r="F774" s="10">
        <v>1</v>
      </c>
      <c r="G774" s="10">
        <v>1999.98</v>
      </c>
      <c r="H774" s="10">
        <v>1999.98</v>
      </c>
      <c r="J774">
        <v>44945</v>
      </c>
      <c r="K774" t="str">
        <v>North</v>
      </c>
      <c r="L774" t="str">
        <v>Delhi</v>
      </c>
      <c r="M774" t="str">
        <v>New Delhi</v>
      </c>
      <c r="N774" t="str">
        <v>Electronics</v>
      </c>
      <c r="O774">
        <v>8</v>
      </c>
      <c r="P774">
        <v>2019.04</v>
      </c>
      <c r="Q774">
        <v>16152.32</v>
      </c>
    </row>
    <row r="775" spans="1:17">
      <c r="A775" s="19">
        <v>45184</v>
      </c>
      <c r="B775" t="s">
        <v>1242</v>
      </c>
      <c r="C775" t="s">
        <v>1243</v>
      </c>
      <c r="D775" t="s">
        <v>1247</v>
      </c>
      <c r="E775" t="s">
        <v>1249</v>
      </c>
      <c r="F775" s="10">
        <v>1</v>
      </c>
      <c r="G775" s="10">
        <v>1981.82</v>
      </c>
      <c r="H775" s="10">
        <v>1981.82</v>
      </c>
      <c r="J775">
        <v>45015</v>
      </c>
      <c r="K775" t="str">
        <v>North</v>
      </c>
      <c r="L775" t="str">
        <v>Delhi</v>
      </c>
      <c r="M775" t="str">
        <v>New Delhi</v>
      </c>
      <c r="N775" t="str">
        <v>Electronics</v>
      </c>
      <c r="O775">
        <v>3</v>
      </c>
      <c r="P775">
        <v>4608.8900000000003</v>
      </c>
      <c r="Q775">
        <v>13826.67</v>
      </c>
    </row>
    <row r="776" spans="1:17">
      <c r="A776" s="19">
        <v>45016</v>
      </c>
      <c r="B776" t="s">
        <v>1229</v>
      </c>
      <c r="C776" t="s">
        <v>1237</v>
      </c>
      <c r="D776" t="s">
        <v>1173</v>
      </c>
      <c r="E776" t="s">
        <v>1249</v>
      </c>
      <c r="F776" s="10">
        <v>1</v>
      </c>
      <c r="G776" s="10">
        <v>1889.5</v>
      </c>
      <c r="H776" s="10">
        <v>1889.5</v>
      </c>
      <c r="J776">
        <v>44995</v>
      </c>
      <c r="K776" t="str">
        <v>North</v>
      </c>
      <c r="L776" t="str">
        <v>Delhi</v>
      </c>
      <c r="M776" t="str">
        <v>New Delhi</v>
      </c>
      <c r="N776" t="str">
        <v>Electronics</v>
      </c>
      <c r="O776">
        <v>3</v>
      </c>
      <c r="P776">
        <v>4229.84</v>
      </c>
      <c r="Q776">
        <v>12689.52</v>
      </c>
    </row>
    <row r="777" spans="1:17">
      <c r="A777" s="19">
        <v>45010</v>
      </c>
      <c r="B777" t="s">
        <v>1242</v>
      </c>
      <c r="C777" t="s">
        <v>1243</v>
      </c>
      <c r="D777" t="s">
        <v>1245</v>
      </c>
      <c r="E777" t="s">
        <v>1249</v>
      </c>
      <c r="F777" s="10">
        <v>4</v>
      </c>
      <c r="G777" s="10">
        <v>431.75</v>
      </c>
      <c r="H777" s="10">
        <v>1727</v>
      </c>
      <c r="J777">
        <v>45026</v>
      </c>
      <c r="K777" t="str">
        <v>North</v>
      </c>
      <c r="L777" t="str">
        <v>Delhi</v>
      </c>
      <c r="M777" t="str">
        <v>New Delhi</v>
      </c>
      <c r="N777" t="str">
        <v>Electronics</v>
      </c>
      <c r="O777">
        <v>3</v>
      </c>
      <c r="P777">
        <v>4201.09</v>
      </c>
      <c r="Q777">
        <v>12603.27</v>
      </c>
    </row>
    <row r="778" spans="1:17">
      <c r="A778" s="19">
        <v>45071</v>
      </c>
      <c r="B778" t="s">
        <v>1231</v>
      </c>
      <c r="C778" t="s">
        <v>1232</v>
      </c>
      <c r="D778" t="s">
        <v>1240</v>
      </c>
      <c r="E778" t="s">
        <v>1249</v>
      </c>
      <c r="F778" s="10">
        <v>4</v>
      </c>
      <c r="G778" s="10">
        <v>430.91</v>
      </c>
      <c r="H778" s="10">
        <v>1723.64</v>
      </c>
      <c r="J778">
        <v>45205</v>
      </c>
      <c r="K778" t="str">
        <v>North</v>
      </c>
      <c r="L778" t="str">
        <v>Delhi</v>
      </c>
      <c r="M778" t="str">
        <v>New Delhi</v>
      </c>
      <c r="N778" t="str">
        <v>Electronics</v>
      </c>
      <c r="O778">
        <v>4</v>
      </c>
      <c r="P778">
        <v>1147.06</v>
      </c>
      <c r="Q778">
        <v>4588.24</v>
      </c>
    </row>
    <row r="779" spans="1:17">
      <c r="A779" s="19">
        <v>45168</v>
      </c>
      <c r="B779" t="s">
        <v>1242</v>
      </c>
      <c r="C779" t="s">
        <v>1243</v>
      </c>
      <c r="D779" t="s">
        <v>1245</v>
      </c>
      <c r="E779" t="s">
        <v>1249</v>
      </c>
      <c r="F779" s="10">
        <v>5</v>
      </c>
      <c r="G779" s="10">
        <v>334.29</v>
      </c>
      <c r="H779" s="10">
        <v>1671.45</v>
      </c>
      <c r="J779">
        <v>45070</v>
      </c>
      <c r="K779" t="str">
        <v>North</v>
      </c>
      <c r="L779" t="str">
        <v>Delhi</v>
      </c>
      <c r="M779" t="str">
        <v>New Delhi</v>
      </c>
      <c r="N779" t="str">
        <v>Electronics</v>
      </c>
      <c r="O779">
        <v>4</v>
      </c>
      <c r="P779">
        <v>1020.23</v>
      </c>
      <c r="Q779">
        <v>4080.92</v>
      </c>
    </row>
    <row r="780" spans="1:17">
      <c r="A780" s="19">
        <v>44932</v>
      </c>
      <c r="B780" t="s">
        <v>1231</v>
      </c>
      <c r="C780" t="s">
        <v>1232</v>
      </c>
      <c r="D780" t="s">
        <v>1233</v>
      </c>
      <c r="E780" t="s">
        <v>1249</v>
      </c>
      <c r="F780" s="10">
        <v>2</v>
      </c>
      <c r="G780" s="10">
        <v>779.35</v>
      </c>
      <c r="H780" s="10">
        <v>1558.7</v>
      </c>
      <c r="J780">
        <v>45013</v>
      </c>
      <c r="K780" t="str">
        <v>North</v>
      </c>
      <c r="L780" t="str">
        <v>Delhi</v>
      </c>
      <c r="M780" t="str">
        <v>New Delhi</v>
      </c>
      <c r="N780" t="str">
        <v>Electronics</v>
      </c>
      <c r="O780">
        <v>1</v>
      </c>
      <c r="P780">
        <v>1967.8</v>
      </c>
      <c r="Q780">
        <v>1967.8</v>
      </c>
    </row>
    <row r="781" spans="1:17">
      <c r="A781" s="19">
        <v>45206</v>
      </c>
      <c r="B781" t="s">
        <v>1229</v>
      </c>
      <c r="C781" t="s">
        <v>1230</v>
      </c>
      <c r="D781" t="s">
        <v>1248</v>
      </c>
      <c r="E781" t="s">
        <v>1249</v>
      </c>
      <c r="F781" s="10">
        <v>1</v>
      </c>
      <c r="G781" s="10">
        <v>1286.1099999999999</v>
      </c>
      <c r="H781" s="10">
        <v>1286.1099999999999</v>
      </c>
      <c r="J781">
        <v>45097</v>
      </c>
      <c r="K781" t="str">
        <v>North</v>
      </c>
      <c r="L781" t="str">
        <v>Delhi</v>
      </c>
      <c r="M781" t="str">
        <v>New Delhi</v>
      </c>
      <c r="N781" t="str">
        <v>Furniture</v>
      </c>
      <c r="O781">
        <v>20</v>
      </c>
      <c r="P781">
        <v>4035.61</v>
      </c>
      <c r="Q781">
        <v>80712.2</v>
      </c>
    </row>
    <row r="782" spans="1:17">
      <c r="A782" s="19">
        <v>45228</v>
      </c>
      <c r="B782" t="s">
        <v>1231</v>
      </c>
      <c r="C782" t="s">
        <v>1232</v>
      </c>
      <c r="D782" t="s">
        <v>1240</v>
      </c>
      <c r="E782" t="s">
        <v>1249</v>
      </c>
      <c r="F782" s="10">
        <v>1</v>
      </c>
      <c r="G782" s="10">
        <v>1239.25</v>
      </c>
      <c r="H782" s="10">
        <v>1239.25</v>
      </c>
      <c r="J782">
        <v>45127</v>
      </c>
      <c r="K782" t="str">
        <v>North</v>
      </c>
      <c r="L782" t="str">
        <v>Delhi</v>
      </c>
      <c r="M782" t="str">
        <v>New Delhi</v>
      </c>
      <c r="N782" t="str">
        <v>Furniture</v>
      </c>
      <c r="O782">
        <v>17</v>
      </c>
      <c r="P782">
        <v>4502.3900000000003</v>
      </c>
      <c r="Q782">
        <v>76540.63</v>
      </c>
    </row>
    <row r="783" spans="1:17">
      <c r="A783" s="19">
        <v>45156</v>
      </c>
      <c r="B783" t="s">
        <v>1231</v>
      </c>
      <c r="C783" t="s">
        <v>1232</v>
      </c>
      <c r="D783" t="s">
        <v>1233</v>
      </c>
      <c r="E783" t="s">
        <v>1249</v>
      </c>
      <c r="F783" s="10">
        <v>1</v>
      </c>
      <c r="G783" s="10">
        <v>1094.8800000000001</v>
      </c>
      <c r="H783" s="10">
        <v>1094.8800000000001</v>
      </c>
      <c r="J783">
        <v>45105</v>
      </c>
      <c r="K783" t="str">
        <v>North</v>
      </c>
      <c r="L783" t="str">
        <v>Delhi</v>
      </c>
      <c r="M783" t="str">
        <v>New Delhi</v>
      </c>
      <c r="N783" t="str">
        <v>Furniture</v>
      </c>
      <c r="O783">
        <v>16</v>
      </c>
      <c r="P783">
        <v>4364.8999999999996</v>
      </c>
      <c r="Q783">
        <v>69838.399999999994</v>
      </c>
    </row>
    <row r="784" spans="1:17">
      <c r="A784" s="19">
        <v>45097</v>
      </c>
      <c r="B784" t="s">
        <v>1242</v>
      </c>
      <c r="C784" t="s">
        <v>1243</v>
      </c>
      <c r="D784" t="s">
        <v>1245</v>
      </c>
      <c r="E784" t="s">
        <v>1249</v>
      </c>
      <c r="F784" s="10">
        <v>1</v>
      </c>
      <c r="G784" s="10">
        <v>840.65</v>
      </c>
      <c r="H784" s="10">
        <v>840.65</v>
      </c>
      <c r="J784">
        <v>45177</v>
      </c>
      <c r="K784" t="str">
        <v>North</v>
      </c>
      <c r="L784" t="str">
        <v>Delhi</v>
      </c>
      <c r="M784" t="str">
        <v>New Delhi</v>
      </c>
      <c r="N784" t="str">
        <v>Furniture</v>
      </c>
      <c r="O784">
        <v>17</v>
      </c>
      <c r="P784">
        <v>4033.84</v>
      </c>
      <c r="Q784">
        <v>68575.28</v>
      </c>
    </row>
    <row r="785" spans="1:17">
      <c r="A785" s="19">
        <v>45028</v>
      </c>
      <c r="B785" t="s">
        <v>1242</v>
      </c>
      <c r="C785" t="s">
        <v>1243</v>
      </c>
      <c r="D785" t="s">
        <v>1245</v>
      </c>
      <c r="E785" t="s">
        <v>1249</v>
      </c>
      <c r="F785" s="10">
        <v>5</v>
      </c>
      <c r="G785" s="10">
        <v>143.78</v>
      </c>
      <c r="H785" s="10">
        <v>718.9</v>
      </c>
      <c r="J785">
        <v>45092</v>
      </c>
      <c r="K785" t="str">
        <v>North</v>
      </c>
      <c r="L785" t="str">
        <v>Delhi</v>
      </c>
      <c r="M785" t="str">
        <v>New Delhi</v>
      </c>
      <c r="N785" t="str">
        <v>Furniture</v>
      </c>
      <c r="O785">
        <v>15</v>
      </c>
      <c r="P785">
        <v>3218.59</v>
      </c>
      <c r="Q785">
        <v>48278.85</v>
      </c>
    </row>
    <row r="786" spans="1:17">
      <c r="A786" s="19">
        <v>44976</v>
      </c>
      <c r="B786" t="s">
        <v>1229</v>
      </c>
      <c r="C786" t="s">
        <v>1230</v>
      </c>
      <c r="D786" t="s">
        <v>1248</v>
      </c>
      <c r="E786" t="s">
        <v>1249</v>
      </c>
      <c r="F786" s="10">
        <v>1</v>
      </c>
      <c r="G786" s="10">
        <v>302.02</v>
      </c>
      <c r="H786" s="10">
        <v>302.02</v>
      </c>
      <c r="J786">
        <v>45275</v>
      </c>
      <c r="K786" t="str">
        <v>North</v>
      </c>
      <c r="L786" t="str">
        <v>Delhi</v>
      </c>
      <c r="M786" t="str">
        <v>New Delhi</v>
      </c>
      <c r="N786" t="str">
        <v>Furniture</v>
      </c>
      <c r="O786">
        <v>13</v>
      </c>
      <c r="P786">
        <v>3069.28</v>
      </c>
      <c r="Q786">
        <v>39900.639999999999</v>
      </c>
    </row>
    <row r="787" spans="1:17">
      <c r="A787" s="19">
        <v>44949</v>
      </c>
      <c r="B787" t="s">
        <v>1231</v>
      </c>
      <c r="C787" t="s">
        <v>1232</v>
      </c>
      <c r="D787" t="s">
        <v>1233</v>
      </c>
      <c r="E787" t="s">
        <v>1249</v>
      </c>
      <c r="F787" s="10">
        <v>1</v>
      </c>
      <c r="G787" s="10">
        <v>267.32</v>
      </c>
      <c r="H787" s="10">
        <v>267.32</v>
      </c>
      <c r="J787">
        <v>45225</v>
      </c>
      <c r="K787" t="str">
        <v>North</v>
      </c>
      <c r="L787" t="str">
        <v>Delhi</v>
      </c>
      <c r="M787" t="str">
        <v>New Delhi</v>
      </c>
      <c r="N787" t="str">
        <v>Furniture</v>
      </c>
      <c r="O787">
        <v>16</v>
      </c>
      <c r="P787">
        <v>2178.7800000000002</v>
      </c>
      <c r="Q787">
        <v>34860.480000000003</v>
      </c>
    </row>
    <row r="788" spans="1:17">
      <c r="A788" s="19">
        <v>44956</v>
      </c>
      <c r="B788" t="s">
        <v>1229</v>
      </c>
      <c r="C788" t="s">
        <v>1230</v>
      </c>
      <c r="D788" t="s">
        <v>1248</v>
      </c>
      <c r="E788" t="s">
        <v>145</v>
      </c>
      <c r="F788" s="10">
        <v>19</v>
      </c>
      <c r="G788" s="10">
        <v>4920.4399999999996</v>
      </c>
      <c r="H788" s="10">
        <v>93488.36</v>
      </c>
      <c r="J788">
        <v>45230</v>
      </c>
      <c r="K788" t="str">
        <v>North</v>
      </c>
      <c r="L788" t="str">
        <v>Delhi</v>
      </c>
      <c r="M788" t="str">
        <v>New Delhi</v>
      </c>
      <c r="N788" t="str">
        <v>Furniture</v>
      </c>
      <c r="O788">
        <v>14</v>
      </c>
      <c r="P788">
        <v>1598.93</v>
      </c>
      <c r="Q788">
        <v>22385.02</v>
      </c>
    </row>
    <row r="789" spans="1:17">
      <c r="A789" s="19">
        <v>45224</v>
      </c>
      <c r="B789" t="s">
        <v>1231</v>
      </c>
      <c r="C789" t="s">
        <v>1235</v>
      </c>
      <c r="D789" t="s">
        <v>1238</v>
      </c>
      <c r="E789" t="s">
        <v>145</v>
      </c>
      <c r="F789" s="10">
        <v>18</v>
      </c>
      <c r="G789" s="10">
        <v>4888.0200000000004</v>
      </c>
      <c r="H789" s="10">
        <v>87984.36</v>
      </c>
      <c r="J789">
        <v>44943</v>
      </c>
      <c r="K789" t="str">
        <v>North</v>
      </c>
      <c r="L789" t="str">
        <v>Delhi</v>
      </c>
      <c r="M789" t="str">
        <v>New Delhi</v>
      </c>
      <c r="N789" t="str">
        <v>Furniture</v>
      </c>
      <c r="O789">
        <v>6</v>
      </c>
      <c r="P789">
        <v>3671.84</v>
      </c>
      <c r="Q789">
        <v>22031.040000000001</v>
      </c>
    </row>
    <row r="790" spans="1:17">
      <c r="A790" s="19">
        <v>45154</v>
      </c>
      <c r="B790" t="s">
        <v>1229</v>
      </c>
      <c r="C790" t="s">
        <v>1230</v>
      </c>
      <c r="D790" t="s">
        <v>1248</v>
      </c>
      <c r="E790" t="s">
        <v>145</v>
      </c>
      <c r="F790" s="10">
        <v>18</v>
      </c>
      <c r="G790" s="10">
        <v>4862.63</v>
      </c>
      <c r="H790" s="10">
        <v>87527.34</v>
      </c>
      <c r="J790">
        <v>44980</v>
      </c>
      <c r="K790" t="str">
        <v>North</v>
      </c>
      <c r="L790" t="str">
        <v>Delhi</v>
      </c>
      <c r="M790" t="str">
        <v>New Delhi</v>
      </c>
      <c r="N790" t="str">
        <v>Furniture</v>
      </c>
      <c r="O790">
        <v>5</v>
      </c>
      <c r="P790">
        <v>3404.87</v>
      </c>
      <c r="Q790">
        <v>17024.349999999999</v>
      </c>
    </row>
    <row r="791" spans="1:17">
      <c r="A791" s="19">
        <v>45052</v>
      </c>
      <c r="B791" t="s">
        <v>1242</v>
      </c>
      <c r="C791" t="s">
        <v>1243</v>
      </c>
      <c r="D791" t="s">
        <v>1245</v>
      </c>
      <c r="E791" t="s">
        <v>145</v>
      </c>
      <c r="F791" s="10">
        <v>18</v>
      </c>
      <c r="G791" s="10">
        <v>4861.3100000000004</v>
      </c>
      <c r="H791" s="10">
        <v>87503.58</v>
      </c>
      <c r="J791">
        <v>45089</v>
      </c>
      <c r="K791" t="str">
        <v>North</v>
      </c>
      <c r="L791" t="str">
        <v>Delhi</v>
      </c>
      <c r="M791" t="str">
        <v>New Delhi</v>
      </c>
      <c r="N791" t="str">
        <v>Furniture</v>
      </c>
      <c r="O791">
        <v>12</v>
      </c>
      <c r="P791">
        <v>1377.41</v>
      </c>
      <c r="Q791">
        <v>16528.919999999998</v>
      </c>
    </row>
    <row r="792" spans="1:17">
      <c r="A792" s="19">
        <v>44939</v>
      </c>
      <c r="B792" t="s">
        <v>1229</v>
      </c>
      <c r="C792" t="s">
        <v>1237</v>
      </c>
      <c r="D792" t="s">
        <v>1173</v>
      </c>
      <c r="E792" t="s">
        <v>145</v>
      </c>
      <c r="F792" s="10">
        <v>18</v>
      </c>
      <c r="G792" s="10">
        <v>4721.4399999999996</v>
      </c>
      <c r="H792" s="10">
        <v>84985.919999999998</v>
      </c>
      <c r="J792">
        <v>45274</v>
      </c>
      <c r="K792" t="str">
        <v>North</v>
      </c>
      <c r="L792" t="str">
        <v>Delhi</v>
      </c>
      <c r="M792" t="str">
        <v>New Delhi</v>
      </c>
      <c r="N792" t="str">
        <v>Furniture</v>
      </c>
      <c r="O792">
        <v>5</v>
      </c>
      <c r="P792">
        <v>2957.2</v>
      </c>
      <c r="Q792">
        <v>14786</v>
      </c>
    </row>
    <row r="793" spans="1:17">
      <c r="A793" s="19">
        <v>45105</v>
      </c>
      <c r="B793" t="s">
        <v>1229</v>
      </c>
      <c r="C793" t="s">
        <v>1237</v>
      </c>
      <c r="D793" t="s">
        <v>1239</v>
      </c>
      <c r="E793" t="s">
        <v>145</v>
      </c>
      <c r="F793" s="10">
        <v>17</v>
      </c>
      <c r="G793" s="10">
        <v>4982.8100000000004</v>
      </c>
      <c r="H793" s="10">
        <v>84707.77</v>
      </c>
      <c r="J793">
        <v>45127</v>
      </c>
      <c r="K793" t="str">
        <v>North</v>
      </c>
      <c r="L793" t="str">
        <v>Delhi</v>
      </c>
      <c r="M793" t="str">
        <v>New Delhi</v>
      </c>
      <c r="N793" t="str">
        <v>Furniture</v>
      </c>
      <c r="O793">
        <v>17</v>
      </c>
      <c r="P793">
        <v>758.19</v>
      </c>
      <c r="Q793">
        <v>12889.23</v>
      </c>
    </row>
    <row r="794" spans="1:17">
      <c r="A794" s="19">
        <v>45140</v>
      </c>
      <c r="B794" t="s">
        <v>1229</v>
      </c>
      <c r="C794" t="s">
        <v>1230</v>
      </c>
      <c r="D794" t="s">
        <v>1248</v>
      </c>
      <c r="E794" t="s">
        <v>145</v>
      </c>
      <c r="F794" s="10">
        <v>17</v>
      </c>
      <c r="G794" s="10">
        <v>4953.04</v>
      </c>
      <c r="H794" s="10">
        <v>84201.68</v>
      </c>
      <c r="J794">
        <v>45244</v>
      </c>
      <c r="K794" t="str">
        <v>North</v>
      </c>
      <c r="L794" t="str">
        <v>Delhi</v>
      </c>
      <c r="M794" t="str">
        <v>New Delhi</v>
      </c>
      <c r="N794" t="str">
        <v>Furniture</v>
      </c>
      <c r="O794">
        <v>5</v>
      </c>
      <c r="P794">
        <v>2423.83</v>
      </c>
      <c r="Q794">
        <v>12119.15</v>
      </c>
    </row>
    <row r="795" spans="1:17">
      <c r="A795" s="19">
        <v>45006</v>
      </c>
      <c r="B795" t="s">
        <v>1229</v>
      </c>
      <c r="C795" t="s">
        <v>1237</v>
      </c>
      <c r="D795" t="s">
        <v>1173</v>
      </c>
      <c r="E795" t="s">
        <v>145</v>
      </c>
      <c r="F795" s="10">
        <v>19</v>
      </c>
      <c r="G795" s="10">
        <v>4229.42</v>
      </c>
      <c r="H795" s="10">
        <v>80358.98</v>
      </c>
      <c r="J795">
        <v>44947</v>
      </c>
      <c r="K795" t="str">
        <v>North</v>
      </c>
      <c r="L795" t="str">
        <v>Delhi</v>
      </c>
      <c r="M795" t="str">
        <v>New Delhi</v>
      </c>
      <c r="N795" t="str">
        <v>Furniture</v>
      </c>
      <c r="O795">
        <v>6</v>
      </c>
      <c r="P795">
        <v>863.69</v>
      </c>
      <c r="Q795">
        <v>5182.1400000000003</v>
      </c>
    </row>
    <row r="796" spans="1:17">
      <c r="A796" s="19">
        <v>44999</v>
      </c>
      <c r="B796" t="s">
        <v>1231</v>
      </c>
      <c r="C796" t="s">
        <v>1232</v>
      </c>
      <c r="D796" t="s">
        <v>1234</v>
      </c>
      <c r="E796" t="s">
        <v>145</v>
      </c>
      <c r="F796" s="10">
        <v>19</v>
      </c>
      <c r="G796" s="10">
        <v>4134.01</v>
      </c>
      <c r="H796" s="10">
        <v>78546.19</v>
      </c>
      <c r="J796">
        <v>45250</v>
      </c>
      <c r="K796" t="str">
        <v>North</v>
      </c>
      <c r="L796" t="str">
        <v>Delhi</v>
      </c>
      <c r="M796" t="str">
        <v>New Delhi</v>
      </c>
      <c r="N796" t="str">
        <v>Furniture</v>
      </c>
      <c r="O796">
        <v>4</v>
      </c>
      <c r="P796">
        <v>961.38</v>
      </c>
      <c r="Q796">
        <v>3845.52</v>
      </c>
    </row>
    <row r="797" spans="1:17">
      <c r="A797" s="19">
        <v>45112</v>
      </c>
      <c r="B797" t="s">
        <v>1229</v>
      </c>
      <c r="C797" t="s">
        <v>1230</v>
      </c>
      <c r="D797" t="s">
        <v>1248</v>
      </c>
      <c r="E797" t="s">
        <v>145</v>
      </c>
      <c r="F797" s="10">
        <v>17</v>
      </c>
      <c r="G797" s="10">
        <v>4427.79</v>
      </c>
      <c r="H797" s="10">
        <v>75272.429999999993</v>
      </c>
      <c r="J797">
        <v>45028</v>
      </c>
      <c r="K797" t="str">
        <v>North</v>
      </c>
      <c r="L797" t="str">
        <v>Delhi</v>
      </c>
      <c r="M797" t="str">
        <v>New Delhi</v>
      </c>
      <c r="N797" t="str">
        <v>Furniture</v>
      </c>
      <c r="O797">
        <v>1</v>
      </c>
      <c r="P797">
        <v>1410.8</v>
      </c>
      <c r="Q797">
        <v>1410.8</v>
      </c>
    </row>
    <row r="798" spans="1:17">
      <c r="A798" s="19">
        <v>45029</v>
      </c>
      <c r="B798" t="s">
        <v>1229</v>
      </c>
      <c r="C798" t="s">
        <v>1237</v>
      </c>
      <c r="D798" t="s">
        <v>1173</v>
      </c>
      <c r="E798" t="s">
        <v>145</v>
      </c>
      <c r="F798" s="10">
        <v>19</v>
      </c>
      <c r="G798" s="10">
        <v>3927.27</v>
      </c>
      <c r="H798" s="10">
        <v>74618.13</v>
      </c>
      <c r="J798">
        <v>45231</v>
      </c>
      <c r="K798" t="str">
        <v>North</v>
      </c>
      <c r="L798" t="str">
        <v>Delhi</v>
      </c>
      <c r="M798" t="str">
        <v>New Delhi</v>
      </c>
      <c r="N798" t="str">
        <v>Groceries</v>
      </c>
      <c r="O798">
        <v>18</v>
      </c>
      <c r="P798">
        <v>4059.82</v>
      </c>
      <c r="Q798">
        <v>73076.759999999995</v>
      </c>
    </row>
    <row r="799" spans="1:17">
      <c r="A799" s="19">
        <v>45086</v>
      </c>
      <c r="B799" t="s">
        <v>1231</v>
      </c>
      <c r="C799" t="s">
        <v>1232</v>
      </c>
      <c r="D799" t="s">
        <v>1233</v>
      </c>
      <c r="E799" t="s">
        <v>145</v>
      </c>
      <c r="F799" s="10">
        <v>18</v>
      </c>
      <c r="G799" s="10">
        <v>4103.6099999999997</v>
      </c>
      <c r="H799" s="10">
        <v>73864.98</v>
      </c>
      <c r="J799">
        <v>45213</v>
      </c>
      <c r="K799" t="str">
        <v>North</v>
      </c>
      <c r="L799" t="str">
        <v>Delhi</v>
      </c>
      <c r="M799" t="str">
        <v>New Delhi</v>
      </c>
      <c r="N799" t="str">
        <v>Groceries</v>
      </c>
      <c r="O799">
        <v>14</v>
      </c>
      <c r="P799">
        <v>4457.21</v>
      </c>
      <c r="Q799">
        <v>62400.94</v>
      </c>
    </row>
    <row r="800" spans="1:17">
      <c r="A800" s="19">
        <v>45042</v>
      </c>
      <c r="B800" t="s">
        <v>1229</v>
      </c>
      <c r="C800" t="s">
        <v>1237</v>
      </c>
      <c r="D800" t="s">
        <v>1239</v>
      </c>
      <c r="E800" t="s">
        <v>145</v>
      </c>
      <c r="F800" s="10">
        <v>18</v>
      </c>
      <c r="G800" s="10">
        <v>4022.66</v>
      </c>
      <c r="H800" s="10">
        <v>72407.88</v>
      </c>
      <c r="J800">
        <v>45059</v>
      </c>
      <c r="K800" t="str">
        <v>North</v>
      </c>
      <c r="L800" t="str">
        <v>Delhi</v>
      </c>
      <c r="M800" t="str">
        <v>New Delhi</v>
      </c>
      <c r="N800" t="str">
        <v>Groceries</v>
      </c>
      <c r="O800">
        <v>10</v>
      </c>
      <c r="P800">
        <v>4092.05</v>
      </c>
      <c r="Q800">
        <v>40920.5</v>
      </c>
    </row>
    <row r="801" spans="1:17">
      <c r="A801" s="19">
        <v>45001</v>
      </c>
      <c r="B801" t="s">
        <v>1231</v>
      </c>
      <c r="C801" t="s">
        <v>1232</v>
      </c>
      <c r="D801" t="s">
        <v>1240</v>
      </c>
      <c r="E801" t="s">
        <v>145</v>
      </c>
      <c r="F801" s="10">
        <v>15</v>
      </c>
      <c r="G801" s="10">
        <v>4724.91</v>
      </c>
      <c r="H801" s="10">
        <v>70873.649999999994</v>
      </c>
      <c r="J801">
        <v>45195</v>
      </c>
      <c r="K801" t="str">
        <v>North</v>
      </c>
      <c r="L801" t="str">
        <v>Delhi</v>
      </c>
      <c r="M801" t="str">
        <v>New Delhi</v>
      </c>
      <c r="N801" t="str">
        <v>Groceries</v>
      </c>
      <c r="O801">
        <v>9</v>
      </c>
      <c r="P801">
        <v>3458</v>
      </c>
      <c r="Q801">
        <v>31122</v>
      </c>
    </row>
    <row r="802" spans="1:17">
      <c r="A802" s="19">
        <v>44934</v>
      </c>
      <c r="B802" t="s">
        <v>1229</v>
      </c>
      <c r="C802" t="s">
        <v>1230</v>
      </c>
      <c r="D802" t="s">
        <v>1248</v>
      </c>
      <c r="E802" t="s">
        <v>145</v>
      </c>
      <c r="F802" s="10">
        <v>17</v>
      </c>
      <c r="G802" s="10">
        <v>4136.3100000000004</v>
      </c>
      <c r="H802" s="10">
        <v>70317.27</v>
      </c>
      <c r="J802">
        <v>44978</v>
      </c>
      <c r="K802" t="str">
        <v>North</v>
      </c>
      <c r="L802" t="str">
        <v>Delhi</v>
      </c>
      <c r="M802" t="str">
        <v>New Delhi</v>
      </c>
      <c r="N802" t="str">
        <v>Groceries</v>
      </c>
      <c r="O802">
        <v>6</v>
      </c>
      <c r="P802">
        <v>4219.6099999999997</v>
      </c>
      <c r="Q802">
        <v>25317.66</v>
      </c>
    </row>
    <row r="803" spans="1:17">
      <c r="A803" s="19">
        <v>45209</v>
      </c>
      <c r="B803" t="s">
        <v>1229</v>
      </c>
      <c r="C803" t="s">
        <v>1237</v>
      </c>
      <c r="D803" t="s">
        <v>1171</v>
      </c>
      <c r="E803" t="s">
        <v>145</v>
      </c>
      <c r="F803" s="10">
        <v>15</v>
      </c>
      <c r="G803" s="10">
        <v>4657.82</v>
      </c>
      <c r="H803" s="10">
        <v>69867.3</v>
      </c>
      <c r="J803">
        <v>44973</v>
      </c>
      <c r="K803" t="str">
        <v>North</v>
      </c>
      <c r="L803" t="str">
        <v>Delhi</v>
      </c>
      <c r="M803" t="str">
        <v>New Delhi</v>
      </c>
      <c r="N803" t="str">
        <v>Groceries</v>
      </c>
      <c r="O803">
        <v>2</v>
      </c>
      <c r="P803">
        <v>4059.61</v>
      </c>
      <c r="Q803">
        <v>8119.22</v>
      </c>
    </row>
    <row r="804" spans="1:17">
      <c r="A804" s="19">
        <v>45041</v>
      </c>
      <c r="B804" t="s">
        <v>1231</v>
      </c>
      <c r="C804" t="s">
        <v>1232</v>
      </c>
      <c r="D804" t="s">
        <v>1234</v>
      </c>
      <c r="E804" t="s">
        <v>145</v>
      </c>
      <c r="F804" s="10">
        <v>14</v>
      </c>
      <c r="G804" s="10">
        <v>4935.34</v>
      </c>
      <c r="H804" s="10">
        <v>69094.759999999995</v>
      </c>
      <c r="J804">
        <v>45168</v>
      </c>
      <c r="K804" t="str">
        <v>North</v>
      </c>
      <c r="L804" t="str">
        <v>Delhi</v>
      </c>
      <c r="M804" t="str">
        <v>New Delhi</v>
      </c>
      <c r="N804" t="str">
        <v>Groceries</v>
      </c>
      <c r="O804">
        <v>18</v>
      </c>
      <c r="P804">
        <v>448.42</v>
      </c>
      <c r="Q804">
        <v>8071.56</v>
      </c>
    </row>
    <row r="805" spans="1:17">
      <c r="A805" s="19">
        <v>45226</v>
      </c>
      <c r="B805" t="s">
        <v>1231</v>
      </c>
      <c r="C805" t="s">
        <v>1235</v>
      </c>
      <c r="D805" t="s">
        <v>1236</v>
      </c>
      <c r="E805" t="s">
        <v>145</v>
      </c>
      <c r="F805" s="10">
        <v>15</v>
      </c>
      <c r="G805" s="10">
        <v>4545.26</v>
      </c>
      <c r="H805" s="10">
        <v>68178.899999999994</v>
      </c>
      <c r="J805">
        <v>45010</v>
      </c>
      <c r="K805" t="str">
        <v>North</v>
      </c>
      <c r="L805" t="str">
        <v>Delhi</v>
      </c>
      <c r="M805" t="str">
        <v>New Delhi</v>
      </c>
      <c r="N805" t="str">
        <v>Groceries</v>
      </c>
      <c r="O805">
        <v>4</v>
      </c>
      <c r="P805">
        <v>431.75</v>
      </c>
      <c r="Q805">
        <v>1727</v>
      </c>
    </row>
    <row r="806" spans="1:17">
      <c r="A806" s="19">
        <v>44946</v>
      </c>
      <c r="B806" t="s">
        <v>1231</v>
      </c>
      <c r="C806" t="s">
        <v>1232</v>
      </c>
      <c r="D806" t="s">
        <v>1240</v>
      </c>
      <c r="E806" t="s">
        <v>145</v>
      </c>
      <c r="F806" s="10">
        <v>20</v>
      </c>
      <c r="G806" s="10">
        <v>3280.87</v>
      </c>
      <c r="H806" s="10">
        <v>65617.399999999994</v>
      </c>
      <c r="J806">
        <v>45168</v>
      </c>
      <c r="K806" t="str">
        <v>North</v>
      </c>
      <c r="L806" t="str">
        <v>Delhi</v>
      </c>
      <c r="M806" t="str">
        <v>New Delhi</v>
      </c>
      <c r="N806" t="str">
        <v>Groceries</v>
      </c>
      <c r="O806">
        <v>5</v>
      </c>
      <c r="P806">
        <v>334.29</v>
      </c>
      <c r="Q806">
        <v>1671.45</v>
      </c>
    </row>
    <row r="807" spans="1:17">
      <c r="A807" s="19">
        <v>45141</v>
      </c>
      <c r="B807" t="s">
        <v>1242</v>
      </c>
      <c r="C807" t="s">
        <v>1243</v>
      </c>
      <c r="D807" t="s">
        <v>1247</v>
      </c>
      <c r="E807" t="s">
        <v>145</v>
      </c>
      <c r="F807" s="10">
        <v>18</v>
      </c>
      <c r="G807" s="10">
        <v>3614.6</v>
      </c>
      <c r="H807" s="10">
        <v>65062.8</v>
      </c>
      <c r="J807">
        <v>45097</v>
      </c>
      <c r="K807" t="str">
        <v>North</v>
      </c>
      <c r="L807" t="str">
        <v>Delhi</v>
      </c>
      <c r="M807" t="str">
        <v>New Delhi</v>
      </c>
      <c r="N807" t="str">
        <v>Groceries</v>
      </c>
      <c r="O807">
        <v>1</v>
      </c>
      <c r="P807">
        <v>840.65</v>
      </c>
      <c r="Q807">
        <v>840.65</v>
      </c>
    </row>
    <row r="808" spans="1:17">
      <c r="A808" s="19">
        <v>45289</v>
      </c>
      <c r="B808" t="s">
        <v>1229</v>
      </c>
      <c r="C808" t="s">
        <v>1237</v>
      </c>
      <c r="D808" t="s">
        <v>1173</v>
      </c>
      <c r="E808" t="s">
        <v>145</v>
      </c>
      <c r="F808" s="10">
        <v>13</v>
      </c>
      <c r="G808" s="10">
        <v>4985.82</v>
      </c>
      <c r="H808" s="10">
        <v>64815.66</v>
      </c>
      <c r="J808">
        <v>45028</v>
      </c>
      <c r="K808" t="str">
        <v>North</v>
      </c>
      <c r="L808" t="str">
        <v>Delhi</v>
      </c>
      <c r="M808" t="str">
        <v>New Delhi</v>
      </c>
      <c r="N808" t="str">
        <v>Groceries</v>
      </c>
      <c r="O808">
        <v>5</v>
      </c>
      <c r="P808">
        <v>143.78</v>
      </c>
      <c r="Q808">
        <v>718.9</v>
      </c>
    </row>
    <row r="809" spans="1:17">
      <c r="A809" s="19">
        <v>45023</v>
      </c>
      <c r="B809" t="s">
        <v>1231</v>
      </c>
      <c r="C809" t="s">
        <v>1232</v>
      </c>
      <c r="D809" t="s">
        <v>1234</v>
      </c>
      <c r="E809" t="s">
        <v>145</v>
      </c>
      <c r="F809" s="10">
        <v>17</v>
      </c>
      <c r="G809" s="10">
        <v>3771.79</v>
      </c>
      <c r="H809" s="10">
        <v>64120.43</v>
      </c>
      <c r="J809">
        <v>45052</v>
      </c>
      <c r="K809" t="str">
        <v>North</v>
      </c>
      <c r="L809" t="str">
        <v>Delhi</v>
      </c>
      <c r="M809" t="str">
        <v>New Delhi</v>
      </c>
      <c r="N809" t="str">
        <v>Stationery</v>
      </c>
      <c r="O809">
        <v>18</v>
      </c>
      <c r="P809">
        <v>4861.3100000000004</v>
      </c>
      <c r="Q809">
        <v>87503.58</v>
      </c>
    </row>
    <row r="810" spans="1:17">
      <c r="A810" s="19">
        <v>45239</v>
      </c>
      <c r="B810" t="s">
        <v>1231</v>
      </c>
      <c r="C810" t="s">
        <v>1235</v>
      </c>
      <c r="D810" t="s">
        <v>1241</v>
      </c>
      <c r="E810" t="s">
        <v>145</v>
      </c>
      <c r="F810" s="10">
        <v>16</v>
      </c>
      <c r="G810" s="10">
        <v>3981.76</v>
      </c>
      <c r="H810" s="10">
        <v>63708.160000000003</v>
      </c>
      <c r="J810">
        <v>44999</v>
      </c>
      <c r="K810" t="str">
        <v>North</v>
      </c>
      <c r="L810" t="str">
        <v>Delhi</v>
      </c>
      <c r="M810" t="str">
        <v>New Delhi</v>
      </c>
      <c r="N810" t="str">
        <v>Stationery</v>
      </c>
      <c r="O810">
        <v>20</v>
      </c>
      <c r="P810">
        <v>3069.92</v>
      </c>
      <c r="Q810">
        <v>61398.400000000001</v>
      </c>
    </row>
    <row r="811" spans="1:17">
      <c r="A811" s="19">
        <v>45023</v>
      </c>
      <c r="B811" t="s">
        <v>1229</v>
      </c>
      <c r="C811" t="s">
        <v>1237</v>
      </c>
      <c r="D811" t="s">
        <v>1171</v>
      </c>
      <c r="E811" t="s">
        <v>145</v>
      </c>
      <c r="F811" s="10">
        <v>13</v>
      </c>
      <c r="G811" s="10">
        <v>4850.17</v>
      </c>
      <c r="H811" s="10">
        <v>63052.21</v>
      </c>
      <c r="J811">
        <v>45141</v>
      </c>
      <c r="K811" t="str">
        <v>North</v>
      </c>
      <c r="L811" t="str">
        <v>Delhi</v>
      </c>
      <c r="M811" t="str">
        <v>New Delhi</v>
      </c>
      <c r="N811" t="str">
        <v>Stationery</v>
      </c>
      <c r="O811">
        <v>18</v>
      </c>
      <c r="P811">
        <v>3287.05</v>
      </c>
      <c r="Q811">
        <v>59166.9</v>
      </c>
    </row>
    <row r="812" spans="1:17">
      <c r="A812" s="19">
        <v>44999</v>
      </c>
      <c r="B812" t="s">
        <v>1242</v>
      </c>
      <c r="C812" t="s">
        <v>1243</v>
      </c>
      <c r="D812" t="s">
        <v>1245</v>
      </c>
      <c r="E812" t="s">
        <v>145</v>
      </c>
      <c r="F812" s="10">
        <v>20</v>
      </c>
      <c r="G812" s="10">
        <v>3069.92</v>
      </c>
      <c r="H812" s="10">
        <v>61398.400000000001</v>
      </c>
      <c r="J812">
        <v>45260</v>
      </c>
      <c r="K812" t="str">
        <v>North</v>
      </c>
      <c r="L812" t="str">
        <v>Delhi</v>
      </c>
      <c r="M812" t="str">
        <v>New Delhi</v>
      </c>
      <c r="N812" t="str">
        <v>Stationery</v>
      </c>
      <c r="O812">
        <v>7</v>
      </c>
      <c r="P812">
        <v>4813.28</v>
      </c>
      <c r="Q812">
        <v>33692.959999999999</v>
      </c>
    </row>
    <row r="813" spans="1:17">
      <c r="A813" s="19">
        <v>45219</v>
      </c>
      <c r="B813" t="s">
        <v>1229</v>
      </c>
      <c r="C813" t="s">
        <v>1237</v>
      </c>
      <c r="D813" t="s">
        <v>1171</v>
      </c>
      <c r="E813" t="s">
        <v>145</v>
      </c>
      <c r="F813" s="10">
        <v>17</v>
      </c>
      <c r="G813" s="10">
        <v>3490.72</v>
      </c>
      <c r="H813" s="10">
        <v>59342.239999999998</v>
      </c>
      <c r="J813">
        <v>45252</v>
      </c>
      <c r="K813" t="str">
        <v>North</v>
      </c>
      <c r="L813" t="str">
        <v>Delhi</v>
      </c>
      <c r="M813" t="str">
        <v>New Delhi</v>
      </c>
      <c r="N813" t="str">
        <v>Stationery</v>
      </c>
      <c r="O813">
        <v>9</v>
      </c>
      <c r="P813">
        <v>3552.02</v>
      </c>
      <c r="Q813">
        <v>31968.18</v>
      </c>
    </row>
    <row r="814" spans="1:17">
      <c r="A814" s="19">
        <v>44934</v>
      </c>
      <c r="B814" t="s">
        <v>1229</v>
      </c>
      <c r="C814" t="s">
        <v>1237</v>
      </c>
      <c r="D814" t="s">
        <v>1173</v>
      </c>
      <c r="E814" t="s">
        <v>145</v>
      </c>
      <c r="F814" s="10">
        <v>16</v>
      </c>
      <c r="G814" s="10">
        <v>3702.43</v>
      </c>
      <c r="H814" s="10">
        <v>59238.879999999997</v>
      </c>
      <c r="J814">
        <v>44993</v>
      </c>
      <c r="K814" t="str">
        <v>North</v>
      </c>
      <c r="L814" t="str">
        <v>Delhi</v>
      </c>
      <c r="M814" t="str">
        <v>New Delhi</v>
      </c>
      <c r="N814" t="str">
        <v>Stationery</v>
      </c>
      <c r="O814">
        <v>19</v>
      </c>
      <c r="P814">
        <v>1414.78</v>
      </c>
      <c r="Q814">
        <v>26880.82</v>
      </c>
    </row>
    <row r="815" spans="1:17">
      <c r="A815" s="19">
        <v>45141</v>
      </c>
      <c r="B815" t="s">
        <v>1242</v>
      </c>
      <c r="C815" t="s">
        <v>1243</v>
      </c>
      <c r="D815" t="s">
        <v>1245</v>
      </c>
      <c r="E815" t="s">
        <v>145</v>
      </c>
      <c r="F815" s="10">
        <v>18</v>
      </c>
      <c r="G815" s="10">
        <v>3287.05</v>
      </c>
      <c r="H815" s="10">
        <v>59166.9</v>
      </c>
      <c r="J815">
        <v>45065</v>
      </c>
      <c r="K815" t="str">
        <v>North</v>
      </c>
      <c r="L815" t="str">
        <v>Delhi</v>
      </c>
      <c r="M815" t="str">
        <v>New Delhi</v>
      </c>
      <c r="N815" t="str">
        <v>Stationery</v>
      </c>
      <c r="O815">
        <v>13</v>
      </c>
      <c r="P815">
        <v>1965.63</v>
      </c>
      <c r="Q815">
        <v>25553.19</v>
      </c>
    </row>
    <row r="816" spans="1:17">
      <c r="A816" s="19">
        <v>45198</v>
      </c>
      <c r="B816" t="s">
        <v>1231</v>
      </c>
      <c r="C816" t="s">
        <v>1235</v>
      </c>
      <c r="D816" t="s">
        <v>1236</v>
      </c>
      <c r="E816" t="s">
        <v>145</v>
      </c>
      <c r="F816" s="10">
        <v>14</v>
      </c>
      <c r="G816" s="10">
        <v>4192.8599999999997</v>
      </c>
      <c r="H816" s="10">
        <v>58700.04</v>
      </c>
      <c r="J816">
        <v>45172</v>
      </c>
      <c r="K816" t="str">
        <v>North</v>
      </c>
      <c r="L816" t="str">
        <v>Delhi</v>
      </c>
      <c r="M816" t="str">
        <v>New Delhi</v>
      </c>
      <c r="N816" t="str">
        <v>Stationery</v>
      </c>
      <c r="O816">
        <v>12</v>
      </c>
      <c r="P816">
        <v>1973.14</v>
      </c>
      <c r="Q816">
        <v>23677.68</v>
      </c>
    </row>
    <row r="817" spans="1:17">
      <c r="A817" s="19">
        <v>45239</v>
      </c>
      <c r="B817" t="s">
        <v>1231</v>
      </c>
      <c r="C817" t="s">
        <v>1232</v>
      </c>
      <c r="D817" t="s">
        <v>1233</v>
      </c>
      <c r="E817" t="s">
        <v>145</v>
      </c>
      <c r="F817" s="10">
        <v>15</v>
      </c>
      <c r="G817" s="10">
        <v>3909.42</v>
      </c>
      <c r="H817" s="10">
        <v>58641.3</v>
      </c>
      <c r="J817">
        <v>45012</v>
      </c>
      <c r="K817" t="str">
        <v>North</v>
      </c>
      <c r="L817" t="str">
        <v>Delhi</v>
      </c>
      <c r="M817" t="str">
        <v>New Delhi</v>
      </c>
      <c r="N817" t="str">
        <v>Stationery</v>
      </c>
      <c r="O817">
        <v>9</v>
      </c>
      <c r="P817">
        <v>1667.06</v>
      </c>
      <c r="Q817">
        <v>15003.54</v>
      </c>
    </row>
    <row r="818" spans="1:17">
      <c r="A818" s="19">
        <v>45145</v>
      </c>
      <c r="B818" t="s">
        <v>1231</v>
      </c>
      <c r="C818" t="s">
        <v>1232</v>
      </c>
      <c r="D818" t="s">
        <v>1240</v>
      </c>
      <c r="E818" t="s">
        <v>145</v>
      </c>
      <c r="F818" s="10">
        <v>15</v>
      </c>
      <c r="G818" s="10">
        <v>3897.39</v>
      </c>
      <c r="H818" s="10">
        <v>58460.85</v>
      </c>
      <c r="J818">
        <v>45289</v>
      </c>
      <c r="K818" t="str">
        <v>North</v>
      </c>
      <c r="L818" t="str">
        <v>Delhi</v>
      </c>
      <c r="M818" t="str">
        <v>New Delhi</v>
      </c>
      <c r="N818" t="str">
        <v>Stationery</v>
      </c>
      <c r="O818">
        <v>9</v>
      </c>
      <c r="P818">
        <v>1161.02</v>
      </c>
      <c r="Q818">
        <v>10449.18</v>
      </c>
    </row>
    <row r="819" spans="1:17">
      <c r="A819" s="19">
        <v>45163</v>
      </c>
      <c r="B819" t="s">
        <v>1229</v>
      </c>
      <c r="C819" t="s">
        <v>1237</v>
      </c>
      <c r="D819" t="s">
        <v>1171</v>
      </c>
      <c r="E819" t="s">
        <v>145</v>
      </c>
      <c r="F819" s="10">
        <v>16</v>
      </c>
      <c r="G819" s="10">
        <v>3580.79</v>
      </c>
      <c r="H819" s="10">
        <v>57292.639999999999</v>
      </c>
      <c r="J819">
        <v>45068</v>
      </c>
      <c r="K819" t="str">
        <v>North</v>
      </c>
      <c r="L819" t="str">
        <v>Delhi</v>
      </c>
      <c r="M819" t="str">
        <v>New Delhi</v>
      </c>
      <c r="N819" t="str">
        <v>Stationery</v>
      </c>
      <c r="O819">
        <v>6</v>
      </c>
      <c r="P819">
        <v>1537.45</v>
      </c>
      <c r="Q819">
        <v>9224.7000000000007</v>
      </c>
    </row>
    <row r="820" spans="1:17">
      <c r="A820" s="19">
        <v>45286</v>
      </c>
      <c r="B820" t="s">
        <v>1229</v>
      </c>
      <c r="C820" t="s">
        <v>1237</v>
      </c>
      <c r="D820" t="s">
        <v>1173</v>
      </c>
      <c r="E820" t="s">
        <v>145</v>
      </c>
      <c r="F820" s="10">
        <v>12</v>
      </c>
      <c r="G820" s="10">
        <v>4765.33</v>
      </c>
      <c r="H820" s="10">
        <v>57183.96</v>
      </c>
      <c r="J820">
        <v>45219</v>
      </c>
      <c r="K820" t="str">
        <v>North</v>
      </c>
      <c r="L820" t="str">
        <v>Delhi</v>
      </c>
      <c r="M820" t="str">
        <v>New Delhi</v>
      </c>
      <c r="N820" t="str">
        <v>Stationery</v>
      </c>
      <c r="O820">
        <v>2</v>
      </c>
      <c r="P820">
        <v>4527.13</v>
      </c>
      <c r="Q820">
        <v>9054.26</v>
      </c>
    </row>
    <row r="821" spans="1:17">
      <c r="A821" s="19">
        <v>45244</v>
      </c>
      <c r="B821" t="s">
        <v>1229</v>
      </c>
      <c r="C821" t="s">
        <v>1237</v>
      </c>
      <c r="D821" t="s">
        <v>1239</v>
      </c>
      <c r="E821" t="s">
        <v>145</v>
      </c>
      <c r="F821" s="10">
        <v>13</v>
      </c>
      <c r="G821" s="10">
        <v>4357.0200000000004</v>
      </c>
      <c r="H821" s="10">
        <v>56641.26</v>
      </c>
      <c r="J821">
        <v>45112</v>
      </c>
      <c r="K821" t="str">
        <v>North</v>
      </c>
      <c r="L821" t="str">
        <v>Delhi</v>
      </c>
      <c r="M821" t="str">
        <v>New Delhi</v>
      </c>
      <c r="N821" t="str">
        <v>Stationery</v>
      </c>
      <c r="O821">
        <v>14</v>
      </c>
      <c r="P821">
        <v>564.63</v>
      </c>
      <c r="Q821">
        <v>7904.82</v>
      </c>
    </row>
    <row r="822" spans="1:17">
      <c r="A822" s="19">
        <v>44985</v>
      </c>
      <c r="B822" t="s">
        <v>1231</v>
      </c>
      <c r="C822" t="s">
        <v>1232</v>
      </c>
      <c r="D822" t="s">
        <v>1234</v>
      </c>
      <c r="E822" t="s">
        <v>145</v>
      </c>
      <c r="F822" s="10">
        <v>14</v>
      </c>
      <c r="G822" s="10">
        <v>4009.33</v>
      </c>
      <c r="H822" s="10">
        <v>56130.62</v>
      </c>
      <c r="J822">
        <v>44934</v>
      </c>
      <c r="K822" t="str">
        <v>North</v>
      </c>
      <c r="L822" t="str">
        <v>Delhi</v>
      </c>
      <c r="M822" t="str">
        <v>New Delhi</v>
      </c>
      <c r="N822" t="str">
        <v>Stationery</v>
      </c>
      <c r="O822">
        <v>9</v>
      </c>
      <c r="P822">
        <v>455.98</v>
      </c>
      <c r="Q822">
        <v>4103.82</v>
      </c>
    </row>
    <row r="823" spans="1:17">
      <c r="A823" s="19">
        <v>44985</v>
      </c>
      <c r="B823" t="s">
        <v>1231</v>
      </c>
      <c r="C823" t="s">
        <v>1235</v>
      </c>
      <c r="D823" t="s">
        <v>1238</v>
      </c>
      <c r="E823" t="s">
        <v>145</v>
      </c>
      <c r="F823" s="10">
        <v>18</v>
      </c>
      <c r="G823" s="10">
        <v>3102.47</v>
      </c>
      <c r="H823" s="10">
        <v>55844.46</v>
      </c>
      <c r="J823">
        <v>44977</v>
      </c>
      <c r="K823" t="str">
        <v>West</v>
      </c>
      <c r="L823" t="str">
        <v>Maharashtra</v>
      </c>
      <c r="M823" t="str">
        <v>Pune</v>
      </c>
      <c r="N823" t="str">
        <v>Clothing</v>
      </c>
      <c r="O823">
        <v>19</v>
      </c>
      <c r="P823">
        <v>3683.04</v>
      </c>
      <c r="Q823">
        <v>69977.759999999995</v>
      </c>
    </row>
    <row r="824" spans="1:17">
      <c r="A824" s="19">
        <v>45023</v>
      </c>
      <c r="B824" t="s">
        <v>1231</v>
      </c>
      <c r="C824" t="s">
        <v>1232</v>
      </c>
      <c r="D824" t="s">
        <v>1240</v>
      </c>
      <c r="E824" t="s">
        <v>145</v>
      </c>
      <c r="F824" s="10">
        <v>17</v>
      </c>
      <c r="G824" s="10">
        <v>3233.82</v>
      </c>
      <c r="H824" s="10">
        <v>54974.94</v>
      </c>
      <c r="J824">
        <v>44939</v>
      </c>
      <c r="K824" t="str">
        <v>West</v>
      </c>
      <c r="L824" t="str">
        <v>Maharashtra</v>
      </c>
      <c r="M824" t="str">
        <v>Pune</v>
      </c>
      <c r="N824" t="str">
        <v>Clothing</v>
      </c>
      <c r="O824">
        <v>18</v>
      </c>
      <c r="P824">
        <v>2777.65</v>
      </c>
      <c r="Q824">
        <v>49997.7</v>
      </c>
    </row>
    <row r="825" spans="1:17">
      <c r="A825" s="19">
        <v>45071</v>
      </c>
      <c r="B825" t="s">
        <v>1229</v>
      </c>
      <c r="C825" t="s">
        <v>1230</v>
      </c>
      <c r="D825" t="s">
        <v>1169</v>
      </c>
      <c r="E825" t="s">
        <v>145</v>
      </c>
      <c r="F825" s="10">
        <v>19</v>
      </c>
      <c r="G825" s="10">
        <v>2753.24</v>
      </c>
      <c r="H825" s="10">
        <v>52311.56</v>
      </c>
      <c r="J825">
        <v>45104</v>
      </c>
      <c r="K825" t="str">
        <v>West</v>
      </c>
      <c r="L825" t="str">
        <v>Maharashtra</v>
      </c>
      <c r="M825" t="str">
        <v>Pune</v>
      </c>
      <c r="N825" t="str">
        <v>Clothing</v>
      </c>
      <c r="O825">
        <v>12</v>
      </c>
      <c r="P825">
        <v>3076.03</v>
      </c>
      <c r="Q825">
        <v>36912.36</v>
      </c>
    </row>
    <row r="826" spans="1:17">
      <c r="A826" s="19">
        <v>45284</v>
      </c>
      <c r="B826" t="s">
        <v>1242</v>
      </c>
      <c r="C826" t="s">
        <v>1243</v>
      </c>
      <c r="D826" t="s">
        <v>1247</v>
      </c>
      <c r="E826" t="s">
        <v>145</v>
      </c>
      <c r="F826" s="10">
        <v>18</v>
      </c>
      <c r="G826" s="10">
        <v>2880.41</v>
      </c>
      <c r="H826" s="10">
        <v>51847.38</v>
      </c>
      <c r="J826">
        <v>44968</v>
      </c>
      <c r="K826" t="str">
        <v>West</v>
      </c>
      <c r="L826" t="str">
        <v>Maharashtra</v>
      </c>
      <c r="M826" t="str">
        <v>Pune</v>
      </c>
      <c r="N826" t="str">
        <v>Clothing</v>
      </c>
      <c r="O826">
        <v>13</v>
      </c>
      <c r="P826">
        <v>2745.75</v>
      </c>
      <c r="Q826">
        <v>35694.75</v>
      </c>
    </row>
    <row r="827" spans="1:17">
      <c r="A827" s="19">
        <v>45291</v>
      </c>
      <c r="B827" t="s">
        <v>1229</v>
      </c>
      <c r="C827" t="s">
        <v>1237</v>
      </c>
      <c r="D827" t="s">
        <v>1173</v>
      </c>
      <c r="E827" t="s">
        <v>145</v>
      </c>
      <c r="F827" s="10">
        <v>10</v>
      </c>
      <c r="G827" s="10">
        <v>4995.74</v>
      </c>
      <c r="H827" s="10">
        <v>49957.4</v>
      </c>
      <c r="J827">
        <v>44992</v>
      </c>
      <c r="K827" t="str">
        <v>West</v>
      </c>
      <c r="L827" t="str">
        <v>Maharashtra</v>
      </c>
      <c r="M827" t="str">
        <v>Pune</v>
      </c>
      <c r="N827" t="str">
        <v>Clothing</v>
      </c>
      <c r="O827">
        <v>17</v>
      </c>
      <c r="P827">
        <v>1759.91</v>
      </c>
      <c r="Q827">
        <v>29918.47</v>
      </c>
    </row>
    <row r="828" spans="1:17">
      <c r="A828" s="19">
        <v>45264</v>
      </c>
      <c r="B828" t="s">
        <v>1229</v>
      </c>
      <c r="C828" t="s">
        <v>1230</v>
      </c>
      <c r="D828" t="s">
        <v>1248</v>
      </c>
      <c r="E828" t="s">
        <v>145</v>
      </c>
      <c r="F828" s="10">
        <v>16</v>
      </c>
      <c r="G828" s="10">
        <v>3082.84</v>
      </c>
      <c r="H828" s="10">
        <v>49325.440000000002</v>
      </c>
      <c r="J828">
        <v>45047</v>
      </c>
      <c r="K828" t="str">
        <v>West</v>
      </c>
      <c r="L828" t="str">
        <v>Maharashtra</v>
      </c>
      <c r="M828" t="str">
        <v>Pune</v>
      </c>
      <c r="N828" t="str">
        <v>Clothing</v>
      </c>
      <c r="O828">
        <v>7</v>
      </c>
      <c r="P828">
        <v>3931.73</v>
      </c>
      <c r="Q828">
        <v>27522.11</v>
      </c>
    </row>
    <row r="829" spans="1:17">
      <c r="A829" s="19">
        <v>45039</v>
      </c>
      <c r="B829" t="s">
        <v>1231</v>
      </c>
      <c r="C829" t="s">
        <v>1235</v>
      </c>
      <c r="D829" t="s">
        <v>1241</v>
      </c>
      <c r="E829" t="s">
        <v>145</v>
      </c>
      <c r="F829" s="10">
        <v>15</v>
      </c>
      <c r="G829" s="10">
        <v>3285.68</v>
      </c>
      <c r="H829" s="10">
        <v>49285.2</v>
      </c>
      <c r="J829">
        <v>45214</v>
      </c>
      <c r="K829" t="str">
        <v>West</v>
      </c>
      <c r="L829" t="str">
        <v>Maharashtra</v>
      </c>
      <c r="M829" t="str">
        <v>Pune</v>
      </c>
      <c r="N829" t="str">
        <v>Clothing</v>
      </c>
      <c r="O829">
        <v>17</v>
      </c>
      <c r="P829">
        <v>1307.24</v>
      </c>
      <c r="Q829">
        <v>22223.08</v>
      </c>
    </row>
    <row r="830" spans="1:17">
      <c r="A830" s="19">
        <v>45089</v>
      </c>
      <c r="B830" t="s">
        <v>1231</v>
      </c>
      <c r="C830" t="s">
        <v>1232</v>
      </c>
      <c r="D830" t="s">
        <v>1233</v>
      </c>
      <c r="E830" t="s">
        <v>145</v>
      </c>
      <c r="F830" s="10">
        <v>13</v>
      </c>
      <c r="G830" s="10">
        <v>3551.21</v>
      </c>
      <c r="H830" s="10">
        <v>46165.73</v>
      </c>
      <c r="J830">
        <v>45146</v>
      </c>
      <c r="K830" t="str">
        <v>West</v>
      </c>
      <c r="L830" t="str">
        <v>Maharashtra</v>
      </c>
      <c r="M830" t="str">
        <v>Pune</v>
      </c>
      <c r="N830" t="str">
        <v>Clothing</v>
      </c>
      <c r="O830">
        <v>8</v>
      </c>
      <c r="P830">
        <v>1461.31</v>
      </c>
      <c r="Q830">
        <v>11690.48</v>
      </c>
    </row>
    <row r="831" spans="1:17">
      <c r="A831" s="19">
        <v>45226</v>
      </c>
      <c r="B831" t="s">
        <v>1231</v>
      </c>
      <c r="C831" t="s">
        <v>1235</v>
      </c>
      <c r="D831" t="s">
        <v>1238</v>
      </c>
      <c r="E831" t="s">
        <v>145</v>
      </c>
      <c r="F831" s="10">
        <v>19</v>
      </c>
      <c r="G831" s="10">
        <v>2386.59</v>
      </c>
      <c r="H831" s="10">
        <v>45345.21</v>
      </c>
      <c r="J831">
        <v>45014</v>
      </c>
      <c r="K831" t="str">
        <v>West</v>
      </c>
      <c r="L831" t="str">
        <v>Maharashtra</v>
      </c>
      <c r="M831" t="str">
        <v>Pune</v>
      </c>
      <c r="N831" t="str">
        <v>Clothing</v>
      </c>
      <c r="O831">
        <v>12</v>
      </c>
      <c r="P831">
        <v>593.52</v>
      </c>
      <c r="Q831">
        <v>7122.24</v>
      </c>
    </row>
    <row r="832" spans="1:17">
      <c r="A832" s="19">
        <v>45246</v>
      </c>
      <c r="B832" t="s">
        <v>1231</v>
      </c>
      <c r="C832" t="s">
        <v>1232</v>
      </c>
      <c r="D832" t="s">
        <v>1234</v>
      </c>
      <c r="E832" t="s">
        <v>145</v>
      </c>
      <c r="F832" s="10">
        <v>11</v>
      </c>
      <c r="G832" s="10">
        <v>4089.16</v>
      </c>
      <c r="H832" s="10">
        <v>44980.76</v>
      </c>
      <c r="J832">
        <v>45207</v>
      </c>
      <c r="K832" t="str">
        <v>West</v>
      </c>
      <c r="L832" t="str">
        <v>Maharashtra</v>
      </c>
      <c r="M832" t="str">
        <v>Pune</v>
      </c>
      <c r="N832" t="str">
        <v>Clothing</v>
      </c>
      <c r="O832">
        <v>19</v>
      </c>
      <c r="P832">
        <v>182.01</v>
      </c>
      <c r="Q832">
        <v>3458.19</v>
      </c>
    </row>
    <row r="833" spans="1:17">
      <c r="A833" s="19">
        <v>45210</v>
      </c>
      <c r="B833" t="s">
        <v>1231</v>
      </c>
      <c r="C833" t="s">
        <v>1235</v>
      </c>
      <c r="D833" t="s">
        <v>1241</v>
      </c>
      <c r="E833" t="s">
        <v>145</v>
      </c>
      <c r="F833" s="10">
        <v>11</v>
      </c>
      <c r="G833" s="10">
        <v>4066.2</v>
      </c>
      <c r="H833" s="10">
        <v>44728.2</v>
      </c>
      <c r="J833">
        <v>45030</v>
      </c>
      <c r="K833" t="str">
        <v>West</v>
      </c>
      <c r="L833" t="str">
        <v>Maharashtra</v>
      </c>
      <c r="M833" t="str">
        <v>Pune</v>
      </c>
      <c r="N833" t="str">
        <v>Clothing</v>
      </c>
      <c r="O833">
        <v>1</v>
      </c>
      <c r="P833">
        <v>2517.3200000000002</v>
      </c>
      <c r="Q833">
        <v>2517.3200000000002</v>
      </c>
    </row>
    <row r="834" spans="1:17">
      <c r="A834" s="19">
        <v>45066</v>
      </c>
      <c r="B834" t="s">
        <v>1242</v>
      </c>
      <c r="C834" t="s">
        <v>1243</v>
      </c>
      <c r="D834" t="s">
        <v>1247</v>
      </c>
      <c r="E834" t="s">
        <v>145</v>
      </c>
      <c r="F834" s="10">
        <v>13</v>
      </c>
      <c r="G834" s="10">
        <v>3423.36</v>
      </c>
      <c r="H834" s="10">
        <v>44503.68</v>
      </c>
      <c r="J834">
        <v>44998</v>
      </c>
      <c r="K834" t="str">
        <v>West</v>
      </c>
      <c r="L834" t="str">
        <v>Maharashtra</v>
      </c>
      <c r="M834" t="str">
        <v>Pune</v>
      </c>
      <c r="N834" t="str">
        <v>Electronics</v>
      </c>
      <c r="O834">
        <v>11</v>
      </c>
      <c r="P834">
        <v>4681.04</v>
      </c>
      <c r="Q834">
        <v>51491.44</v>
      </c>
    </row>
    <row r="835" spans="1:17">
      <c r="A835" s="19">
        <v>45250</v>
      </c>
      <c r="B835" t="s">
        <v>1231</v>
      </c>
      <c r="C835" t="s">
        <v>1235</v>
      </c>
      <c r="D835" t="s">
        <v>1238</v>
      </c>
      <c r="E835" t="s">
        <v>145</v>
      </c>
      <c r="F835" s="10">
        <v>12</v>
      </c>
      <c r="G835" s="10">
        <v>3703.31</v>
      </c>
      <c r="H835" s="10">
        <v>44439.72</v>
      </c>
      <c r="J835">
        <v>45116</v>
      </c>
      <c r="K835" t="str">
        <v>West</v>
      </c>
      <c r="L835" t="str">
        <v>Maharashtra</v>
      </c>
      <c r="M835" t="str">
        <v>Pune</v>
      </c>
      <c r="N835" t="str">
        <v>Electronics</v>
      </c>
      <c r="O835">
        <v>18</v>
      </c>
      <c r="P835">
        <v>1177.8</v>
      </c>
      <c r="Q835">
        <v>21200.400000000001</v>
      </c>
    </row>
    <row r="836" spans="1:17">
      <c r="A836" s="19">
        <v>45138</v>
      </c>
      <c r="B836" t="s">
        <v>1229</v>
      </c>
      <c r="C836" t="s">
        <v>1230</v>
      </c>
      <c r="D836" t="s">
        <v>1248</v>
      </c>
      <c r="E836" t="s">
        <v>145</v>
      </c>
      <c r="F836" s="10">
        <v>16</v>
      </c>
      <c r="G836" s="10">
        <v>2747.36</v>
      </c>
      <c r="H836" s="10">
        <v>43957.760000000002</v>
      </c>
      <c r="J836">
        <v>44956</v>
      </c>
      <c r="K836" t="str">
        <v>West</v>
      </c>
      <c r="L836" t="str">
        <v>Maharashtra</v>
      </c>
      <c r="M836" t="str">
        <v>Pune</v>
      </c>
      <c r="N836" t="str">
        <v>Electronics</v>
      </c>
      <c r="O836">
        <v>20</v>
      </c>
      <c r="P836">
        <v>486.25</v>
      </c>
      <c r="Q836">
        <v>9725</v>
      </c>
    </row>
    <row r="837" spans="1:17">
      <c r="A837" s="19">
        <v>45217</v>
      </c>
      <c r="B837" t="s">
        <v>1231</v>
      </c>
      <c r="C837" t="s">
        <v>1235</v>
      </c>
      <c r="D837" t="s">
        <v>1241</v>
      </c>
      <c r="E837" t="s">
        <v>145</v>
      </c>
      <c r="F837" s="10">
        <v>15</v>
      </c>
      <c r="G837" s="10">
        <v>2920.62</v>
      </c>
      <c r="H837" s="10">
        <v>43809.3</v>
      </c>
      <c r="J837">
        <v>45098</v>
      </c>
      <c r="K837" t="str">
        <v>West</v>
      </c>
      <c r="L837" t="str">
        <v>Maharashtra</v>
      </c>
      <c r="M837" t="str">
        <v>Pune</v>
      </c>
      <c r="N837" t="str">
        <v>Electronics</v>
      </c>
      <c r="O837">
        <v>7</v>
      </c>
      <c r="P837">
        <v>859.87</v>
      </c>
      <c r="Q837">
        <v>6019.09</v>
      </c>
    </row>
    <row r="838" spans="1:17">
      <c r="A838" s="19">
        <v>45124</v>
      </c>
      <c r="B838" t="s">
        <v>1229</v>
      </c>
      <c r="C838" t="s">
        <v>1230</v>
      </c>
      <c r="D838" t="s">
        <v>1248</v>
      </c>
      <c r="E838" t="s">
        <v>145</v>
      </c>
      <c r="F838" s="10">
        <v>12</v>
      </c>
      <c r="G838" s="10">
        <v>3650.3</v>
      </c>
      <c r="H838" s="10">
        <v>43803.6</v>
      </c>
      <c r="J838">
        <v>45133</v>
      </c>
      <c r="K838" t="str">
        <v>West</v>
      </c>
      <c r="L838" t="str">
        <v>Maharashtra</v>
      </c>
      <c r="M838" t="str">
        <v>Pune</v>
      </c>
      <c r="N838" t="str">
        <v>Furniture</v>
      </c>
      <c r="O838">
        <v>16</v>
      </c>
      <c r="P838">
        <v>2882.65</v>
      </c>
      <c r="Q838">
        <v>46122.400000000001</v>
      </c>
    </row>
    <row r="839" spans="1:17">
      <c r="A839" s="19">
        <v>44927</v>
      </c>
      <c r="B839" t="s">
        <v>1229</v>
      </c>
      <c r="C839" t="s">
        <v>1237</v>
      </c>
      <c r="D839" t="s">
        <v>1171</v>
      </c>
      <c r="E839" t="s">
        <v>145</v>
      </c>
      <c r="F839" s="10">
        <v>9</v>
      </c>
      <c r="G839" s="10">
        <v>4858.75</v>
      </c>
      <c r="H839" s="10">
        <v>43728.75</v>
      </c>
      <c r="J839">
        <v>45045</v>
      </c>
      <c r="K839" t="str">
        <v>West</v>
      </c>
      <c r="L839" t="str">
        <v>Maharashtra</v>
      </c>
      <c r="M839" t="str">
        <v>Pune</v>
      </c>
      <c r="N839" t="str">
        <v>Furniture</v>
      </c>
      <c r="O839">
        <v>12</v>
      </c>
      <c r="P839">
        <v>3686.27</v>
      </c>
      <c r="Q839">
        <v>44235.24</v>
      </c>
    </row>
    <row r="840" spans="1:17">
      <c r="A840" s="19">
        <v>45201</v>
      </c>
      <c r="B840" t="s">
        <v>1231</v>
      </c>
      <c r="C840" t="s">
        <v>1235</v>
      </c>
      <c r="D840" t="s">
        <v>1238</v>
      </c>
      <c r="E840" t="s">
        <v>145</v>
      </c>
      <c r="F840" s="10">
        <v>9</v>
      </c>
      <c r="G840" s="10">
        <v>4781.72</v>
      </c>
      <c r="H840" s="10">
        <v>43035.48</v>
      </c>
      <c r="J840">
        <v>45119</v>
      </c>
      <c r="K840" t="str">
        <v>West</v>
      </c>
      <c r="L840" t="str">
        <v>Maharashtra</v>
      </c>
      <c r="M840" t="str">
        <v>Pune</v>
      </c>
      <c r="N840" t="str">
        <v>Furniture</v>
      </c>
      <c r="O840">
        <v>16</v>
      </c>
      <c r="P840">
        <v>1933.33</v>
      </c>
      <c r="Q840">
        <v>30933.279999999999</v>
      </c>
    </row>
    <row r="841" spans="1:17">
      <c r="A841" s="19">
        <v>45212</v>
      </c>
      <c r="B841" t="s">
        <v>1231</v>
      </c>
      <c r="C841" t="s">
        <v>1232</v>
      </c>
      <c r="D841" t="s">
        <v>1233</v>
      </c>
      <c r="E841" t="s">
        <v>145</v>
      </c>
      <c r="F841" s="10">
        <v>16</v>
      </c>
      <c r="G841" s="10">
        <v>2682.3</v>
      </c>
      <c r="H841" s="10">
        <v>42916.800000000003</v>
      </c>
      <c r="J841">
        <v>45257</v>
      </c>
      <c r="K841" t="str">
        <v>West</v>
      </c>
      <c r="L841" t="str">
        <v>Maharashtra</v>
      </c>
      <c r="M841" t="str">
        <v>Pune</v>
      </c>
      <c r="N841" t="str">
        <v>Furniture</v>
      </c>
      <c r="O841">
        <v>17</v>
      </c>
      <c r="P841">
        <v>1333.71</v>
      </c>
      <c r="Q841">
        <v>22673.07</v>
      </c>
    </row>
    <row r="842" spans="1:17">
      <c r="A842" s="19">
        <v>45233</v>
      </c>
      <c r="B842" t="s">
        <v>1229</v>
      </c>
      <c r="C842" t="s">
        <v>1237</v>
      </c>
      <c r="D842" t="s">
        <v>1171</v>
      </c>
      <c r="E842" t="s">
        <v>145</v>
      </c>
      <c r="F842" s="10">
        <v>16</v>
      </c>
      <c r="G842" s="10">
        <v>2563.69</v>
      </c>
      <c r="H842" s="10">
        <v>41019.040000000001</v>
      </c>
      <c r="J842">
        <v>45150</v>
      </c>
      <c r="K842" t="str">
        <v>West</v>
      </c>
      <c r="L842" t="str">
        <v>Maharashtra</v>
      </c>
      <c r="M842" t="str">
        <v>Pune</v>
      </c>
      <c r="N842" t="str">
        <v>Furniture</v>
      </c>
      <c r="O842">
        <v>5</v>
      </c>
      <c r="P842">
        <v>4198.97</v>
      </c>
      <c r="Q842">
        <v>20994.85</v>
      </c>
    </row>
    <row r="843" spans="1:17">
      <c r="A843" s="19">
        <v>44950</v>
      </c>
      <c r="B843" t="s">
        <v>1229</v>
      </c>
      <c r="C843" t="s">
        <v>1237</v>
      </c>
      <c r="D843" t="s">
        <v>1239</v>
      </c>
      <c r="E843" t="s">
        <v>145</v>
      </c>
      <c r="F843" s="10">
        <v>15</v>
      </c>
      <c r="G843" s="10">
        <v>2706.66</v>
      </c>
      <c r="H843" s="10">
        <v>40599.9</v>
      </c>
      <c r="J843">
        <v>45076</v>
      </c>
      <c r="K843" t="str">
        <v>West</v>
      </c>
      <c r="L843" t="str">
        <v>Maharashtra</v>
      </c>
      <c r="M843" t="str">
        <v>Pune</v>
      </c>
      <c r="N843" t="str">
        <v>Furniture</v>
      </c>
      <c r="O843">
        <v>4</v>
      </c>
      <c r="P843">
        <v>4368.46</v>
      </c>
      <c r="Q843">
        <v>17473.84</v>
      </c>
    </row>
    <row r="844" spans="1:17">
      <c r="A844" s="19">
        <v>45264</v>
      </c>
      <c r="B844" t="s">
        <v>1231</v>
      </c>
      <c r="C844" t="s">
        <v>1235</v>
      </c>
      <c r="D844" t="s">
        <v>1236</v>
      </c>
      <c r="E844" t="s">
        <v>145</v>
      </c>
      <c r="F844" s="10">
        <v>10</v>
      </c>
      <c r="G844" s="10">
        <v>3964.05</v>
      </c>
      <c r="H844" s="10">
        <v>39640.5</v>
      </c>
      <c r="J844">
        <v>44951</v>
      </c>
      <c r="K844" t="str">
        <v>West</v>
      </c>
      <c r="L844" t="str">
        <v>Maharashtra</v>
      </c>
      <c r="M844" t="str">
        <v>Pune</v>
      </c>
      <c r="N844" t="str">
        <v>Furniture</v>
      </c>
      <c r="O844">
        <v>2</v>
      </c>
      <c r="P844">
        <v>4439.5</v>
      </c>
      <c r="Q844">
        <v>8879</v>
      </c>
    </row>
    <row r="845" spans="1:17">
      <c r="A845" s="19">
        <v>45115</v>
      </c>
      <c r="B845" t="s">
        <v>1231</v>
      </c>
      <c r="C845" t="s">
        <v>1235</v>
      </c>
      <c r="D845" t="s">
        <v>1236</v>
      </c>
      <c r="E845" t="s">
        <v>145</v>
      </c>
      <c r="F845" s="10">
        <v>17</v>
      </c>
      <c r="G845" s="10">
        <v>2316.09</v>
      </c>
      <c r="H845" s="10">
        <v>39373.53</v>
      </c>
      <c r="J845">
        <v>45238</v>
      </c>
      <c r="K845" t="str">
        <v>West</v>
      </c>
      <c r="L845" t="str">
        <v>Maharashtra</v>
      </c>
      <c r="M845" t="str">
        <v>Pune</v>
      </c>
      <c r="N845" t="str">
        <v>Furniture</v>
      </c>
      <c r="O845">
        <v>11</v>
      </c>
      <c r="P845">
        <v>212.86</v>
      </c>
      <c r="Q845">
        <v>2341.46</v>
      </c>
    </row>
    <row r="846" spans="1:17">
      <c r="A846" s="19">
        <v>45003</v>
      </c>
      <c r="B846" t="s">
        <v>1231</v>
      </c>
      <c r="C846" t="s">
        <v>1235</v>
      </c>
      <c r="D846" t="s">
        <v>1238</v>
      </c>
      <c r="E846" t="s">
        <v>145</v>
      </c>
      <c r="F846" s="10">
        <v>14</v>
      </c>
      <c r="G846" s="10">
        <v>2746.27</v>
      </c>
      <c r="H846" s="10">
        <v>38447.78</v>
      </c>
      <c r="J846">
        <v>45258</v>
      </c>
      <c r="K846" t="str">
        <v>West</v>
      </c>
      <c r="L846" t="str">
        <v>Maharashtra</v>
      </c>
      <c r="M846" t="str">
        <v>Pune</v>
      </c>
      <c r="N846" t="str">
        <v>Groceries</v>
      </c>
      <c r="O846">
        <v>20</v>
      </c>
      <c r="P846">
        <v>4226.93</v>
      </c>
      <c r="Q846">
        <v>84538.6</v>
      </c>
    </row>
    <row r="847" spans="1:17">
      <c r="A847" s="19">
        <v>45291</v>
      </c>
      <c r="B847" t="s">
        <v>1229</v>
      </c>
      <c r="C847" t="s">
        <v>1237</v>
      </c>
      <c r="D847" t="s">
        <v>1173</v>
      </c>
      <c r="E847" t="s">
        <v>145</v>
      </c>
      <c r="F847" s="10">
        <v>10</v>
      </c>
      <c r="G847" s="10">
        <v>3806.67</v>
      </c>
      <c r="H847" s="10">
        <v>38066.699999999997</v>
      </c>
      <c r="J847">
        <v>44969</v>
      </c>
      <c r="K847" t="str">
        <v>West</v>
      </c>
      <c r="L847" t="str">
        <v>Maharashtra</v>
      </c>
      <c r="M847" t="str">
        <v>Pune</v>
      </c>
      <c r="N847" t="str">
        <v>Groceries</v>
      </c>
      <c r="O847">
        <v>18</v>
      </c>
      <c r="P847">
        <v>3040.28</v>
      </c>
      <c r="Q847">
        <v>54725.04</v>
      </c>
    </row>
    <row r="848" spans="1:17">
      <c r="A848" s="19">
        <v>45246</v>
      </c>
      <c r="B848" t="s">
        <v>1229</v>
      </c>
      <c r="C848" t="s">
        <v>1237</v>
      </c>
      <c r="D848" t="s">
        <v>1239</v>
      </c>
      <c r="E848" t="s">
        <v>145</v>
      </c>
      <c r="F848" s="10">
        <v>12</v>
      </c>
      <c r="G848" s="10">
        <v>3028.88</v>
      </c>
      <c r="H848" s="10">
        <v>36346.559999999998</v>
      </c>
      <c r="J848">
        <v>45199</v>
      </c>
      <c r="K848" t="str">
        <v>West</v>
      </c>
      <c r="L848" t="str">
        <v>Maharashtra</v>
      </c>
      <c r="M848" t="str">
        <v>Pune</v>
      </c>
      <c r="N848" t="str">
        <v>Groceries</v>
      </c>
      <c r="O848">
        <v>12</v>
      </c>
      <c r="P848">
        <v>3895.88</v>
      </c>
      <c r="Q848">
        <v>46750.559999999998</v>
      </c>
    </row>
    <row r="849" spans="1:17">
      <c r="A849" s="19">
        <v>45284</v>
      </c>
      <c r="B849" t="s">
        <v>1231</v>
      </c>
      <c r="C849" t="s">
        <v>1235</v>
      </c>
      <c r="D849" t="s">
        <v>1236</v>
      </c>
      <c r="E849" t="s">
        <v>145</v>
      </c>
      <c r="F849" s="10">
        <v>8</v>
      </c>
      <c r="G849" s="10">
        <v>4516.82</v>
      </c>
      <c r="H849" s="10">
        <v>36134.559999999998</v>
      </c>
      <c r="J849">
        <v>44936</v>
      </c>
      <c r="K849" t="str">
        <v>West</v>
      </c>
      <c r="L849" t="str">
        <v>Maharashtra</v>
      </c>
      <c r="M849" t="str">
        <v>Pune</v>
      </c>
      <c r="N849" t="str">
        <v>Groceries</v>
      </c>
      <c r="O849">
        <v>8</v>
      </c>
      <c r="P849">
        <v>4146.82</v>
      </c>
      <c r="Q849">
        <v>33174.559999999998</v>
      </c>
    </row>
    <row r="850" spans="1:17">
      <c r="A850" s="19">
        <v>45110</v>
      </c>
      <c r="B850" t="s">
        <v>1231</v>
      </c>
      <c r="C850" t="s">
        <v>1235</v>
      </c>
      <c r="D850" t="s">
        <v>1236</v>
      </c>
      <c r="E850" t="s">
        <v>145</v>
      </c>
      <c r="F850" s="10">
        <v>18</v>
      </c>
      <c r="G850" s="10">
        <v>1968.87</v>
      </c>
      <c r="H850" s="10">
        <v>35439.660000000003</v>
      </c>
      <c r="J850">
        <v>45131</v>
      </c>
      <c r="K850" t="str">
        <v>West</v>
      </c>
      <c r="L850" t="str">
        <v>Maharashtra</v>
      </c>
      <c r="M850" t="str">
        <v>Pune</v>
      </c>
      <c r="N850" t="str">
        <v>Groceries</v>
      </c>
      <c r="O850">
        <v>16</v>
      </c>
      <c r="P850">
        <v>1575.89</v>
      </c>
      <c r="Q850">
        <v>25214.240000000002</v>
      </c>
    </row>
    <row r="851" spans="1:17">
      <c r="A851" s="19">
        <v>45062</v>
      </c>
      <c r="B851" t="s">
        <v>1229</v>
      </c>
      <c r="C851" t="s">
        <v>1237</v>
      </c>
      <c r="D851" t="s">
        <v>1171</v>
      </c>
      <c r="E851" t="s">
        <v>145</v>
      </c>
      <c r="F851" s="10">
        <v>15</v>
      </c>
      <c r="G851" s="10">
        <v>2330.62</v>
      </c>
      <c r="H851" s="10">
        <v>34959.300000000003</v>
      </c>
      <c r="J851">
        <v>45180</v>
      </c>
      <c r="K851" t="str">
        <v>West</v>
      </c>
      <c r="L851" t="str">
        <v>Maharashtra</v>
      </c>
      <c r="M851" t="str">
        <v>Pune</v>
      </c>
      <c r="N851" t="str">
        <v>Groceries</v>
      </c>
      <c r="O851">
        <v>9</v>
      </c>
      <c r="P851">
        <v>2660.79</v>
      </c>
      <c r="Q851">
        <v>23947.11</v>
      </c>
    </row>
    <row r="852" spans="1:17">
      <c r="A852" s="19">
        <v>44942</v>
      </c>
      <c r="B852" t="s">
        <v>1242</v>
      </c>
      <c r="C852" t="s">
        <v>1243</v>
      </c>
      <c r="D852" t="s">
        <v>1247</v>
      </c>
      <c r="E852" t="s">
        <v>145</v>
      </c>
      <c r="F852" s="10">
        <v>8</v>
      </c>
      <c r="G852" s="10">
        <v>4334.41</v>
      </c>
      <c r="H852" s="10">
        <v>34675.279999999999</v>
      </c>
      <c r="J852">
        <v>44996</v>
      </c>
      <c r="K852" t="str">
        <v>West</v>
      </c>
      <c r="L852" t="str">
        <v>Maharashtra</v>
      </c>
      <c r="M852" t="str">
        <v>Pune</v>
      </c>
      <c r="N852" t="str">
        <v>Groceries</v>
      </c>
      <c r="O852">
        <v>5</v>
      </c>
      <c r="P852">
        <v>2583.81</v>
      </c>
      <c r="Q852">
        <v>12919.05</v>
      </c>
    </row>
    <row r="853" spans="1:17">
      <c r="A853" s="19">
        <v>44978</v>
      </c>
      <c r="B853" t="s">
        <v>1229</v>
      </c>
      <c r="C853" t="s">
        <v>1230</v>
      </c>
      <c r="D853" t="s">
        <v>1248</v>
      </c>
      <c r="E853" t="s">
        <v>145</v>
      </c>
      <c r="F853" s="10">
        <v>13</v>
      </c>
      <c r="G853" s="10">
        <v>2665.15</v>
      </c>
      <c r="H853" s="10">
        <v>34646.949999999997</v>
      </c>
      <c r="J853">
        <v>45243</v>
      </c>
      <c r="K853" t="str">
        <v>West</v>
      </c>
      <c r="L853" t="str">
        <v>Maharashtra</v>
      </c>
      <c r="M853" t="str">
        <v>Pune</v>
      </c>
      <c r="N853" t="str">
        <v>Groceries</v>
      </c>
      <c r="O853">
        <v>3</v>
      </c>
      <c r="P853">
        <v>2214.86</v>
      </c>
      <c r="Q853">
        <v>6644.58</v>
      </c>
    </row>
    <row r="854" spans="1:17">
      <c r="A854" s="19">
        <v>44961</v>
      </c>
      <c r="B854" t="s">
        <v>1229</v>
      </c>
      <c r="C854" t="s">
        <v>1237</v>
      </c>
      <c r="D854" t="s">
        <v>1239</v>
      </c>
      <c r="E854" t="s">
        <v>145</v>
      </c>
      <c r="F854" s="10">
        <v>8</v>
      </c>
      <c r="G854" s="10">
        <v>4290.04</v>
      </c>
      <c r="H854" s="10">
        <v>34320.32</v>
      </c>
      <c r="J854">
        <v>45064</v>
      </c>
      <c r="K854" t="str">
        <v>West</v>
      </c>
      <c r="L854" t="str">
        <v>Maharashtra</v>
      </c>
      <c r="M854" t="str">
        <v>Pune</v>
      </c>
      <c r="N854" t="str">
        <v>Groceries</v>
      </c>
      <c r="O854">
        <v>2</v>
      </c>
      <c r="P854">
        <v>2402.5700000000002</v>
      </c>
      <c r="Q854">
        <v>4805.1400000000003</v>
      </c>
    </row>
    <row r="855" spans="1:17">
      <c r="A855" s="19">
        <v>45132</v>
      </c>
      <c r="B855" t="s">
        <v>1231</v>
      </c>
      <c r="C855" t="s">
        <v>1232</v>
      </c>
      <c r="D855" t="s">
        <v>1233</v>
      </c>
      <c r="E855" t="s">
        <v>145</v>
      </c>
      <c r="F855" s="10">
        <v>12</v>
      </c>
      <c r="G855" s="10">
        <v>2821.2</v>
      </c>
      <c r="H855" s="10">
        <v>33854.400000000001</v>
      </c>
      <c r="J855">
        <v>45107</v>
      </c>
      <c r="K855" t="str">
        <v>West</v>
      </c>
      <c r="L855" t="str">
        <v>Maharashtra</v>
      </c>
      <c r="M855" t="str">
        <v>Pune</v>
      </c>
      <c r="N855" t="str">
        <v>Groceries</v>
      </c>
      <c r="O855">
        <v>1</v>
      </c>
      <c r="P855">
        <v>3698.2</v>
      </c>
      <c r="Q855">
        <v>3698.2</v>
      </c>
    </row>
    <row r="856" spans="1:17">
      <c r="A856" s="19">
        <v>45035</v>
      </c>
      <c r="B856" t="s">
        <v>1229</v>
      </c>
      <c r="C856" t="s">
        <v>1230</v>
      </c>
      <c r="D856" t="s">
        <v>1169</v>
      </c>
      <c r="E856" t="s">
        <v>145</v>
      </c>
      <c r="F856" s="10">
        <v>11</v>
      </c>
      <c r="G856" s="10">
        <v>3072.59</v>
      </c>
      <c r="H856" s="10">
        <v>33798.49</v>
      </c>
      <c r="J856">
        <v>45257</v>
      </c>
      <c r="K856" t="str">
        <v>West</v>
      </c>
      <c r="L856" t="str">
        <v>Maharashtra</v>
      </c>
      <c r="M856" t="str">
        <v>Pune</v>
      </c>
      <c r="N856" t="str">
        <v>Groceries</v>
      </c>
      <c r="O856">
        <v>1</v>
      </c>
      <c r="P856">
        <v>3459.33</v>
      </c>
      <c r="Q856">
        <v>3459.33</v>
      </c>
    </row>
    <row r="857" spans="1:17">
      <c r="A857" s="19">
        <v>45260</v>
      </c>
      <c r="B857" t="s">
        <v>1242</v>
      </c>
      <c r="C857" t="s">
        <v>1243</v>
      </c>
      <c r="D857" t="s">
        <v>1245</v>
      </c>
      <c r="E857" t="s">
        <v>145</v>
      </c>
      <c r="F857" s="10">
        <v>7</v>
      </c>
      <c r="G857" s="10">
        <v>4813.28</v>
      </c>
      <c r="H857" s="10">
        <v>33692.959999999999</v>
      </c>
      <c r="J857">
        <v>45226</v>
      </c>
      <c r="K857" t="str">
        <v>West</v>
      </c>
      <c r="L857" t="str">
        <v>Maharashtra</v>
      </c>
      <c r="M857" t="str">
        <v>Pune</v>
      </c>
      <c r="N857" t="str">
        <v>Groceries</v>
      </c>
      <c r="O857">
        <v>1</v>
      </c>
      <c r="P857">
        <v>1999.98</v>
      </c>
      <c r="Q857">
        <v>1999.98</v>
      </c>
    </row>
    <row r="858" spans="1:17">
      <c r="A858" s="19">
        <v>44933</v>
      </c>
      <c r="B858" t="s">
        <v>1231</v>
      </c>
      <c r="C858" t="s">
        <v>1235</v>
      </c>
      <c r="D858" t="s">
        <v>1236</v>
      </c>
      <c r="E858" t="s">
        <v>145</v>
      </c>
      <c r="F858" s="10">
        <v>8</v>
      </c>
      <c r="G858" s="10">
        <v>4201.6899999999996</v>
      </c>
      <c r="H858" s="10">
        <v>33613.519999999997</v>
      </c>
      <c r="J858">
        <v>45016</v>
      </c>
      <c r="K858" t="str">
        <v>West</v>
      </c>
      <c r="L858" t="str">
        <v>Maharashtra</v>
      </c>
      <c r="M858" t="str">
        <v>Pune</v>
      </c>
      <c r="N858" t="str">
        <v>Groceries</v>
      </c>
      <c r="O858">
        <v>1</v>
      </c>
      <c r="P858">
        <v>1889.5</v>
      </c>
      <c r="Q858">
        <v>1889.5</v>
      </c>
    </row>
    <row r="859" spans="1:17">
      <c r="A859" s="19">
        <v>44971</v>
      </c>
      <c r="B859" t="s">
        <v>1231</v>
      </c>
      <c r="C859" t="s">
        <v>1232</v>
      </c>
      <c r="D859" t="s">
        <v>1240</v>
      </c>
      <c r="E859" t="s">
        <v>145</v>
      </c>
      <c r="F859" s="10">
        <v>12</v>
      </c>
      <c r="G859" s="10">
        <v>2733.87</v>
      </c>
      <c r="H859" s="10">
        <v>32806.44</v>
      </c>
      <c r="J859">
        <v>44939</v>
      </c>
      <c r="K859" t="str">
        <v>West</v>
      </c>
      <c r="L859" t="str">
        <v>Maharashtra</v>
      </c>
      <c r="M859" t="str">
        <v>Pune</v>
      </c>
      <c r="N859" t="str">
        <v>Stationery</v>
      </c>
      <c r="O859">
        <v>18</v>
      </c>
      <c r="P859">
        <v>4721.4399999999996</v>
      </c>
      <c r="Q859">
        <v>84985.919999999998</v>
      </c>
    </row>
    <row r="860" spans="1:17">
      <c r="A860" s="19">
        <v>45269</v>
      </c>
      <c r="B860" t="s">
        <v>1242</v>
      </c>
      <c r="C860" t="s">
        <v>1243</v>
      </c>
      <c r="D860" t="s">
        <v>1244</v>
      </c>
      <c r="E860" t="s">
        <v>145</v>
      </c>
      <c r="F860" s="10">
        <v>12</v>
      </c>
      <c r="G860" s="10">
        <v>2726.43</v>
      </c>
      <c r="H860" s="10">
        <v>32717.16</v>
      </c>
      <c r="J860">
        <v>45006</v>
      </c>
      <c r="K860" t="str">
        <v>West</v>
      </c>
      <c r="L860" t="str">
        <v>Maharashtra</v>
      </c>
      <c r="M860" t="str">
        <v>Pune</v>
      </c>
      <c r="N860" t="str">
        <v>Stationery</v>
      </c>
      <c r="O860">
        <v>19</v>
      </c>
      <c r="P860">
        <v>4229.42</v>
      </c>
      <c r="Q860">
        <v>80358.98</v>
      </c>
    </row>
    <row r="861" spans="1:17">
      <c r="A861" s="19">
        <v>45283</v>
      </c>
      <c r="B861" t="s">
        <v>1229</v>
      </c>
      <c r="C861" t="s">
        <v>1230</v>
      </c>
      <c r="D861" t="s">
        <v>1248</v>
      </c>
      <c r="E861" t="s">
        <v>145</v>
      </c>
      <c r="F861" s="10">
        <v>8</v>
      </c>
      <c r="G861" s="10">
        <v>4009.51</v>
      </c>
      <c r="H861" s="10">
        <v>32076.080000000002</v>
      </c>
      <c r="J861">
        <v>45029</v>
      </c>
      <c r="K861" t="str">
        <v>West</v>
      </c>
      <c r="L861" t="str">
        <v>Maharashtra</v>
      </c>
      <c r="M861" t="str">
        <v>Pune</v>
      </c>
      <c r="N861" t="str">
        <v>Stationery</v>
      </c>
      <c r="O861">
        <v>19</v>
      </c>
      <c r="P861">
        <v>3927.27</v>
      </c>
      <c r="Q861">
        <v>74618.13</v>
      </c>
    </row>
    <row r="862" spans="1:17">
      <c r="A862" s="19">
        <v>45252</v>
      </c>
      <c r="B862" t="s">
        <v>1242</v>
      </c>
      <c r="C862" t="s">
        <v>1243</v>
      </c>
      <c r="D862" t="s">
        <v>1245</v>
      </c>
      <c r="E862" t="s">
        <v>145</v>
      </c>
      <c r="F862" s="10">
        <v>9</v>
      </c>
      <c r="G862" s="10">
        <v>3552.02</v>
      </c>
      <c r="H862" s="10">
        <v>31968.18</v>
      </c>
      <c r="J862">
        <v>45289</v>
      </c>
      <c r="K862" t="str">
        <v>West</v>
      </c>
      <c r="L862" t="str">
        <v>Maharashtra</v>
      </c>
      <c r="M862" t="str">
        <v>Pune</v>
      </c>
      <c r="N862" t="str">
        <v>Stationery</v>
      </c>
      <c r="O862">
        <v>13</v>
      </c>
      <c r="P862">
        <v>4985.82</v>
      </c>
      <c r="Q862">
        <v>64815.66</v>
      </c>
    </row>
    <row r="863" spans="1:17">
      <c r="A863" s="19">
        <v>45051</v>
      </c>
      <c r="B863" t="s">
        <v>1231</v>
      </c>
      <c r="C863" t="s">
        <v>1232</v>
      </c>
      <c r="D863" t="s">
        <v>1234</v>
      </c>
      <c r="E863" t="s">
        <v>145</v>
      </c>
      <c r="F863" s="10">
        <v>7</v>
      </c>
      <c r="G863" s="10">
        <v>4530.8100000000004</v>
      </c>
      <c r="H863" s="10">
        <v>31715.67</v>
      </c>
      <c r="J863">
        <v>44934</v>
      </c>
      <c r="K863" t="str">
        <v>West</v>
      </c>
      <c r="L863" t="str">
        <v>Maharashtra</v>
      </c>
      <c r="M863" t="str">
        <v>Pune</v>
      </c>
      <c r="N863" t="str">
        <v>Stationery</v>
      </c>
      <c r="O863">
        <v>16</v>
      </c>
      <c r="P863">
        <v>3702.43</v>
      </c>
      <c r="Q863">
        <v>59238.879999999997</v>
      </c>
    </row>
    <row r="864" spans="1:17">
      <c r="A864" s="19">
        <v>44935</v>
      </c>
      <c r="B864" t="s">
        <v>1229</v>
      </c>
      <c r="C864" t="s">
        <v>1230</v>
      </c>
      <c r="D864" t="s">
        <v>1248</v>
      </c>
      <c r="E864" t="s">
        <v>145</v>
      </c>
      <c r="F864" s="10">
        <v>7</v>
      </c>
      <c r="G864" s="10">
        <v>4508.28</v>
      </c>
      <c r="H864" s="10">
        <v>31557.96</v>
      </c>
      <c r="J864">
        <v>45286</v>
      </c>
      <c r="K864" t="str">
        <v>West</v>
      </c>
      <c r="L864" t="str">
        <v>Maharashtra</v>
      </c>
      <c r="M864" t="str">
        <v>Pune</v>
      </c>
      <c r="N864" t="str">
        <v>Stationery</v>
      </c>
      <c r="O864">
        <v>12</v>
      </c>
      <c r="P864">
        <v>4765.33</v>
      </c>
      <c r="Q864">
        <v>57183.96</v>
      </c>
    </row>
    <row r="865" spans="1:17">
      <c r="A865" s="19">
        <v>45255</v>
      </c>
      <c r="B865" t="s">
        <v>1231</v>
      </c>
      <c r="C865" t="s">
        <v>1235</v>
      </c>
      <c r="D865" t="s">
        <v>1238</v>
      </c>
      <c r="E865" t="s">
        <v>145</v>
      </c>
      <c r="F865" s="10">
        <v>15</v>
      </c>
      <c r="G865" s="10">
        <v>2081.27</v>
      </c>
      <c r="H865" s="10">
        <v>31219.05</v>
      </c>
      <c r="J865">
        <v>45291</v>
      </c>
      <c r="K865" t="str">
        <v>West</v>
      </c>
      <c r="L865" t="str">
        <v>Maharashtra</v>
      </c>
      <c r="M865" t="str">
        <v>Pune</v>
      </c>
      <c r="N865" t="str">
        <v>Stationery</v>
      </c>
      <c r="O865">
        <v>10</v>
      </c>
      <c r="P865">
        <v>4995.74</v>
      </c>
      <c r="Q865">
        <v>49957.4</v>
      </c>
    </row>
    <row r="866" spans="1:17">
      <c r="A866" s="19">
        <v>45106</v>
      </c>
      <c r="B866" t="s">
        <v>1229</v>
      </c>
      <c r="C866" t="s">
        <v>1237</v>
      </c>
      <c r="D866" t="s">
        <v>1173</v>
      </c>
      <c r="E866" t="s">
        <v>145</v>
      </c>
      <c r="F866" s="10">
        <v>20</v>
      </c>
      <c r="G866" s="10">
        <v>1536.73</v>
      </c>
      <c r="H866" s="10">
        <v>30734.6</v>
      </c>
      <c r="J866">
        <v>45291</v>
      </c>
      <c r="K866" t="str">
        <v>West</v>
      </c>
      <c r="L866" t="str">
        <v>Maharashtra</v>
      </c>
      <c r="M866" t="str">
        <v>Pune</v>
      </c>
      <c r="N866" t="str">
        <v>Stationery</v>
      </c>
      <c r="O866">
        <v>10</v>
      </c>
      <c r="P866">
        <v>3806.67</v>
      </c>
      <c r="Q866">
        <v>38066.699999999997</v>
      </c>
    </row>
    <row r="867" spans="1:17">
      <c r="A867" s="19">
        <v>45035</v>
      </c>
      <c r="B867" t="s">
        <v>1229</v>
      </c>
      <c r="C867" t="s">
        <v>1230</v>
      </c>
      <c r="D867" t="s">
        <v>1248</v>
      </c>
      <c r="E867" t="s">
        <v>145</v>
      </c>
      <c r="F867" s="10">
        <v>17</v>
      </c>
      <c r="G867" s="10">
        <v>1793.43</v>
      </c>
      <c r="H867" s="10">
        <v>30488.31</v>
      </c>
      <c r="J867">
        <v>45106</v>
      </c>
      <c r="K867" t="str">
        <v>West</v>
      </c>
      <c r="L867" t="str">
        <v>Maharashtra</v>
      </c>
      <c r="M867" t="str">
        <v>Pune</v>
      </c>
      <c r="N867" t="str">
        <v>Stationery</v>
      </c>
      <c r="O867">
        <v>20</v>
      </c>
      <c r="P867">
        <v>1536.73</v>
      </c>
      <c r="Q867">
        <v>30734.6</v>
      </c>
    </row>
    <row r="868" spans="1:17">
      <c r="A868" s="19">
        <v>44958</v>
      </c>
      <c r="B868" t="s">
        <v>1231</v>
      </c>
      <c r="C868" t="s">
        <v>1235</v>
      </c>
      <c r="D868" t="s">
        <v>1238</v>
      </c>
      <c r="E868" t="s">
        <v>145</v>
      </c>
      <c r="F868" s="10">
        <v>20</v>
      </c>
      <c r="G868" s="10">
        <v>1514.3</v>
      </c>
      <c r="H868" s="10">
        <v>30286</v>
      </c>
      <c r="J868">
        <v>45110</v>
      </c>
      <c r="K868" t="str">
        <v>West</v>
      </c>
      <c r="L868" t="str">
        <v>Maharashtra</v>
      </c>
      <c r="M868" t="str">
        <v>Pune</v>
      </c>
      <c r="N868" t="str">
        <v>Stationery</v>
      </c>
      <c r="O868">
        <v>5</v>
      </c>
      <c r="P868">
        <v>4716.38</v>
      </c>
      <c r="Q868">
        <v>23581.9</v>
      </c>
    </row>
    <row r="869" spans="1:17">
      <c r="A869" s="19">
        <v>45043</v>
      </c>
      <c r="B869" t="s">
        <v>1242</v>
      </c>
      <c r="C869" t="s">
        <v>1243</v>
      </c>
      <c r="D869" t="s">
        <v>1247</v>
      </c>
      <c r="E869" t="s">
        <v>145</v>
      </c>
      <c r="F869" s="10">
        <v>13</v>
      </c>
      <c r="G869" s="10">
        <v>2327.81</v>
      </c>
      <c r="H869" s="10">
        <v>30261.53</v>
      </c>
      <c r="J869">
        <v>44962</v>
      </c>
      <c r="K869" t="str">
        <v>West</v>
      </c>
      <c r="L869" t="str">
        <v>Maharashtra</v>
      </c>
      <c r="M869" t="str">
        <v>Pune</v>
      </c>
      <c r="N869" t="str">
        <v>Stationery</v>
      </c>
      <c r="O869">
        <v>9</v>
      </c>
      <c r="P869">
        <v>2267.7199999999998</v>
      </c>
      <c r="Q869">
        <v>20409.48</v>
      </c>
    </row>
    <row r="870" spans="1:17">
      <c r="A870" s="19">
        <v>44978</v>
      </c>
      <c r="B870" t="s">
        <v>1231</v>
      </c>
      <c r="C870" t="s">
        <v>1235</v>
      </c>
      <c r="D870" t="s">
        <v>1238</v>
      </c>
      <c r="E870" t="s">
        <v>145</v>
      </c>
      <c r="F870" s="10">
        <v>17</v>
      </c>
      <c r="G870" s="10">
        <v>1777.42</v>
      </c>
      <c r="H870" s="10">
        <v>30216.14</v>
      </c>
      <c r="J870">
        <v>45280</v>
      </c>
      <c r="K870" t="str">
        <v>West</v>
      </c>
      <c r="L870" t="str">
        <v>Maharashtra</v>
      </c>
      <c r="M870" t="str">
        <v>Pune</v>
      </c>
      <c r="N870" t="str">
        <v>Stationery</v>
      </c>
      <c r="O870">
        <v>7</v>
      </c>
      <c r="P870">
        <v>1711.81</v>
      </c>
      <c r="Q870">
        <v>11982.67</v>
      </c>
    </row>
    <row r="871" spans="1:17">
      <c r="A871" s="19">
        <v>44977</v>
      </c>
      <c r="B871" t="s">
        <v>1229</v>
      </c>
      <c r="C871" t="s">
        <v>1237</v>
      </c>
      <c r="D871" t="s">
        <v>1239</v>
      </c>
      <c r="E871" t="s">
        <v>145</v>
      </c>
      <c r="F871" s="10">
        <v>9</v>
      </c>
      <c r="G871" s="10">
        <v>3318.1</v>
      </c>
      <c r="H871" s="10">
        <v>29862.9</v>
      </c>
      <c r="J871">
        <v>45123</v>
      </c>
      <c r="K871" t="str">
        <v>West</v>
      </c>
      <c r="L871" t="str">
        <v>Maharashtra</v>
      </c>
      <c r="M871" t="str">
        <v>Pune</v>
      </c>
      <c r="N871" t="str">
        <v>Stationery</v>
      </c>
      <c r="O871">
        <v>8</v>
      </c>
      <c r="P871">
        <v>1371.28</v>
      </c>
      <c r="Q871">
        <v>10970.24</v>
      </c>
    </row>
    <row r="872" spans="1:17">
      <c r="A872" s="19">
        <v>45201</v>
      </c>
      <c r="B872" t="s">
        <v>1231</v>
      </c>
      <c r="C872" t="s">
        <v>1235</v>
      </c>
      <c r="D872" t="s">
        <v>1236</v>
      </c>
      <c r="E872" t="s">
        <v>145</v>
      </c>
      <c r="F872" s="10">
        <v>19</v>
      </c>
      <c r="G872" s="10">
        <v>1564.94</v>
      </c>
      <c r="H872" s="10">
        <v>29733.86</v>
      </c>
      <c r="J872">
        <v>45287</v>
      </c>
      <c r="K872" t="str">
        <v>West</v>
      </c>
      <c r="L872" t="str">
        <v>Maharashtra</v>
      </c>
      <c r="M872" t="str">
        <v>Pune</v>
      </c>
      <c r="N872" t="str">
        <v>Stationery</v>
      </c>
      <c r="O872">
        <v>11</v>
      </c>
      <c r="P872">
        <v>923.59</v>
      </c>
      <c r="Q872">
        <v>10159.49</v>
      </c>
    </row>
    <row r="873" spans="1:17">
      <c r="A873" s="19">
        <v>45101</v>
      </c>
      <c r="B873" t="s">
        <v>1242</v>
      </c>
      <c r="C873" t="s">
        <v>1243</v>
      </c>
      <c r="D873" t="s">
        <v>1247</v>
      </c>
      <c r="E873" t="s">
        <v>145</v>
      </c>
      <c r="F873" s="10">
        <v>7</v>
      </c>
      <c r="G873" s="10">
        <v>4243.95</v>
      </c>
      <c r="H873" s="10">
        <v>29707.65</v>
      </c>
      <c r="J873">
        <v>45073</v>
      </c>
      <c r="K873" t="str">
        <v>West</v>
      </c>
      <c r="L873" t="str">
        <v>Maharashtra</v>
      </c>
      <c r="M873" t="str">
        <v>Pune</v>
      </c>
      <c r="N873" t="str">
        <v>Stationery</v>
      </c>
      <c r="O873">
        <v>10</v>
      </c>
      <c r="P873">
        <v>938.57</v>
      </c>
      <c r="Q873">
        <v>9385.7000000000007</v>
      </c>
    </row>
    <row r="874" spans="1:17">
      <c r="A874" s="19">
        <v>44985</v>
      </c>
      <c r="B874" t="s">
        <v>1229</v>
      </c>
      <c r="C874" t="s">
        <v>1230</v>
      </c>
      <c r="D874" t="s">
        <v>1246</v>
      </c>
      <c r="E874" t="s">
        <v>145</v>
      </c>
      <c r="F874" s="10">
        <v>9</v>
      </c>
      <c r="G874" s="10">
        <v>3276.04</v>
      </c>
      <c r="H874" s="10">
        <v>29484.36</v>
      </c>
      <c r="J874">
        <v>45198</v>
      </c>
      <c r="K874" t="str">
        <v>West</v>
      </c>
      <c r="L874" t="str">
        <v>Maharashtra</v>
      </c>
      <c r="M874" t="str">
        <v>Pune</v>
      </c>
      <c r="N874" t="str">
        <v>Stationery</v>
      </c>
      <c r="O874">
        <v>9</v>
      </c>
      <c r="P874">
        <v>1001.37</v>
      </c>
      <c r="Q874">
        <v>9012.33</v>
      </c>
    </row>
    <row r="875" spans="1:17">
      <c r="A875" s="19">
        <v>45166</v>
      </c>
      <c r="B875" t="s">
        <v>1231</v>
      </c>
      <c r="C875" t="s">
        <v>1235</v>
      </c>
      <c r="D875" t="s">
        <v>1241</v>
      </c>
      <c r="E875" t="s">
        <v>145</v>
      </c>
      <c r="F875" s="10">
        <v>7</v>
      </c>
      <c r="G875" s="10">
        <v>4083.1</v>
      </c>
      <c r="H875" s="10">
        <v>28581.7</v>
      </c>
      <c r="J875">
        <v>45223</v>
      </c>
      <c r="K875" t="str">
        <v>West</v>
      </c>
      <c r="L875" t="str">
        <v>Maharashtra</v>
      </c>
      <c r="M875" t="str">
        <v>Pune</v>
      </c>
      <c r="N875" t="str">
        <v>Stationery</v>
      </c>
      <c r="O875">
        <v>2</v>
      </c>
      <c r="P875">
        <v>3753.37</v>
      </c>
      <c r="Q875">
        <v>7506.74</v>
      </c>
    </row>
    <row r="876" spans="1:17">
      <c r="A876" s="19">
        <v>44932</v>
      </c>
      <c r="B876" t="s">
        <v>1242</v>
      </c>
      <c r="C876" t="s">
        <v>1243</v>
      </c>
      <c r="D876" t="s">
        <v>1244</v>
      </c>
      <c r="E876" t="s">
        <v>145</v>
      </c>
      <c r="F876" s="10">
        <v>6</v>
      </c>
      <c r="G876" s="10">
        <v>4673.01</v>
      </c>
      <c r="H876" s="10">
        <v>28038.06</v>
      </c>
      <c r="J876">
        <v>44934</v>
      </c>
      <c r="K876" t="str">
        <v>West</v>
      </c>
      <c r="L876" t="str">
        <v>Maharashtra</v>
      </c>
      <c r="M876" t="str">
        <v>Pune</v>
      </c>
      <c r="N876" t="str">
        <v>Stationery</v>
      </c>
      <c r="O876">
        <v>2</v>
      </c>
      <c r="P876">
        <v>3240.32</v>
      </c>
      <c r="Q876">
        <v>6480.64</v>
      </c>
    </row>
    <row r="877" spans="1:17">
      <c r="A877" s="19">
        <v>45071</v>
      </c>
      <c r="B877" t="s">
        <v>1231</v>
      </c>
      <c r="C877" t="s">
        <v>1232</v>
      </c>
      <c r="D877" t="s">
        <v>1240</v>
      </c>
      <c r="E877" t="s">
        <v>145</v>
      </c>
      <c r="F877" s="10">
        <v>14</v>
      </c>
      <c r="G877" s="10">
        <v>1972.22</v>
      </c>
      <c r="H877" s="10">
        <v>27611.08</v>
      </c>
      <c r="J877">
        <v>45143</v>
      </c>
      <c r="K877" t="str">
        <v>West</v>
      </c>
      <c r="L877" t="str">
        <v>Maharashtra</v>
      </c>
      <c r="M877" t="str">
        <v>Pune</v>
      </c>
      <c r="N877" t="str">
        <v>Stationery</v>
      </c>
      <c r="O877">
        <v>11</v>
      </c>
      <c r="P877">
        <v>587.46</v>
      </c>
      <c r="Q877">
        <v>6462.06</v>
      </c>
    </row>
    <row r="878" spans="1:17">
      <c r="A878" s="19">
        <v>44993</v>
      </c>
      <c r="B878" t="s">
        <v>1242</v>
      </c>
      <c r="C878" t="s">
        <v>1243</v>
      </c>
      <c r="D878" t="s">
        <v>1245</v>
      </c>
      <c r="E878" t="s">
        <v>145</v>
      </c>
      <c r="F878" s="10">
        <v>19</v>
      </c>
      <c r="G878" s="10">
        <v>1414.78</v>
      </c>
      <c r="H878" s="10">
        <v>26880.82</v>
      </c>
      <c r="J878">
        <v>45010</v>
      </c>
      <c r="K878" t="str">
        <v>West</v>
      </c>
      <c r="L878" t="str">
        <v>Maharashtra</v>
      </c>
      <c r="M878" t="str">
        <v>Pune</v>
      </c>
      <c r="N878" t="str">
        <v>Stationery</v>
      </c>
      <c r="O878">
        <v>16</v>
      </c>
      <c r="P878">
        <v>328.65</v>
      </c>
      <c r="Q878">
        <v>5258.4</v>
      </c>
    </row>
    <row r="879" spans="1:17">
      <c r="A879" s="19">
        <v>44946</v>
      </c>
      <c r="B879" t="s">
        <v>1231</v>
      </c>
      <c r="C879" t="s">
        <v>1232</v>
      </c>
      <c r="D879" t="s">
        <v>1234</v>
      </c>
      <c r="E879" t="s">
        <v>145</v>
      </c>
      <c r="F879" s="10">
        <v>11</v>
      </c>
      <c r="G879" s="10">
        <v>2426.48</v>
      </c>
      <c r="H879" s="10">
        <v>26691.279999999999</v>
      </c>
      <c r="J879">
        <v>45288</v>
      </c>
      <c r="K879" t="str">
        <v>West</v>
      </c>
      <c r="L879" t="str">
        <v>Maharashtra</v>
      </c>
      <c r="M879" t="str">
        <v>Pune</v>
      </c>
      <c r="N879" t="str">
        <v>Stationery</v>
      </c>
      <c r="O879">
        <v>1</v>
      </c>
      <c r="P879">
        <v>1520.22</v>
      </c>
      <c r="Q879">
        <v>1520.22</v>
      </c>
    </row>
    <row r="880" spans="1:17">
      <c r="A880" s="19">
        <v>45219</v>
      </c>
      <c r="B880" t="s">
        <v>1229</v>
      </c>
      <c r="C880" t="s">
        <v>1230</v>
      </c>
      <c r="D880" t="s">
        <v>1246</v>
      </c>
      <c r="E880" t="s">
        <v>145</v>
      </c>
      <c r="F880" s="10">
        <v>12</v>
      </c>
      <c r="G880" s="10">
        <v>2208.4899999999998</v>
      </c>
      <c r="H880" s="10">
        <v>26501.88</v>
      </c>
      <c r="J880">
        <v>45257</v>
      </c>
      <c r="K880" t="str">
        <v>West</v>
      </c>
      <c r="L880" t="str">
        <v>Maharashtra</v>
      </c>
      <c r="M880" t="str">
        <v>Pune</v>
      </c>
      <c r="N880" t="str">
        <v>Stationery</v>
      </c>
      <c r="O880">
        <v>6</v>
      </c>
      <c r="P880">
        <v>177.34</v>
      </c>
      <c r="Q880">
        <v>1064.04</v>
      </c>
    </row>
    <row r="881" spans="1:17">
      <c r="A881" s="19">
        <v>45065</v>
      </c>
      <c r="B881" t="s">
        <v>1242</v>
      </c>
      <c r="C881" t="s">
        <v>1243</v>
      </c>
      <c r="D881" t="s">
        <v>1245</v>
      </c>
      <c r="E881" t="s">
        <v>145</v>
      </c>
      <c r="F881" s="10">
        <v>13</v>
      </c>
      <c r="G881" s="10">
        <v>1965.63</v>
      </c>
      <c r="H881" s="10">
        <v>25553.19</v>
      </c>
      <c r="J881">
        <v>45200</v>
      </c>
      <c r="K881" t="str">
        <v>West</v>
      </c>
      <c r="L881" t="str">
        <v>Gujarat</v>
      </c>
      <c r="M881" t="str">
        <v>Surat</v>
      </c>
      <c r="N881" t="str">
        <v>Clothing</v>
      </c>
      <c r="O881">
        <v>20</v>
      </c>
      <c r="P881">
        <v>4712.75</v>
      </c>
      <c r="Q881">
        <v>94255</v>
      </c>
    </row>
    <row r="882" spans="1:17">
      <c r="A882" s="19">
        <v>45266</v>
      </c>
      <c r="B882" t="s">
        <v>1231</v>
      </c>
      <c r="C882" t="s">
        <v>1232</v>
      </c>
      <c r="D882" t="s">
        <v>1234</v>
      </c>
      <c r="E882" t="s">
        <v>145</v>
      </c>
      <c r="F882" s="10">
        <v>5</v>
      </c>
      <c r="G882" s="10">
        <v>4987.84</v>
      </c>
      <c r="H882" s="10">
        <v>24939.200000000001</v>
      </c>
      <c r="J882">
        <v>44976</v>
      </c>
      <c r="K882" t="str">
        <v>West</v>
      </c>
      <c r="L882" t="str">
        <v>Gujarat</v>
      </c>
      <c r="M882" t="str">
        <v>Surat</v>
      </c>
      <c r="N882" t="str">
        <v>Clothing</v>
      </c>
      <c r="O882">
        <v>19</v>
      </c>
      <c r="P882">
        <v>3649.75</v>
      </c>
      <c r="Q882">
        <v>69345.25</v>
      </c>
    </row>
    <row r="883" spans="1:17">
      <c r="A883" s="19">
        <v>44998</v>
      </c>
      <c r="B883" t="s">
        <v>1229</v>
      </c>
      <c r="C883" t="s">
        <v>1237</v>
      </c>
      <c r="D883" t="s">
        <v>1171</v>
      </c>
      <c r="E883" t="s">
        <v>145</v>
      </c>
      <c r="F883" s="10">
        <v>5</v>
      </c>
      <c r="G883" s="10">
        <v>4987.7</v>
      </c>
      <c r="H883" s="10">
        <v>24938.5</v>
      </c>
      <c r="J883">
        <v>45150</v>
      </c>
      <c r="K883" t="str">
        <v>West</v>
      </c>
      <c r="L883" t="str">
        <v>Gujarat</v>
      </c>
      <c r="M883" t="str">
        <v>Surat</v>
      </c>
      <c r="N883" t="str">
        <v>Clothing</v>
      </c>
      <c r="O883">
        <v>13</v>
      </c>
      <c r="P883">
        <v>2475.98</v>
      </c>
      <c r="Q883">
        <v>32187.74</v>
      </c>
    </row>
    <row r="884" spans="1:17">
      <c r="A884" s="19">
        <v>44975</v>
      </c>
      <c r="B884" t="s">
        <v>1229</v>
      </c>
      <c r="C884" t="s">
        <v>1230</v>
      </c>
      <c r="D884" t="s">
        <v>1248</v>
      </c>
      <c r="E884" t="s">
        <v>145</v>
      </c>
      <c r="F884" s="10">
        <v>9</v>
      </c>
      <c r="G884" s="10">
        <v>2677.7</v>
      </c>
      <c r="H884" s="10">
        <v>24099.3</v>
      </c>
      <c r="J884">
        <v>44929</v>
      </c>
      <c r="K884" t="str">
        <v>West</v>
      </c>
      <c r="L884" t="str">
        <v>Gujarat</v>
      </c>
      <c r="M884" t="str">
        <v>Surat</v>
      </c>
      <c r="N884" t="str">
        <v>Clothing</v>
      </c>
      <c r="O884">
        <v>12</v>
      </c>
      <c r="P884">
        <v>1169.8399999999999</v>
      </c>
      <c r="Q884">
        <v>14038.08</v>
      </c>
    </row>
    <row r="885" spans="1:17">
      <c r="A885" s="19">
        <v>45289</v>
      </c>
      <c r="B885" t="s">
        <v>1229</v>
      </c>
      <c r="C885" t="s">
        <v>1230</v>
      </c>
      <c r="D885" t="s">
        <v>1169</v>
      </c>
      <c r="E885" t="s">
        <v>145</v>
      </c>
      <c r="F885" s="10">
        <v>14</v>
      </c>
      <c r="G885" s="10">
        <v>1720</v>
      </c>
      <c r="H885" s="10">
        <v>24080</v>
      </c>
      <c r="J885">
        <v>44956</v>
      </c>
      <c r="K885" t="str">
        <v>West</v>
      </c>
      <c r="L885" t="str">
        <v>Gujarat</v>
      </c>
      <c r="M885" t="str">
        <v>Surat</v>
      </c>
      <c r="N885" t="str">
        <v>Clothing</v>
      </c>
      <c r="O885">
        <v>3</v>
      </c>
      <c r="P885">
        <v>4678.38</v>
      </c>
      <c r="Q885">
        <v>14035.14</v>
      </c>
    </row>
    <row r="886" spans="1:17">
      <c r="A886" s="19">
        <v>45248</v>
      </c>
      <c r="B886" t="s">
        <v>1231</v>
      </c>
      <c r="C886" t="s">
        <v>1232</v>
      </c>
      <c r="D886" t="s">
        <v>1240</v>
      </c>
      <c r="E886" t="s">
        <v>145</v>
      </c>
      <c r="F886" s="10">
        <v>16</v>
      </c>
      <c r="G886" s="10">
        <v>1480.7</v>
      </c>
      <c r="H886" s="10">
        <v>23691.200000000001</v>
      </c>
      <c r="J886">
        <v>45199</v>
      </c>
      <c r="K886" t="str">
        <v>West</v>
      </c>
      <c r="L886" t="str">
        <v>Gujarat</v>
      </c>
      <c r="M886" t="str">
        <v>Surat</v>
      </c>
      <c r="N886" t="str">
        <v>Clothing</v>
      </c>
      <c r="O886">
        <v>11</v>
      </c>
      <c r="P886">
        <v>793.45</v>
      </c>
      <c r="Q886">
        <v>8727.9500000000007</v>
      </c>
    </row>
    <row r="887" spans="1:17">
      <c r="A887" s="19">
        <v>45172</v>
      </c>
      <c r="B887" t="s">
        <v>1242</v>
      </c>
      <c r="C887" t="s">
        <v>1243</v>
      </c>
      <c r="D887" t="s">
        <v>1245</v>
      </c>
      <c r="E887" t="s">
        <v>145</v>
      </c>
      <c r="F887" s="10">
        <v>12</v>
      </c>
      <c r="G887" s="10">
        <v>1973.14</v>
      </c>
      <c r="H887" s="10">
        <v>23677.68</v>
      </c>
      <c r="J887">
        <v>45247</v>
      </c>
      <c r="K887" t="str">
        <v>West</v>
      </c>
      <c r="L887" t="str">
        <v>Gujarat</v>
      </c>
      <c r="M887" t="str">
        <v>Surat</v>
      </c>
      <c r="N887" t="str">
        <v>Clothing</v>
      </c>
      <c r="O887">
        <v>3</v>
      </c>
      <c r="P887">
        <v>1818.3</v>
      </c>
      <c r="Q887">
        <v>5454.9</v>
      </c>
    </row>
    <row r="888" spans="1:17">
      <c r="A888" s="19">
        <v>45110</v>
      </c>
      <c r="B888" t="s">
        <v>1229</v>
      </c>
      <c r="C888" t="s">
        <v>1237</v>
      </c>
      <c r="D888" t="s">
        <v>1173</v>
      </c>
      <c r="E888" t="s">
        <v>145</v>
      </c>
      <c r="F888" s="10">
        <v>5</v>
      </c>
      <c r="G888" s="10">
        <v>4716.38</v>
      </c>
      <c r="H888" s="10">
        <v>23581.9</v>
      </c>
      <c r="J888">
        <v>45257</v>
      </c>
      <c r="K888" t="str">
        <v>West</v>
      </c>
      <c r="L888" t="str">
        <v>Gujarat</v>
      </c>
      <c r="M888" t="str">
        <v>Surat</v>
      </c>
      <c r="N888" t="str">
        <v>Clothing</v>
      </c>
      <c r="O888">
        <v>4</v>
      </c>
      <c r="P888">
        <v>1303.8800000000001</v>
      </c>
      <c r="Q888">
        <v>5215.5200000000004</v>
      </c>
    </row>
    <row r="889" spans="1:17">
      <c r="A889" s="19">
        <v>45062</v>
      </c>
      <c r="B889" t="s">
        <v>1231</v>
      </c>
      <c r="C889" t="s">
        <v>1232</v>
      </c>
      <c r="D889" t="s">
        <v>1233</v>
      </c>
      <c r="E889" t="s">
        <v>145</v>
      </c>
      <c r="F889" s="10">
        <v>5</v>
      </c>
      <c r="G889" s="10">
        <v>4619.16</v>
      </c>
      <c r="H889" s="10">
        <v>23095.8</v>
      </c>
      <c r="J889">
        <v>45214</v>
      </c>
      <c r="K889" t="str">
        <v>West</v>
      </c>
      <c r="L889" t="str">
        <v>Gujarat</v>
      </c>
      <c r="M889" t="str">
        <v>Surat</v>
      </c>
      <c r="N889" t="str">
        <v>Clothing</v>
      </c>
      <c r="O889">
        <v>1</v>
      </c>
      <c r="P889">
        <v>3658.84</v>
      </c>
      <c r="Q889">
        <v>3658.84</v>
      </c>
    </row>
    <row r="890" spans="1:17">
      <c r="A890" s="19">
        <v>45096</v>
      </c>
      <c r="B890" t="s">
        <v>1229</v>
      </c>
      <c r="C890" t="s">
        <v>1230</v>
      </c>
      <c r="D890" t="s">
        <v>1169</v>
      </c>
      <c r="E890" t="s">
        <v>145</v>
      </c>
      <c r="F890" s="10">
        <v>13</v>
      </c>
      <c r="G890" s="10">
        <v>1767.86</v>
      </c>
      <c r="H890" s="10">
        <v>22982.18</v>
      </c>
      <c r="J890">
        <v>45119</v>
      </c>
      <c r="K890" t="str">
        <v>West</v>
      </c>
      <c r="L890" t="str">
        <v>Gujarat</v>
      </c>
      <c r="M890" t="str">
        <v>Surat</v>
      </c>
      <c r="N890" t="str">
        <v>Clothing</v>
      </c>
      <c r="O890">
        <v>1</v>
      </c>
      <c r="P890">
        <v>2716.98</v>
      </c>
      <c r="Q890">
        <v>2716.98</v>
      </c>
    </row>
    <row r="891" spans="1:17">
      <c r="A891" s="19">
        <v>44941</v>
      </c>
      <c r="B891" t="s">
        <v>1229</v>
      </c>
      <c r="C891" t="s">
        <v>1237</v>
      </c>
      <c r="D891" t="s">
        <v>1171</v>
      </c>
      <c r="E891" t="s">
        <v>145</v>
      </c>
      <c r="F891" s="10">
        <v>7</v>
      </c>
      <c r="G891" s="10">
        <v>3163.37</v>
      </c>
      <c r="H891" s="10">
        <v>22143.59</v>
      </c>
      <c r="J891">
        <v>45025</v>
      </c>
      <c r="K891" t="str">
        <v>West</v>
      </c>
      <c r="L891" t="str">
        <v>Gujarat</v>
      </c>
      <c r="M891" t="str">
        <v>Surat</v>
      </c>
      <c r="N891" t="str">
        <v>Electronics</v>
      </c>
      <c r="O891">
        <v>18</v>
      </c>
      <c r="P891">
        <v>3982.89</v>
      </c>
      <c r="Q891">
        <v>71692.02</v>
      </c>
    </row>
    <row r="892" spans="1:17">
      <c r="A892" s="19">
        <v>44995</v>
      </c>
      <c r="B892" t="s">
        <v>1231</v>
      </c>
      <c r="C892" t="s">
        <v>1235</v>
      </c>
      <c r="D892" t="s">
        <v>1241</v>
      </c>
      <c r="E892" t="s">
        <v>145</v>
      </c>
      <c r="F892" s="10">
        <v>5</v>
      </c>
      <c r="G892" s="10">
        <v>4300.7</v>
      </c>
      <c r="H892" s="10">
        <v>21503.5</v>
      </c>
      <c r="J892">
        <v>44942</v>
      </c>
      <c r="K892" t="str">
        <v>West</v>
      </c>
      <c r="L892" t="str">
        <v>Gujarat</v>
      </c>
      <c r="M892" t="str">
        <v>Surat</v>
      </c>
      <c r="N892" t="str">
        <v>Electronics</v>
      </c>
      <c r="O892">
        <v>18</v>
      </c>
      <c r="P892">
        <v>3561.06</v>
      </c>
      <c r="Q892">
        <v>64099.08</v>
      </c>
    </row>
    <row r="893" spans="1:17">
      <c r="A893" s="19">
        <v>45027</v>
      </c>
      <c r="B893" t="s">
        <v>1229</v>
      </c>
      <c r="C893" t="s">
        <v>1237</v>
      </c>
      <c r="D893" t="s">
        <v>1171</v>
      </c>
      <c r="E893" t="s">
        <v>145</v>
      </c>
      <c r="F893" s="10">
        <v>9</v>
      </c>
      <c r="G893" s="10">
        <v>2376.12</v>
      </c>
      <c r="H893" s="10">
        <v>21385.08</v>
      </c>
      <c r="J893">
        <v>45247</v>
      </c>
      <c r="K893" t="str">
        <v>West</v>
      </c>
      <c r="L893" t="str">
        <v>Gujarat</v>
      </c>
      <c r="M893" t="str">
        <v>Surat</v>
      </c>
      <c r="N893" t="str">
        <v>Electronics</v>
      </c>
      <c r="O893">
        <v>19</v>
      </c>
      <c r="P893">
        <v>1809.9</v>
      </c>
      <c r="Q893">
        <v>34388.1</v>
      </c>
    </row>
    <row r="894" spans="1:17">
      <c r="A894" s="19">
        <v>44947</v>
      </c>
      <c r="B894" t="s">
        <v>1231</v>
      </c>
      <c r="C894" t="s">
        <v>1232</v>
      </c>
      <c r="D894" t="s">
        <v>1240</v>
      </c>
      <c r="E894" t="s">
        <v>145</v>
      </c>
      <c r="F894" s="10">
        <v>14</v>
      </c>
      <c r="G894" s="10">
        <v>1487.12</v>
      </c>
      <c r="H894" s="10">
        <v>20819.68</v>
      </c>
      <c r="J894">
        <v>44999</v>
      </c>
      <c r="K894" t="str">
        <v>West</v>
      </c>
      <c r="L894" t="str">
        <v>Gujarat</v>
      </c>
      <c r="M894" t="str">
        <v>Surat</v>
      </c>
      <c r="N894" t="str">
        <v>Electronics</v>
      </c>
      <c r="O894">
        <v>13</v>
      </c>
      <c r="P894">
        <v>2163.4</v>
      </c>
      <c r="Q894">
        <v>28124.2</v>
      </c>
    </row>
    <row r="895" spans="1:17">
      <c r="A895" s="19">
        <v>45043</v>
      </c>
      <c r="B895" t="s">
        <v>1231</v>
      </c>
      <c r="C895" t="s">
        <v>1235</v>
      </c>
      <c r="D895" t="s">
        <v>1236</v>
      </c>
      <c r="E895" t="s">
        <v>145</v>
      </c>
      <c r="F895" s="10">
        <v>18</v>
      </c>
      <c r="G895" s="10">
        <v>1156.17</v>
      </c>
      <c r="H895" s="10">
        <v>20811.060000000001</v>
      </c>
      <c r="J895">
        <v>45113</v>
      </c>
      <c r="K895" t="str">
        <v>West</v>
      </c>
      <c r="L895" t="str">
        <v>Gujarat</v>
      </c>
      <c r="M895" t="str">
        <v>Surat</v>
      </c>
      <c r="N895" t="str">
        <v>Electronics</v>
      </c>
      <c r="O895">
        <v>6</v>
      </c>
      <c r="P895">
        <v>4265.8599999999997</v>
      </c>
      <c r="Q895">
        <v>25595.16</v>
      </c>
    </row>
    <row r="896" spans="1:17">
      <c r="A896" s="19">
        <v>45000</v>
      </c>
      <c r="B896" t="s">
        <v>1242</v>
      </c>
      <c r="C896" t="s">
        <v>1243</v>
      </c>
      <c r="D896" t="s">
        <v>1247</v>
      </c>
      <c r="E896" t="s">
        <v>145</v>
      </c>
      <c r="F896" s="10">
        <v>19</v>
      </c>
      <c r="G896" s="10">
        <v>1093.8900000000001</v>
      </c>
      <c r="H896" s="10">
        <v>20783.91</v>
      </c>
      <c r="J896">
        <v>44959</v>
      </c>
      <c r="K896" t="str">
        <v>West</v>
      </c>
      <c r="L896" t="str">
        <v>Gujarat</v>
      </c>
      <c r="M896" t="str">
        <v>Surat</v>
      </c>
      <c r="N896" t="str">
        <v>Electronics</v>
      </c>
      <c r="O896">
        <v>6</v>
      </c>
      <c r="P896">
        <v>3350.51</v>
      </c>
      <c r="Q896">
        <v>20103.060000000001</v>
      </c>
    </row>
    <row r="897" spans="1:17">
      <c r="A897" s="19">
        <v>45034</v>
      </c>
      <c r="B897" t="s">
        <v>1231</v>
      </c>
      <c r="C897" t="s">
        <v>1235</v>
      </c>
      <c r="D897" t="s">
        <v>1236</v>
      </c>
      <c r="E897" t="s">
        <v>145</v>
      </c>
      <c r="F897" s="10">
        <v>6</v>
      </c>
      <c r="G897" s="10">
        <v>3439.83</v>
      </c>
      <c r="H897" s="10">
        <v>20638.98</v>
      </c>
      <c r="J897">
        <v>45137</v>
      </c>
      <c r="K897" t="str">
        <v>West</v>
      </c>
      <c r="L897" t="str">
        <v>Gujarat</v>
      </c>
      <c r="M897" t="str">
        <v>Surat</v>
      </c>
      <c r="N897" t="str">
        <v>Electronics</v>
      </c>
      <c r="O897">
        <v>11</v>
      </c>
      <c r="P897">
        <v>1798.54</v>
      </c>
      <c r="Q897">
        <v>19783.939999999999</v>
      </c>
    </row>
    <row r="898" spans="1:17">
      <c r="A898" s="19">
        <v>44942</v>
      </c>
      <c r="B898" t="s">
        <v>1231</v>
      </c>
      <c r="C898" t="s">
        <v>1232</v>
      </c>
      <c r="D898" t="s">
        <v>1233</v>
      </c>
      <c r="E898" t="s">
        <v>145</v>
      </c>
      <c r="F898" s="10">
        <v>18</v>
      </c>
      <c r="G898" s="10">
        <v>1134.8800000000001</v>
      </c>
      <c r="H898" s="10">
        <v>20427.84</v>
      </c>
      <c r="J898">
        <v>45245</v>
      </c>
      <c r="K898" t="str">
        <v>West</v>
      </c>
      <c r="L898" t="str">
        <v>Gujarat</v>
      </c>
      <c r="M898" t="str">
        <v>Surat</v>
      </c>
      <c r="N898" t="str">
        <v>Electronics</v>
      </c>
      <c r="O898">
        <v>5</v>
      </c>
      <c r="P898">
        <v>3619.58</v>
      </c>
      <c r="Q898">
        <v>18097.900000000001</v>
      </c>
    </row>
    <row r="899" spans="1:17">
      <c r="A899" s="19">
        <v>44962</v>
      </c>
      <c r="B899" t="s">
        <v>1229</v>
      </c>
      <c r="C899" t="s">
        <v>1237</v>
      </c>
      <c r="D899" t="s">
        <v>1173</v>
      </c>
      <c r="E899" t="s">
        <v>145</v>
      </c>
      <c r="F899" s="10">
        <v>9</v>
      </c>
      <c r="G899" s="10">
        <v>2267.7199999999998</v>
      </c>
      <c r="H899" s="10">
        <v>20409.48</v>
      </c>
      <c r="J899">
        <v>45270</v>
      </c>
      <c r="K899" t="str">
        <v>West</v>
      </c>
      <c r="L899" t="str">
        <v>Gujarat</v>
      </c>
      <c r="M899" t="str">
        <v>Surat</v>
      </c>
      <c r="N899" t="str">
        <v>Electronics</v>
      </c>
      <c r="O899">
        <v>4</v>
      </c>
      <c r="P899">
        <v>1208.21</v>
      </c>
      <c r="Q899">
        <v>4832.84</v>
      </c>
    </row>
    <row r="900" spans="1:17">
      <c r="A900" s="19">
        <v>45016</v>
      </c>
      <c r="B900" t="s">
        <v>1242</v>
      </c>
      <c r="C900" t="s">
        <v>1243</v>
      </c>
      <c r="D900" t="s">
        <v>1247</v>
      </c>
      <c r="E900" t="s">
        <v>145</v>
      </c>
      <c r="F900" s="10">
        <v>10</v>
      </c>
      <c r="G900" s="10">
        <v>2027.97</v>
      </c>
      <c r="H900" s="10">
        <v>20279.7</v>
      </c>
      <c r="J900">
        <v>44930</v>
      </c>
      <c r="K900" t="str">
        <v>West</v>
      </c>
      <c r="L900" t="str">
        <v>Gujarat</v>
      </c>
      <c r="M900" t="str">
        <v>Surat</v>
      </c>
      <c r="N900" t="str">
        <v>Electronics</v>
      </c>
      <c r="O900">
        <v>4</v>
      </c>
      <c r="P900">
        <v>1027.32</v>
      </c>
      <c r="Q900">
        <v>4109.28</v>
      </c>
    </row>
    <row r="901" spans="1:17">
      <c r="A901" s="19">
        <v>45144</v>
      </c>
      <c r="B901" t="s">
        <v>1229</v>
      </c>
      <c r="C901" t="s">
        <v>1237</v>
      </c>
      <c r="D901" t="s">
        <v>1171</v>
      </c>
      <c r="E901" t="s">
        <v>145</v>
      </c>
      <c r="F901" s="10">
        <v>6</v>
      </c>
      <c r="G901" s="10">
        <v>3363.77</v>
      </c>
      <c r="H901" s="10">
        <v>20182.62</v>
      </c>
      <c r="J901">
        <v>45001</v>
      </c>
      <c r="K901" t="str">
        <v>West</v>
      </c>
      <c r="L901" t="str">
        <v>Gujarat</v>
      </c>
      <c r="M901" t="str">
        <v>Surat</v>
      </c>
      <c r="N901" t="str">
        <v>Electronics</v>
      </c>
      <c r="O901">
        <v>2</v>
      </c>
      <c r="P901">
        <v>1971</v>
      </c>
      <c r="Q901">
        <v>3942</v>
      </c>
    </row>
    <row r="902" spans="1:17">
      <c r="A902" s="19">
        <v>45121</v>
      </c>
      <c r="B902" t="s">
        <v>1229</v>
      </c>
      <c r="C902" t="s">
        <v>1237</v>
      </c>
      <c r="D902" t="s">
        <v>1239</v>
      </c>
      <c r="E902" t="s">
        <v>145</v>
      </c>
      <c r="F902" s="10">
        <v>5</v>
      </c>
      <c r="G902" s="10">
        <v>4035.07</v>
      </c>
      <c r="H902" s="10">
        <v>20175.349999999999</v>
      </c>
      <c r="J902">
        <v>44955</v>
      </c>
      <c r="K902" t="str">
        <v>West</v>
      </c>
      <c r="L902" t="str">
        <v>Gujarat</v>
      </c>
      <c r="M902" t="str">
        <v>Surat</v>
      </c>
      <c r="N902" t="str">
        <v>Electronics</v>
      </c>
      <c r="O902">
        <v>5</v>
      </c>
      <c r="P902">
        <v>714.68</v>
      </c>
      <c r="Q902">
        <v>3573.4</v>
      </c>
    </row>
    <row r="903" spans="1:17">
      <c r="A903" s="19">
        <v>44965</v>
      </c>
      <c r="B903" t="s">
        <v>1231</v>
      </c>
      <c r="C903" t="s">
        <v>1235</v>
      </c>
      <c r="D903" t="s">
        <v>1241</v>
      </c>
      <c r="E903" t="s">
        <v>145</v>
      </c>
      <c r="F903" s="10">
        <v>6</v>
      </c>
      <c r="G903" s="10">
        <v>3277.95</v>
      </c>
      <c r="H903" s="10">
        <v>19667.7</v>
      </c>
      <c r="J903">
        <v>45258</v>
      </c>
      <c r="K903" t="str">
        <v>West</v>
      </c>
      <c r="L903" t="str">
        <v>Gujarat</v>
      </c>
      <c r="M903" t="str">
        <v>Surat</v>
      </c>
      <c r="N903" t="str">
        <v>Furniture</v>
      </c>
      <c r="O903">
        <v>20</v>
      </c>
      <c r="P903">
        <v>4066.74</v>
      </c>
      <c r="Q903">
        <v>81334.8</v>
      </c>
    </row>
    <row r="904" spans="1:17">
      <c r="A904" s="19">
        <v>45090</v>
      </c>
      <c r="B904" t="s">
        <v>1231</v>
      </c>
      <c r="C904" t="s">
        <v>1235</v>
      </c>
      <c r="D904" t="s">
        <v>1236</v>
      </c>
      <c r="E904" t="s">
        <v>145</v>
      </c>
      <c r="F904" s="10">
        <v>5</v>
      </c>
      <c r="G904" s="10">
        <v>3701.17</v>
      </c>
      <c r="H904" s="10">
        <v>18505.849999999999</v>
      </c>
      <c r="J904">
        <v>45219</v>
      </c>
      <c r="K904" t="str">
        <v>West</v>
      </c>
      <c r="L904" t="str">
        <v>Gujarat</v>
      </c>
      <c r="M904" t="str">
        <v>Surat</v>
      </c>
      <c r="N904" t="str">
        <v>Furniture</v>
      </c>
      <c r="O904">
        <v>20</v>
      </c>
      <c r="P904">
        <v>3470.23</v>
      </c>
      <c r="Q904">
        <v>69404.600000000006</v>
      </c>
    </row>
    <row r="905" spans="1:17">
      <c r="A905" s="19">
        <v>45037</v>
      </c>
      <c r="B905" t="s">
        <v>1231</v>
      </c>
      <c r="C905" t="s">
        <v>1235</v>
      </c>
      <c r="D905" t="s">
        <v>1238</v>
      </c>
      <c r="E905" t="s">
        <v>145</v>
      </c>
      <c r="F905" s="10">
        <v>17</v>
      </c>
      <c r="G905" s="10">
        <v>1071.3</v>
      </c>
      <c r="H905" s="10">
        <v>18212.099999999999</v>
      </c>
      <c r="J905">
        <v>45274</v>
      </c>
      <c r="K905" t="str">
        <v>West</v>
      </c>
      <c r="L905" t="str">
        <v>Gujarat</v>
      </c>
      <c r="M905" t="str">
        <v>Surat</v>
      </c>
      <c r="N905" t="str">
        <v>Furniture</v>
      </c>
      <c r="O905">
        <v>11</v>
      </c>
      <c r="P905">
        <v>4188.37</v>
      </c>
      <c r="Q905">
        <v>46072.07</v>
      </c>
    </row>
    <row r="906" spans="1:17">
      <c r="A906" s="19">
        <v>44938</v>
      </c>
      <c r="B906" t="s">
        <v>1229</v>
      </c>
      <c r="C906" t="s">
        <v>1230</v>
      </c>
      <c r="D906" t="s">
        <v>1246</v>
      </c>
      <c r="E906" t="s">
        <v>145</v>
      </c>
      <c r="F906" s="10">
        <v>5</v>
      </c>
      <c r="G906" s="10">
        <v>3631.01</v>
      </c>
      <c r="H906" s="10">
        <v>18155.05</v>
      </c>
      <c r="J906">
        <v>45254</v>
      </c>
      <c r="K906" t="str">
        <v>West</v>
      </c>
      <c r="L906" t="str">
        <v>Gujarat</v>
      </c>
      <c r="M906" t="str">
        <v>Surat</v>
      </c>
      <c r="N906" t="str">
        <v>Furniture</v>
      </c>
      <c r="O906">
        <v>8</v>
      </c>
      <c r="P906">
        <v>4169.8999999999996</v>
      </c>
      <c r="Q906">
        <v>33359.199999999997</v>
      </c>
    </row>
    <row r="907" spans="1:17">
      <c r="A907" s="19">
        <v>44962</v>
      </c>
      <c r="B907" t="s">
        <v>1231</v>
      </c>
      <c r="C907" t="s">
        <v>1232</v>
      </c>
      <c r="D907" t="s">
        <v>1234</v>
      </c>
      <c r="E907" t="s">
        <v>145</v>
      </c>
      <c r="F907" s="10">
        <v>14</v>
      </c>
      <c r="G907" s="10">
        <v>1273.8399999999999</v>
      </c>
      <c r="H907" s="10">
        <v>17833.759999999998</v>
      </c>
      <c r="J907">
        <v>45133</v>
      </c>
      <c r="K907" t="str">
        <v>West</v>
      </c>
      <c r="L907" t="str">
        <v>Gujarat</v>
      </c>
      <c r="M907" t="str">
        <v>Surat</v>
      </c>
      <c r="N907" t="str">
        <v>Furniture</v>
      </c>
      <c r="O907">
        <v>15</v>
      </c>
      <c r="P907">
        <v>2006.04</v>
      </c>
      <c r="Q907">
        <v>30090.6</v>
      </c>
    </row>
    <row r="908" spans="1:17">
      <c r="A908" s="19">
        <v>45225</v>
      </c>
      <c r="B908" t="s">
        <v>1229</v>
      </c>
      <c r="C908" t="s">
        <v>1237</v>
      </c>
      <c r="D908" t="s">
        <v>1171</v>
      </c>
      <c r="E908" t="s">
        <v>145</v>
      </c>
      <c r="F908" s="10">
        <v>4</v>
      </c>
      <c r="G908" s="10">
        <v>4386.54</v>
      </c>
      <c r="H908" s="10">
        <v>17546.16</v>
      </c>
      <c r="J908">
        <v>45154</v>
      </c>
      <c r="K908" t="str">
        <v>West</v>
      </c>
      <c r="L908" t="str">
        <v>Gujarat</v>
      </c>
      <c r="M908" t="str">
        <v>Surat</v>
      </c>
      <c r="N908" t="str">
        <v>Furniture</v>
      </c>
      <c r="O908">
        <v>11</v>
      </c>
      <c r="P908">
        <v>2522.63</v>
      </c>
      <c r="Q908">
        <v>27748.93</v>
      </c>
    </row>
    <row r="909" spans="1:17">
      <c r="A909" s="19">
        <v>44964</v>
      </c>
      <c r="B909" t="s">
        <v>1231</v>
      </c>
      <c r="C909" t="s">
        <v>1235</v>
      </c>
      <c r="D909" t="s">
        <v>1241</v>
      </c>
      <c r="E909" t="s">
        <v>145</v>
      </c>
      <c r="F909" s="10">
        <v>4</v>
      </c>
      <c r="G909" s="10">
        <v>4337.09</v>
      </c>
      <c r="H909" s="10">
        <v>17348.36</v>
      </c>
      <c r="J909">
        <v>44974</v>
      </c>
      <c r="K909" t="str">
        <v>West</v>
      </c>
      <c r="L909" t="str">
        <v>Gujarat</v>
      </c>
      <c r="M909" t="str">
        <v>Surat</v>
      </c>
      <c r="N909" t="str">
        <v>Furniture</v>
      </c>
      <c r="O909">
        <v>20</v>
      </c>
      <c r="P909">
        <v>1353.54</v>
      </c>
      <c r="Q909">
        <v>27070.799999999999</v>
      </c>
    </row>
    <row r="910" spans="1:17">
      <c r="A910" s="19">
        <v>44963</v>
      </c>
      <c r="B910" t="s">
        <v>1231</v>
      </c>
      <c r="C910" t="s">
        <v>1235</v>
      </c>
      <c r="D910" t="s">
        <v>1241</v>
      </c>
      <c r="E910" t="s">
        <v>145</v>
      </c>
      <c r="F910" s="10">
        <v>8</v>
      </c>
      <c r="G910" s="10">
        <v>2112.66</v>
      </c>
      <c r="H910" s="10">
        <v>16901.28</v>
      </c>
      <c r="J910">
        <v>45241</v>
      </c>
      <c r="K910" t="str">
        <v>West</v>
      </c>
      <c r="L910" t="str">
        <v>Gujarat</v>
      </c>
      <c r="M910" t="str">
        <v>Surat</v>
      </c>
      <c r="N910" t="str">
        <v>Furniture</v>
      </c>
      <c r="O910">
        <v>16</v>
      </c>
      <c r="P910">
        <v>1023.78</v>
      </c>
      <c r="Q910">
        <v>16380.48</v>
      </c>
    </row>
    <row r="911" spans="1:17">
      <c r="A911" s="19">
        <v>45012</v>
      </c>
      <c r="B911" t="s">
        <v>1229</v>
      </c>
      <c r="C911" t="s">
        <v>1230</v>
      </c>
      <c r="D911" t="s">
        <v>1169</v>
      </c>
      <c r="E911" t="s">
        <v>145</v>
      </c>
      <c r="F911" s="10">
        <v>15</v>
      </c>
      <c r="G911" s="10">
        <v>1098.31</v>
      </c>
      <c r="H911" s="10">
        <v>16474.650000000001</v>
      </c>
      <c r="J911">
        <v>44994</v>
      </c>
      <c r="K911" t="str">
        <v>West</v>
      </c>
      <c r="L911" t="str">
        <v>Gujarat</v>
      </c>
      <c r="M911" t="str">
        <v>Surat</v>
      </c>
      <c r="N911" t="str">
        <v>Furniture</v>
      </c>
      <c r="O911">
        <v>15</v>
      </c>
      <c r="P911">
        <v>961.23</v>
      </c>
      <c r="Q911">
        <v>14418.45</v>
      </c>
    </row>
    <row r="912" spans="1:17">
      <c r="A912" s="19">
        <v>45233</v>
      </c>
      <c r="B912" t="s">
        <v>1229</v>
      </c>
      <c r="C912" t="s">
        <v>1237</v>
      </c>
      <c r="D912" t="s">
        <v>1239</v>
      </c>
      <c r="E912" t="s">
        <v>145</v>
      </c>
      <c r="F912" s="10">
        <v>5</v>
      </c>
      <c r="G912" s="10">
        <v>3259.3</v>
      </c>
      <c r="H912" s="10">
        <v>16296.5</v>
      </c>
      <c r="J912">
        <v>45028</v>
      </c>
      <c r="K912" t="str">
        <v>West</v>
      </c>
      <c r="L912" t="str">
        <v>Gujarat</v>
      </c>
      <c r="M912" t="str">
        <v>Surat</v>
      </c>
      <c r="N912" t="str">
        <v>Furniture</v>
      </c>
      <c r="O912">
        <v>19</v>
      </c>
      <c r="P912">
        <v>713.8</v>
      </c>
      <c r="Q912">
        <v>13562.2</v>
      </c>
    </row>
    <row r="913" spans="1:17">
      <c r="A913" s="19">
        <v>45199</v>
      </c>
      <c r="B913" t="s">
        <v>1229</v>
      </c>
      <c r="C913" t="s">
        <v>1237</v>
      </c>
      <c r="D913" t="s">
        <v>1171</v>
      </c>
      <c r="E913" t="s">
        <v>145</v>
      </c>
      <c r="F913" s="10">
        <v>12</v>
      </c>
      <c r="G913" s="10">
        <v>1352.89</v>
      </c>
      <c r="H913" s="10">
        <v>16234.68</v>
      </c>
      <c r="J913">
        <v>45101</v>
      </c>
      <c r="K913" t="str">
        <v>West</v>
      </c>
      <c r="L913" t="str">
        <v>Gujarat</v>
      </c>
      <c r="M913" t="str">
        <v>Surat</v>
      </c>
      <c r="N913" t="str">
        <v>Furniture</v>
      </c>
      <c r="O913">
        <v>1</v>
      </c>
      <c r="P913">
        <v>4117.97</v>
      </c>
      <c r="Q913">
        <v>4117.97</v>
      </c>
    </row>
    <row r="914" spans="1:17">
      <c r="A914" s="19">
        <v>45025</v>
      </c>
      <c r="B914" t="s">
        <v>1231</v>
      </c>
      <c r="C914" t="s">
        <v>1235</v>
      </c>
      <c r="D914" t="s">
        <v>1241</v>
      </c>
      <c r="E914" t="s">
        <v>145</v>
      </c>
      <c r="F914" s="10">
        <v>8</v>
      </c>
      <c r="G914" s="10">
        <v>1968.58</v>
      </c>
      <c r="H914" s="10">
        <v>15748.64</v>
      </c>
      <c r="J914">
        <v>45189</v>
      </c>
      <c r="K914" t="str">
        <v>West</v>
      </c>
      <c r="L914" t="str">
        <v>Gujarat</v>
      </c>
      <c r="M914" t="str">
        <v>Surat</v>
      </c>
      <c r="N914" t="str">
        <v>Furniture</v>
      </c>
      <c r="O914">
        <v>8</v>
      </c>
      <c r="P914">
        <v>285.94</v>
      </c>
      <c r="Q914">
        <v>2287.52</v>
      </c>
    </row>
    <row r="915" spans="1:17">
      <c r="A915" s="19">
        <v>45172</v>
      </c>
      <c r="B915" t="s">
        <v>1242</v>
      </c>
      <c r="C915" t="s">
        <v>1243</v>
      </c>
      <c r="D915" t="s">
        <v>1244</v>
      </c>
      <c r="E915" t="s">
        <v>145</v>
      </c>
      <c r="F915" s="10">
        <v>11</v>
      </c>
      <c r="G915" s="10">
        <v>1418.67</v>
      </c>
      <c r="H915" s="10">
        <v>15605.37</v>
      </c>
      <c r="J915">
        <v>44959</v>
      </c>
      <c r="K915" t="str">
        <v>West</v>
      </c>
      <c r="L915" t="str">
        <v>Gujarat</v>
      </c>
      <c r="M915" t="str">
        <v>Surat</v>
      </c>
      <c r="N915" t="str">
        <v>Groceries</v>
      </c>
      <c r="O915">
        <v>15</v>
      </c>
      <c r="P915">
        <v>3555.88</v>
      </c>
      <c r="Q915">
        <v>53338.2</v>
      </c>
    </row>
    <row r="916" spans="1:17">
      <c r="A916" s="19">
        <v>45012</v>
      </c>
      <c r="B916" t="s">
        <v>1242</v>
      </c>
      <c r="C916" t="s">
        <v>1243</v>
      </c>
      <c r="D916" t="s">
        <v>1245</v>
      </c>
      <c r="E916" t="s">
        <v>145</v>
      </c>
      <c r="F916" s="10">
        <v>9</v>
      </c>
      <c r="G916" s="10">
        <v>1667.06</v>
      </c>
      <c r="H916" s="10">
        <v>15003.54</v>
      </c>
      <c r="J916">
        <v>45078</v>
      </c>
      <c r="K916" t="str">
        <v>West</v>
      </c>
      <c r="L916" t="str">
        <v>Gujarat</v>
      </c>
      <c r="M916" t="str">
        <v>Surat</v>
      </c>
      <c r="N916" t="str">
        <v>Groceries</v>
      </c>
      <c r="O916">
        <v>15</v>
      </c>
      <c r="P916">
        <v>2586.8000000000002</v>
      </c>
      <c r="Q916">
        <v>38802</v>
      </c>
    </row>
    <row r="917" spans="1:17">
      <c r="A917" s="19">
        <v>45016</v>
      </c>
      <c r="B917" t="s">
        <v>1229</v>
      </c>
      <c r="C917" t="s">
        <v>1230</v>
      </c>
      <c r="D917" t="s">
        <v>1169</v>
      </c>
      <c r="E917" t="s">
        <v>145</v>
      </c>
      <c r="F917" s="10">
        <v>3</v>
      </c>
      <c r="G917" s="10">
        <v>4888.03</v>
      </c>
      <c r="H917" s="10">
        <v>14664.09</v>
      </c>
      <c r="J917">
        <v>45158</v>
      </c>
      <c r="K917" t="str">
        <v>West</v>
      </c>
      <c r="L917" t="str">
        <v>Gujarat</v>
      </c>
      <c r="M917" t="str">
        <v>Surat</v>
      </c>
      <c r="N917" t="str">
        <v>Groceries</v>
      </c>
      <c r="O917">
        <v>17</v>
      </c>
      <c r="P917">
        <v>1217.48</v>
      </c>
      <c r="Q917">
        <v>20697.16</v>
      </c>
    </row>
    <row r="918" spans="1:17">
      <c r="A918" s="19">
        <v>45202</v>
      </c>
      <c r="B918" t="s">
        <v>1229</v>
      </c>
      <c r="C918" t="s">
        <v>1237</v>
      </c>
      <c r="D918" t="s">
        <v>1171</v>
      </c>
      <c r="E918" t="s">
        <v>145</v>
      </c>
      <c r="F918" s="10">
        <v>11</v>
      </c>
      <c r="G918" s="10">
        <v>1316.18</v>
      </c>
      <c r="H918" s="10">
        <v>14477.98</v>
      </c>
      <c r="J918">
        <v>44980</v>
      </c>
      <c r="K918" t="str">
        <v>West</v>
      </c>
      <c r="L918" t="str">
        <v>Gujarat</v>
      </c>
      <c r="M918" t="str">
        <v>Surat</v>
      </c>
      <c r="N918" t="str">
        <v>Groceries</v>
      </c>
      <c r="O918">
        <v>19</v>
      </c>
      <c r="P918">
        <v>1067.6199999999999</v>
      </c>
      <c r="Q918">
        <v>20284.78</v>
      </c>
    </row>
    <row r="919" spans="1:17">
      <c r="A919" s="19">
        <v>45114</v>
      </c>
      <c r="B919" t="s">
        <v>1231</v>
      </c>
      <c r="C919" t="s">
        <v>1235</v>
      </c>
      <c r="D919" t="s">
        <v>1236</v>
      </c>
      <c r="E919" t="s">
        <v>145</v>
      </c>
      <c r="F919" s="10">
        <v>7</v>
      </c>
      <c r="G919" s="10">
        <v>2016.03</v>
      </c>
      <c r="H919" s="10">
        <v>14112.21</v>
      </c>
      <c r="J919">
        <v>44960</v>
      </c>
      <c r="K919" t="str">
        <v>West</v>
      </c>
      <c r="L919" t="str">
        <v>Gujarat</v>
      </c>
      <c r="M919" t="str">
        <v>Surat</v>
      </c>
      <c r="N919" t="str">
        <v>Groceries</v>
      </c>
      <c r="O919">
        <v>5</v>
      </c>
      <c r="P919">
        <v>3770.46</v>
      </c>
      <c r="Q919">
        <v>18852.3</v>
      </c>
    </row>
    <row r="920" spans="1:17">
      <c r="A920" s="19">
        <v>44934</v>
      </c>
      <c r="B920" t="s">
        <v>1229</v>
      </c>
      <c r="C920" t="s">
        <v>1230</v>
      </c>
      <c r="D920" t="s">
        <v>1169</v>
      </c>
      <c r="E920" t="s">
        <v>145</v>
      </c>
      <c r="F920" s="10">
        <v>11</v>
      </c>
      <c r="G920" s="10">
        <v>1278.32</v>
      </c>
      <c r="H920" s="10">
        <v>14061.52</v>
      </c>
      <c r="J920">
        <v>45009</v>
      </c>
      <c r="K920" t="str">
        <v>West</v>
      </c>
      <c r="L920" t="str">
        <v>Gujarat</v>
      </c>
      <c r="M920" t="str">
        <v>Surat</v>
      </c>
      <c r="N920" t="str">
        <v>Groceries</v>
      </c>
      <c r="O920">
        <v>11</v>
      </c>
      <c r="P920">
        <v>1435.18</v>
      </c>
      <c r="Q920">
        <v>15786.98</v>
      </c>
    </row>
    <row r="921" spans="1:17">
      <c r="A921" s="19">
        <v>45177</v>
      </c>
      <c r="B921" t="s">
        <v>1229</v>
      </c>
      <c r="C921" t="s">
        <v>1230</v>
      </c>
      <c r="D921" t="s">
        <v>1169</v>
      </c>
      <c r="E921" t="s">
        <v>145</v>
      </c>
      <c r="F921" s="10">
        <v>15</v>
      </c>
      <c r="G921" s="10">
        <v>916.75</v>
      </c>
      <c r="H921" s="10">
        <v>13751.25</v>
      </c>
      <c r="J921">
        <v>45194</v>
      </c>
      <c r="K921" t="str">
        <v>West</v>
      </c>
      <c r="L921" t="str">
        <v>Gujarat</v>
      </c>
      <c r="M921" t="str">
        <v>Surat</v>
      </c>
      <c r="N921" t="str">
        <v>Groceries</v>
      </c>
      <c r="O921">
        <v>2</v>
      </c>
      <c r="P921">
        <v>4176.99</v>
      </c>
      <c r="Q921">
        <v>8353.98</v>
      </c>
    </row>
    <row r="922" spans="1:17">
      <c r="A922" s="19">
        <v>44977</v>
      </c>
      <c r="B922" t="s">
        <v>1229</v>
      </c>
      <c r="C922" t="s">
        <v>1237</v>
      </c>
      <c r="D922" t="s">
        <v>1239</v>
      </c>
      <c r="E922" t="s">
        <v>145</v>
      </c>
      <c r="F922" s="10">
        <v>9</v>
      </c>
      <c r="G922" s="10">
        <v>1474.56</v>
      </c>
      <c r="H922" s="10">
        <v>13271.04</v>
      </c>
      <c r="J922">
        <v>44953</v>
      </c>
      <c r="K922" t="str">
        <v>West</v>
      </c>
      <c r="L922" t="str">
        <v>Gujarat</v>
      </c>
      <c r="M922" t="str">
        <v>Surat</v>
      </c>
      <c r="N922" t="str">
        <v>Groceries</v>
      </c>
      <c r="O922">
        <v>5</v>
      </c>
      <c r="P922">
        <v>879.82</v>
      </c>
      <c r="Q922">
        <v>4399.1000000000004</v>
      </c>
    </row>
    <row r="923" spans="1:17">
      <c r="A923" s="19">
        <v>45043</v>
      </c>
      <c r="B923" t="s">
        <v>1229</v>
      </c>
      <c r="C923" t="s">
        <v>1230</v>
      </c>
      <c r="D923" t="s">
        <v>1169</v>
      </c>
      <c r="E923" t="s">
        <v>145</v>
      </c>
      <c r="F923" s="10">
        <v>15</v>
      </c>
      <c r="G923" s="10">
        <v>866.62</v>
      </c>
      <c r="H923" s="10">
        <v>12999.3</v>
      </c>
      <c r="J923">
        <v>45022</v>
      </c>
      <c r="K923" t="str">
        <v>West</v>
      </c>
      <c r="L923" t="str">
        <v>Gujarat</v>
      </c>
      <c r="M923" t="str">
        <v>Surat</v>
      </c>
      <c r="N923" t="str">
        <v>Groceries</v>
      </c>
      <c r="O923">
        <v>3</v>
      </c>
      <c r="P923">
        <v>1129.83</v>
      </c>
      <c r="Q923">
        <v>3389.49</v>
      </c>
    </row>
    <row r="924" spans="1:17">
      <c r="A924" s="19">
        <v>45113</v>
      </c>
      <c r="B924" t="s">
        <v>1229</v>
      </c>
      <c r="C924" t="s">
        <v>1237</v>
      </c>
      <c r="D924" t="s">
        <v>1239</v>
      </c>
      <c r="E924" t="s">
        <v>145</v>
      </c>
      <c r="F924" s="10">
        <v>5</v>
      </c>
      <c r="G924" s="10">
        <v>2545.9299999999998</v>
      </c>
      <c r="H924" s="10">
        <v>12729.65</v>
      </c>
      <c r="J924">
        <v>45071</v>
      </c>
      <c r="K924" t="str">
        <v>West</v>
      </c>
      <c r="L924" t="str">
        <v>Gujarat</v>
      </c>
      <c r="M924" t="str">
        <v>Surat</v>
      </c>
      <c r="N924" t="str">
        <v>Stationery</v>
      </c>
      <c r="O924">
        <v>19</v>
      </c>
      <c r="P924">
        <v>2753.24</v>
      </c>
      <c r="Q924">
        <v>52311.56</v>
      </c>
    </row>
    <row r="925" spans="1:17">
      <c r="A925" s="19">
        <v>44968</v>
      </c>
      <c r="B925" t="s">
        <v>1229</v>
      </c>
      <c r="C925" t="s">
        <v>1230</v>
      </c>
      <c r="D925" t="s">
        <v>1246</v>
      </c>
      <c r="E925" t="s">
        <v>145</v>
      </c>
      <c r="F925" s="10">
        <v>20</v>
      </c>
      <c r="G925" s="10">
        <v>633.87</v>
      </c>
      <c r="H925" s="10">
        <v>12677.4</v>
      </c>
      <c r="J925">
        <v>45035</v>
      </c>
      <c r="K925" t="str">
        <v>West</v>
      </c>
      <c r="L925" t="str">
        <v>Gujarat</v>
      </c>
      <c r="M925" t="str">
        <v>Surat</v>
      </c>
      <c r="N925" t="str">
        <v>Stationery</v>
      </c>
      <c r="O925">
        <v>11</v>
      </c>
      <c r="P925">
        <v>3072.59</v>
      </c>
      <c r="Q925">
        <v>33798.49</v>
      </c>
    </row>
    <row r="926" spans="1:17">
      <c r="A926" s="19">
        <v>45241</v>
      </c>
      <c r="B926" t="s">
        <v>1229</v>
      </c>
      <c r="C926" t="s">
        <v>1237</v>
      </c>
      <c r="D926" t="s">
        <v>1171</v>
      </c>
      <c r="E926" t="s">
        <v>145</v>
      </c>
      <c r="F926" s="10">
        <v>3</v>
      </c>
      <c r="G926" s="10">
        <v>4210.7700000000004</v>
      </c>
      <c r="H926" s="10">
        <v>12632.31</v>
      </c>
      <c r="J926">
        <v>45289</v>
      </c>
      <c r="K926" t="str">
        <v>West</v>
      </c>
      <c r="L926" t="str">
        <v>Gujarat</v>
      </c>
      <c r="M926" t="str">
        <v>Surat</v>
      </c>
      <c r="N926" t="str">
        <v>Stationery</v>
      </c>
      <c r="O926">
        <v>14</v>
      </c>
      <c r="P926">
        <v>1720</v>
      </c>
      <c r="Q926">
        <v>24080</v>
      </c>
    </row>
    <row r="927" spans="1:17">
      <c r="A927" s="19">
        <v>45183</v>
      </c>
      <c r="B927" t="s">
        <v>1229</v>
      </c>
      <c r="C927" t="s">
        <v>1230</v>
      </c>
      <c r="D927" t="s">
        <v>1169</v>
      </c>
      <c r="E927" t="s">
        <v>145</v>
      </c>
      <c r="F927" s="10">
        <v>3</v>
      </c>
      <c r="G927" s="10">
        <v>4195.66</v>
      </c>
      <c r="H927" s="10">
        <v>12586.98</v>
      </c>
      <c r="J927">
        <v>45096</v>
      </c>
      <c r="K927" t="str">
        <v>West</v>
      </c>
      <c r="L927" t="str">
        <v>Gujarat</v>
      </c>
      <c r="M927" t="str">
        <v>Surat</v>
      </c>
      <c r="N927" t="str">
        <v>Stationery</v>
      </c>
      <c r="O927">
        <v>13</v>
      </c>
      <c r="P927">
        <v>1767.86</v>
      </c>
      <c r="Q927">
        <v>22982.18</v>
      </c>
    </row>
    <row r="928" spans="1:17">
      <c r="A928" s="19">
        <v>45002</v>
      </c>
      <c r="B928" t="s">
        <v>1231</v>
      </c>
      <c r="C928" t="s">
        <v>1235</v>
      </c>
      <c r="D928" t="s">
        <v>1241</v>
      </c>
      <c r="E928" t="s">
        <v>145</v>
      </c>
      <c r="F928" s="10">
        <v>7</v>
      </c>
      <c r="G928" s="10">
        <v>1774.74</v>
      </c>
      <c r="H928" s="10">
        <v>12423.18</v>
      </c>
      <c r="J928">
        <v>45012</v>
      </c>
      <c r="K928" t="str">
        <v>West</v>
      </c>
      <c r="L928" t="str">
        <v>Gujarat</v>
      </c>
      <c r="M928" t="str">
        <v>Surat</v>
      </c>
      <c r="N928" t="str">
        <v>Stationery</v>
      </c>
      <c r="O928">
        <v>15</v>
      </c>
      <c r="P928">
        <v>1098.31</v>
      </c>
      <c r="Q928">
        <v>16474.650000000001</v>
      </c>
    </row>
    <row r="929" spans="1:17">
      <c r="A929" s="19">
        <v>45260</v>
      </c>
      <c r="B929" t="s">
        <v>1231</v>
      </c>
      <c r="C929" t="s">
        <v>1232</v>
      </c>
      <c r="D929" t="s">
        <v>1240</v>
      </c>
      <c r="E929" t="s">
        <v>145</v>
      </c>
      <c r="F929" s="10">
        <v>9</v>
      </c>
      <c r="G929" s="10">
        <v>1378.65</v>
      </c>
      <c r="H929" s="10">
        <v>12407.85</v>
      </c>
      <c r="J929">
        <v>45016</v>
      </c>
      <c r="K929" t="str">
        <v>West</v>
      </c>
      <c r="L929" t="str">
        <v>Gujarat</v>
      </c>
      <c r="M929" t="str">
        <v>Surat</v>
      </c>
      <c r="N929" t="str">
        <v>Stationery</v>
      </c>
      <c r="O929">
        <v>3</v>
      </c>
      <c r="P929">
        <v>4888.03</v>
      </c>
      <c r="Q929">
        <v>14664.09</v>
      </c>
    </row>
    <row r="930" spans="1:17">
      <c r="A930" s="19">
        <v>45280</v>
      </c>
      <c r="B930" t="s">
        <v>1229</v>
      </c>
      <c r="C930" t="s">
        <v>1237</v>
      </c>
      <c r="D930" t="s">
        <v>1173</v>
      </c>
      <c r="E930" t="s">
        <v>145</v>
      </c>
      <c r="F930" s="10">
        <v>7</v>
      </c>
      <c r="G930" s="10">
        <v>1711.81</v>
      </c>
      <c r="H930" s="10">
        <v>11982.67</v>
      </c>
      <c r="J930">
        <v>44934</v>
      </c>
      <c r="K930" t="str">
        <v>West</v>
      </c>
      <c r="L930" t="str">
        <v>Gujarat</v>
      </c>
      <c r="M930" t="str">
        <v>Surat</v>
      </c>
      <c r="N930" t="str">
        <v>Stationery</v>
      </c>
      <c r="O930">
        <v>11</v>
      </c>
      <c r="P930">
        <v>1278.32</v>
      </c>
      <c r="Q930">
        <v>14061.52</v>
      </c>
    </row>
    <row r="931" spans="1:17">
      <c r="A931" s="19">
        <v>45124</v>
      </c>
      <c r="B931" t="s">
        <v>1242</v>
      </c>
      <c r="C931" t="s">
        <v>1243</v>
      </c>
      <c r="D931" t="s">
        <v>1244</v>
      </c>
      <c r="E931" t="s">
        <v>145</v>
      </c>
      <c r="F931" s="10">
        <v>4</v>
      </c>
      <c r="G931" s="10">
        <v>2978.87</v>
      </c>
      <c r="H931" s="10">
        <v>11915.48</v>
      </c>
      <c r="J931">
        <v>45177</v>
      </c>
      <c r="K931" t="str">
        <v>West</v>
      </c>
      <c r="L931" t="str">
        <v>Gujarat</v>
      </c>
      <c r="M931" t="str">
        <v>Surat</v>
      </c>
      <c r="N931" t="str">
        <v>Stationery</v>
      </c>
      <c r="O931">
        <v>15</v>
      </c>
      <c r="P931">
        <v>916.75</v>
      </c>
      <c r="Q931">
        <v>13751.25</v>
      </c>
    </row>
    <row r="932" spans="1:17">
      <c r="A932" s="19">
        <v>45015</v>
      </c>
      <c r="B932" t="s">
        <v>1231</v>
      </c>
      <c r="C932" t="s">
        <v>1232</v>
      </c>
      <c r="D932" t="s">
        <v>1233</v>
      </c>
      <c r="E932" t="s">
        <v>145</v>
      </c>
      <c r="F932" s="10">
        <v>6</v>
      </c>
      <c r="G932" s="10">
        <v>1979</v>
      </c>
      <c r="H932" s="10">
        <v>11874</v>
      </c>
      <c r="J932">
        <v>45043</v>
      </c>
      <c r="K932" t="str">
        <v>West</v>
      </c>
      <c r="L932" t="str">
        <v>Gujarat</v>
      </c>
      <c r="M932" t="str">
        <v>Surat</v>
      </c>
      <c r="N932" t="str">
        <v>Stationery</v>
      </c>
      <c r="O932">
        <v>15</v>
      </c>
      <c r="P932">
        <v>866.62</v>
      </c>
      <c r="Q932">
        <v>12999.3</v>
      </c>
    </row>
    <row r="933" spans="1:17">
      <c r="A933" s="19">
        <v>45234</v>
      </c>
      <c r="B933" t="s">
        <v>1229</v>
      </c>
      <c r="C933" t="s">
        <v>1230</v>
      </c>
      <c r="D933" t="s">
        <v>1169</v>
      </c>
      <c r="E933" t="s">
        <v>145</v>
      </c>
      <c r="F933" s="10">
        <v>18</v>
      </c>
      <c r="G933" s="10">
        <v>651.22</v>
      </c>
      <c r="H933" s="10">
        <v>11721.96</v>
      </c>
      <c r="J933">
        <v>45183</v>
      </c>
      <c r="K933" t="str">
        <v>West</v>
      </c>
      <c r="L933" t="str">
        <v>Gujarat</v>
      </c>
      <c r="M933" t="str">
        <v>Surat</v>
      </c>
      <c r="N933" t="str">
        <v>Stationery</v>
      </c>
      <c r="O933">
        <v>3</v>
      </c>
      <c r="P933">
        <v>4195.66</v>
      </c>
      <c r="Q933">
        <v>12586.98</v>
      </c>
    </row>
    <row r="934" spans="1:17">
      <c r="A934" s="19">
        <v>45076</v>
      </c>
      <c r="B934" t="s">
        <v>1231</v>
      </c>
      <c r="C934" t="s">
        <v>1232</v>
      </c>
      <c r="D934" t="s">
        <v>1240</v>
      </c>
      <c r="E934" t="s">
        <v>145</v>
      </c>
      <c r="F934" s="10">
        <v>4</v>
      </c>
      <c r="G934" s="10">
        <v>2830.6</v>
      </c>
      <c r="H934" s="10">
        <v>11322.4</v>
      </c>
      <c r="J934">
        <v>45234</v>
      </c>
      <c r="K934" t="str">
        <v>West</v>
      </c>
      <c r="L934" t="str">
        <v>Gujarat</v>
      </c>
      <c r="M934" t="str">
        <v>Surat</v>
      </c>
      <c r="N934" t="str">
        <v>Stationery</v>
      </c>
      <c r="O934">
        <v>18</v>
      </c>
      <c r="P934">
        <v>651.22</v>
      </c>
      <c r="Q934">
        <v>11721.96</v>
      </c>
    </row>
    <row r="935" spans="1:17">
      <c r="A935" s="19">
        <v>45123</v>
      </c>
      <c r="B935" t="s">
        <v>1229</v>
      </c>
      <c r="C935" t="s">
        <v>1237</v>
      </c>
      <c r="D935" t="s">
        <v>1173</v>
      </c>
      <c r="E935" t="s">
        <v>145</v>
      </c>
      <c r="F935" s="10">
        <v>8</v>
      </c>
      <c r="G935" s="10">
        <v>1371.28</v>
      </c>
      <c r="H935" s="10">
        <v>10970.24</v>
      </c>
      <c r="J935">
        <v>45278</v>
      </c>
      <c r="K935" t="str">
        <v>West</v>
      </c>
      <c r="L935" t="str">
        <v>Gujarat</v>
      </c>
      <c r="M935" t="str">
        <v>Surat</v>
      </c>
      <c r="N935" t="str">
        <v>Stationery</v>
      </c>
      <c r="O935">
        <v>5</v>
      </c>
      <c r="P935">
        <v>2162.08</v>
      </c>
      <c r="Q935">
        <v>10810.4</v>
      </c>
    </row>
    <row r="936" spans="1:17">
      <c r="A936" s="19">
        <v>45278</v>
      </c>
      <c r="B936" t="s">
        <v>1229</v>
      </c>
      <c r="C936" t="s">
        <v>1230</v>
      </c>
      <c r="D936" t="s">
        <v>1169</v>
      </c>
      <c r="E936" t="s">
        <v>145</v>
      </c>
      <c r="F936" s="10">
        <v>5</v>
      </c>
      <c r="G936" s="10">
        <v>2162.08</v>
      </c>
      <c r="H936" s="10">
        <v>10810.4</v>
      </c>
      <c r="J936">
        <v>45193</v>
      </c>
      <c r="K936" t="str">
        <v>West</v>
      </c>
      <c r="L936" t="str">
        <v>Gujarat</v>
      </c>
      <c r="M936" t="str">
        <v>Surat</v>
      </c>
      <c r="N936" t="str">
        <v>Stationery</v>
      </c>
      <c r="O936">
        <v>10</v>
      </c>
      <c r="P936">
        <v>743.68</v>
      </c>
      <c r="Q936">
        <v>7436.8</v>
      </c>
    </row>
    <row r="937" spans="1:17">
      <c r="A937" s="19">
        <v>45104</v>
      </c>
      <c r="B937" t="s">
        <v>1231</v>
      </c>
      <c r="C937" t="s">
        <v>1232</v>
      </c>
      <c r="D937" t="s">
        <v>1233</v>
      </c>
      <c r="E937" t="s">
        <v>145</v>
      </c>
      <c r="F937" s="10">
        <v>14</v>
      </c>
      <c r="G937" s="10">
        <v>771.61</v>
      </c>
      <c r="H937" s="10">
        <v>10802.54</v>
      </c>
      <c r="J937">
        <v>45212</v>
      </c>
      <c r="K937" t="str">
        <v>West</v>
      </c>
      <c r="L937" t="str">
        <v>Gujarat</v>
      </c>
      <c r="M937" t="str">
        <v>Vadodara</v>
      </c>
      <c r="N937" t="str">
        <v>Clothing</v>
      </c>
      <c r="O937">
        <v>14</v>
      </c>
      <c r="P937">
        <v>3931.74</v>
      </c>
      <c r="Q937">
        <v>55044.36</v>
      </c>
    </row>
    <row r="938" spans="1:17">
      <c r="A938" s="19">
        <v>45235</v>
      </c>
      <c r="B938" t="s">
        <v>1242</v>
      </c>
      <c r="C938" t="s">
        <v>1243</v>
      </c>
      <c r="D938" t="s">
        <v>1247</v>
      </c>
      <c r="E938" t="s">
        <v>145</v>
      </c>
      <c r="F938" s="10">
        <v>7</v>
      </c>
      <c r="G938" s="10">
        <v>1501.06</v>
      </c>
      <c r="H938" s="10">
        <v>10507.42</v>
      </c>
      <c r="J938">
        <v>45013</v>
      </c>
      <c r="K938" t="str">
        <v>West</v>
      </c>
      <c r="L938" t="str">
        <v>Gujarat</v>
      </c>
      <c r="M938" t="str">
        <v>Vadodara</v>
      </c>
      <c r="N938" t="str">
        <v>Clothing</v>
      </c>
      <c r="O938">
        <v>10</v>
      </c>
      <c r="P938">
        <v>4718.03</v>
      </c>
      <c r="Q938">
        <v>47180.3</v>
      </c>
    </row>
    <row r="939" spans="1:17">
      <c r="A939" s="19">
        <v>45289</v>
      </c>
      <c r="B939" t="s">
        <v>1242</v>
      </c>
      <c r="C939" t="s">
        <v>1243</v>
      </c>
      <c r="D939" t="s">
        <v>1245</v>
      </c>
      <c r="E939" t="s">
        <v>145</v>
      </c>
      <c r="F939" s="10">
        <v>9</v>
      </c>
      <c r="G939" s="10">
        <v>1161.02</v>
      </c>
      <c r="H939" s="10">
        <v>10449.18</v>
      </c>
      <c r="J939">
        <v>45162</v>
      </c>
      <c r="K939" t="str">
        <v>West</v>
      </c>
      <c r="L939" t="str">
        <v>Gujarat</v>
      </c>
      <c r="M939" t="str">
        <v>Vadodara</v>
      </c>
      <c r="N939" t="str">
        <v>Clothing</v>
      </c>
      <c r="O939">
        <v>16</v>
      </c>
      <c r="P939">
        <v>2666.78</v>
      </c>
      <c r="Q939">
        <v>42668.480000000003</v>
      </c>
    </row>
    <row r="940" spans="1:17">
      <c r="A940" s="19">
        <v>45287</v>
      </c>
      <c r="B940" t="s">
        <v>1229</v>
      </c>
      <c r="C940" t="s">
        <v>1237</v>
      </c>
      <c r="D940" t="s">
        <v>1173</v>
      </c>
      <c r="E940" t="s">
        <v>145</v>
      </c>
      <c r="F940" s="10">
        <v>11</v>
      </c>
      <c r="G940" s="10">
        <v>923.59</v>
      </c>
      <c r="H940" s="10">
        <v>10159.49</v>
      </c>
      <c r="J940">
        <v>45175</v>
      </c>
      <c r="K940" t="str">
        <v>West</v>
      </c>
      <c r="L940" t="str">
        <v>Gujarat</v>
      </c>
      <c r="M940" t="str">
        <v>Vadodara</v>
      </c>
      <c r="N940" t="str">
        <v>Clothing</v>
      </c>
      <c r="O940">
        <v>10</v>
      </c>
      <c r="P940">
        <v>3205.57</v>
      </c>
      <c r="Q940">
        <v>32055.7</v>
      </c>
    </row>
    <row r="941" spans="1:17">
      <c r="A941" s="19">
        <v>45218</v>
      </c>
      <c r="B941" t="s">
        <v>1231</v>
      </c>
      <c r="C941" t="s">
        <v>1232</v>
      </c>
      <c r="D941" t="s">
        <v>1240</v>
      </c>
      <c r="E941" t="s">
        <v>145</v>
      </c>
      <c r="F941" s="10">
        <v>18</v>
      </c>
      <c r="G941" s="10">
        <v>532.4</v>
      </c>
      <c r="H941" s="10">
        <v>9583.2000000000007</v>
      </c>
      <c r="J941">
        <v>45286</v>
      </c>
      <c r="K941" t="str">
        <v>West</v>
      </c>
      <c r="L941" t="str">
        <v>Gujarat</v>
      </c>
      <c r="M941" t="str">
        <v>Vadodara</v>
      </c>
      <c r="N941" t="str">
        <v>Clothing</v>
      </c>
      <c r="O941">
        <v>14</v>
      </c>
      <c r="P941">
        <v>2260.17</v>
      </c>
      <c r="Q941">
        <v>31642.38</v>
      </c>
    </row>
    <row r="942" spans="1:17">
      <c r="A942" s="19">
        <v>45069</v>
      </c>
      <c r="B942" t="s">
        <v>1231</v>
      </c>
      <c r="C942" t="s">
        <v>1235</v>
      </c>
      <c r="D942" t="s">
        <v>1238</v>
      </c>
      <c r="E942" t="s">
        <v>145</v>
      </c>
      <c r="F942" s="10">
        <v>2</v>
      </c>
      <c r="G942" s="10">
        <v>4762.71</v>
      </c>
      <c r="H942" s="10">
        <v>9525.42</v>
      </c>
      <c r="J942">
        <v>45077</v>
      </c>
      <c r="K942" t="str">
        <v>West</v>
      </c>
      <c r="L942" t="str">
        <v>Gujarat</v>
      </c>
      <c r="M942" t="str">
        <v>Vadodara</v>
      </c>
      <c r="N942" t="str">
        <v>Clothing</v>
      </c>
      <c r="O942">
        <v>19</v>
      </c>
      <c r="P942">
        <v>1641.98</v>
      </c>
      <c r="Q942">
        <v>31197.62</v>
      </c>
    </row>
    <row r="943" spans="1:17">
      <c r="A943" s="19">
        <v>45073</v>
      </c>
      <c r="B943" t="s">
        <v>1229</v>
      </c>
      <c r="C943" t="s">
        <v>1237</v>
      </c>
      <c r="D943" t="s">
        <v>1173</v>
      </c>
      <c r="E943" t="s">
        <v>145</v>
      </c>
      <c r="F943" s="10">
        <v>10</v>
      </c>
      <c r="G943" s="10">
        <v>938.57</v>
      </c>
      <c r="H943" s="10">
        <v>9385.7000000000007</v>
      </c>
      <c r="J943">
        <v>44929</v>
      </c>
      <c r="K943" t="str">
        <v>West</v>
      </c>
      <c r="L943" t="str">
        <v>Gujarat</v>
      </c>
      <c r="M943" t="str">
        <v>Vadodara</v>
      </c>
      <c r="N943" t="str">
        <v>Clothing</v>
      </c>
      <c r="O943">
        <v>12</v>
      </c>
      <c r="P943">
        <v>2232.4899999999998</v>
      </c>
      <c r="Q943">
        <v>26789.88</v>
      </c>
    </row>
    <row r="944" spans="1:17">
      <c r="A944" s="19">
        <v>45089</v>
      </c>
      <c r="B944" t="s">
        <v>1231</v>
      </c>
      <c r="C944" t="s">
        <v>1232</v>
      </c>
      <c r="D944" t="s">
        <v>1234</v>
      </c>
      <c r="E944" t="s">
        <v>145</v>
      </c>
      <c r="F944" s="10">
        <v>3</v>
      </c>
      <c r="G944" s="10">
        <v>3109.18</v>
      </c>
      <c r="H944" s="10">
        <v>9327.5400000000009</v>
      </c>
      <c r="J944">
        <v>45025</v>
      </c>
      <c r="K944" t="str">
        <v>West</v>
      </c>
      <c r="L944" t="str">
        <v>Gujarat</v>
      </c>
      <c r="M944" t="str">
        <v>Vadodara</v>
      </c>
      <c r="N944" t="str">
        <v>Clothing</v>
      </c>
      <c r="O944">
        <v>5</v>
      </c>
      <c r="P944">
        <v>4182.07</v>
      </c>
      <c r="Q944">
        <v>20910.349999999999</v>
      </c>
    </row>
    <row r="945" spans="1:17">
      <c r="A945" s="19">
        <v>44973</v>
      </c>
      <c r="B945" t="s">
        <v>1229</v>
      </c>
      <c r="C945" t="s">
        <v>1230</v>
      </c>
      <c r="D945" t="s">
        <v>1246</v>
      </c>
      <c r="E945" t="s">
        <v>145</v>
      </c>
      <c r="F945" s="10">
        <v>4</v>
      </c>
      <c r="G945" s="10">
        <v>2331.1</v>
      </c>
      <c r="H945" s="10">
        <v>9324.4</v>
      </c>
      <c r="J945">
        <v>45095</v>
      </c>
      <c r="K945" t="str">
        <v>West</v>
      </c>
      <c r="L945" t="str">
        <v>Gujarat</v>
      </c>
      <c r="M945" t="str">
        <v>Vadodara</v>
      </c>
      <c r="N945" t="str">
        <v>Clothing</v>
      </c>
      <c r="O945">
        <v>5</v>
      </c>
      <c r="P945">
        <v>3860.73</v>
      </c>
      <c r="Q945">
        <v>19303.650000000001</v>
      </c>
    </row>
    <row r="946" spans="1:17">
      <c r="A946" s="19">
        <v>45068</v>
      </c>
      <c r="B946" t="s">
        <v>1242</v>
      </c>
      <c r="C946" t="s">
        <v>1243</v>
      </c>
      <c r="D946" t="s">
        <v>1245</v>
      </c>
      <c r="E946" t="s">
        <v>145</v>
      </c>
      <c r="F946" s="10">
        <v>6</v>
      </c>
      <c r="G946" s="10">
        <v>1537.45</v>
      </c>
      <c r="H946" s="10">
        <v>9224.7000000000007</v>
      </c>
      <c r="J946">
        <v>45195</v>
      </c>
      <c r="K946" t="str">
        <v>West</v>
      </c>
      <c r="L946" t="str">
        <v>Gujarat</v>
      </c>
      <c r="M946" t="str">
        <v>Vadodara</v>
      </c>
      <c r="N946" t="str">
        <v>Clothing</v>
      </c>
      <c r="O946">
        <v>4</v>
      </c>
      <c r="P946">
        <v>4697.07</v>
      </c>
      <c r="Q946">
        <v>18788.28</v>
      </c>
    </row>
    <row r="947" spans="1:17">
      <c r="A947" s="19">
        <v>45219</v>
      </c>
      <c r="B947" t="s">
        <v>1242</v>
      </c>
      <c r="C947" t="s">
        <v>1243</v>
      </c>
      <c r="D947" t="s">
        <v>1245</v>
      </c>
      <c r="E947" t="s">
        <v>145</v>
      </c>
      <c r="F947" s="10">
        <v>2</v>
      </c>
      <c r="G947" s="10">
        <v>4527.13</v>
      </c>
      <c r="H947" s="10">
        <v>9054.26</v>
      </c>
      <c r="J947">
        <v>44992</v>
      </c>
      <c r="K947" t="str">
        <v>West</v>
      </c>
      <c r="L947" t="str">
        <v>Gujarat</v>
      </c>
      <c r="M947" t="str">
        <v>Vadodara</v>
      </c>
      <c r="N947" t="str">
        <v>Clothing</v>
      </c>
      <c r="O947">
        <v>16</v>
      </c>
      <c r="P947">
        <v>1025.8</v>
      </c>
      <c r="Q947">
        <v>16412.8</v>
      </c>
    </row>
    <row r="948" spans="1:17">
      <c r="A948" s="19">
        <v>45198</v>
      </c>
      <c r="B948" t="s">
        <v>1229</v>
      </c>
      <c r="C948" t="s">
        <v>1237</v>
      </c>
      <c r="D948" t="s">
        <v>1173</v>
      </c>
      <c r="E948" t="s">
        <v>145</v>
      </c>
      <c r="F948" s="10">
        <v>9</v>
      </c>
      <c r="G948" s="10">
        <v>1001.37</v>
      </c>
      <c r="H948" s="10">
        <v>9012.33</v>
      </c>
      <c r="J948">
        <v>45059</v>
      </c>
      <c r="K948" t="str">
        <v>West</v>
      </c>
      <c r="L948" t="str">
        <v>Gujarat</v>
      </c>
      <c r="M948" t="str">
        <v>Vadodara</v>
      </c>
      <c r="N948" t="str">
        <v>Clothing</v>
      </c>
      <c r="O948">
        <v>3</v>
      </c>
      <c r="P948">
        <v>4059.76</v>
      </c>
      <c r="Q948">
        <v>12179.28</v>
      </c>
    </row>
    <row r="949" spans="1:17">
      <c r="A949" s="19">
        <v>45290</v>
      </c>
      <c r="B949" t="s">
        <v>1231</v>
      </c>
      <c r="C949" t="s">
        <v>1232</v>
      </c>
      <c r="D949" t="s">
        <v>1234</v>
      </c>
      <c r="E949" t="s">
        <v>145</v>
      </c>
      <c r="F949" s="10">
        <v>3</v>
      </c>
      <c r="G949" s="10">
        <v>2961.96</v>
      </c>
      <c r="H949" s="10">
        <v>8885.8799999999992</v>
      </c>
      <c r="J949">
        <v>45140</v>
      </c>
      <c r="K949" t="str">
        <v>West</v>
      </c>
      <c r="L949" t="str">
        <v>Gujarat</v>
      </c>
      <c r="M949" t="str">
        <v>Vadodara</v>
      </c>
      <c r="N949" t="str">
        <v>Clothing</v>
      </c>
      <c r="O949">
        <v>5</v>
      </c>
      <c r="P949">
        <v>1997.76</v>
      </c>
      <c r="Q949">
        <v>9988.7999999999993</v>
      </c>
    </row>
    <row r="950" spans="1:17">
      <c r="A950" s="19">
        <v>45007</v>
      </c>
      <c r="B950" t="s">
        <v>1229</v>
      </c>
      <c r="C950" t="s">
        <v>1230</v>
      </c>
      <c r="D950" t="s">
        <v>1248</v>
      </c>
      <c r="E950" t="s">
        <v>145</v>
      </c>
      <c r="F950" s="10">
        <v>3</v>
      </c>
      <c r="G950" s="10">
        <v>2880.4</v>
      </c>
      <c r="H950" s="10">
        <v>8641.2000000000007</v>
      </c>
      <c r="J950">
        <v>45257</v>
      </c>
      <c r="K950" t="str">
        <v>West</v>
      </c>
      <c r="L950" t="str">
        <v>Gujarat</v>
      </c>
      <c r="M950" t="str">
        <v>Vadodara</v>
      </c>
      <c r="N950" t="str">
        <v>Clothing</v>
      </c>
      <c r="O950">
        <v>12</v>
      </c>
      <c r="P950">
        <v>749.68</v>
      </c>
      <c r="Q950">
        <v>8996.16</v>
      </c>
    </row>
    <row r="951" spans="1:17">
      <c r="A951" s="19">
        <v>45112</v>
      </c>
      <c r="B951" t="s">
        <v>1242</v>
      </c>
      <c r="C951" t="s">
        <v>1243</v>
      </c>
      <c r="D951" t="s">
        <v>1245</v>
      </c>
      <c r="E951" t="s">
        <v>145</v>
      </c>
      <c r="F951" s="10">
        <v>14</v>
      </c>
      <c r="G951" s="10">
        <v>564.63</v>
      </c>
      <c r="H951" s="10">
        <v>7904.82</v>
      </c>
      <c r="J951">
        <v>45244</v>
      </c>
      <c r="K951" t="str">
        <v>West</v>
      </c>
      <c r="L951" t="str">
        <v>Gujarat</v>
      </c>
      <c r="M951" t="str">
        <v>Vadodara</v>
      </c>
      <c r="N951" t="str">
        <v>Clothing</v>
      </c>
      <c r="O951">
        <v>8</v>
      </c>
      <c r="P951">
        <v>758.58</v>
      </c>
      <c r="Q951">
        <v>6068.64</v>
      </c>
    </row>
    <row r="952" spans="1:17">
      <c r="A952" s="19">
        <v>45107</v>
      </c>
      <c r="B952" t="s">
        <v>1229</v>
      </c>
      <c r="C952" t="s">
        <v>1237</v>
      </c>
      <c r="D952" t="s">
        <v>1239</v>
      </c>
      <c r="E952" t="s">
        <v>145</v>
      </c>
      <c r="F952" s="10">
        <v>16</v>
      </c>
      <c r="G952" s="10">
        <v>494.05</v>
      </c>
      <c r="H952" s="10">
        <v>7904.8</v>
      </c>
      <c r="J952">
        <v>45261</v>
      </c>
      <c r="K952" t="str">
        <v>West</v>
      </c>
      <c r="L952" t="str">
        <v>Gujarat</v>
      </c>
      <c r="M952" t="str">
        <v>Vadodara</v>
      </c>
      <c r="N952" t="str">
        <v>Clothing</v>
      </c>
      <c r="O952">
        <v>1</v>
      </c>
      <c r="P952">
        <v>4557.0600000000004</v>
      </c>
      <c r="Q952">
        <v>4557.0600000000004</v>
      </c>
    </row>
    <row r="953" spans="1:17">
      <c r="A953" s="19">
        <v>45062</v>
      </c>
      <c r="B953" t="s">
        <v>1229</v>
      </c>
      <c r="C953" t="s">
        <v>1237</v>
      </c>
      <c r="D953" t="s">
        <v>1239</v>
      </c>
      <c r="E953" t="s">
        <v>145</v>
      </c>
      <c r="F953" s="10">
        <v>3</v>
      </c>
      <c r="G953" s="10">
        <v>2618.2199999999998</v>
      </c>
      <c r="H953" s="10">
        <v>7854.66</v>
      </c>
      <c r="J953">
        <v>45215</v>
      </c>
      <c r="K953" t="str">
        <v>West</v>
      </c>
      <c r="L953" t="str">
        <v>Gujarat</v>
      </c>
      <c r="M953" t="str">
        <v>Vadodara</v>
      </c>
      <c r="N953" t="str">
        <v>Clothing</v>
      </c>
      <c r="O953">
        <v>2</v>
      </c>
      <c r="P953">
        <v>1673.1</v>
      </c>
      <c r="Q953">
        <v>3346.2</v>
      </c>
    </row>
    <row r="954" spans="1:17">
      <c r="A954" s="19">
        <v>45223</v>
      </c>
      <c r="B954" t="s">
        <v>1229</v>
      </c>
      <c r="C954" t="s">
        <v>1237</v>
      </c>
      <c r="D954" t="s">
        <v>1173</v>
      </c>
      <c r="E954" t="s">
        <v>145</v>
      </c>
      <c r="F954" s="10">
        <v>2</v>
      </c>
      <c r="G954" s="10">
        <v>3753.37</v>
      </c>
      <c r="H954" s="10">
        <v>7506.74</v>
      </c>
      <c r="J954">
        <v>45065</v>
      </c>
      <c r="K954" t="str">
        <v>West</v>
      </c>
      <c r="L954" t="str">
        <v>Gujarat</v>
      </c>
      <c r="M954" t="str">
        <v>Vadodara</v>
      </c>
      <c r="N954" t="str">
        <v>Electronics</v>
      </c>
      <c r="O954">
        <v>13</v>
      </c>
      <c r="P954">
        <v>4076.94</v>
      </c>
      <c r="Q954">
        <v>53000.22</v>
      </c>
    </row>
    <row r="955" spans="1:17">
      <c r="A955" s="19">
        <v>45193</v>
      </c>
      <c r="B955" t="s">
        <v>1229</v>
      </c>
      <c r="C955" t="s">
        <v>1230</v>
      </c>
      <c r="D955" t="s">
        <v>1169</v>
      </c>
      <c r="E955" t="s">
        <v>145</v>
      </c>
      <c r="F955" s="10">
        <v>10</v>
      </c>
      <c r="G955" s="10">
        <v>743.68</v>
      </c>
      <c r="H955" s="10">
        <v>7436.8</v>
      </c>
      <c r="J955">
        <v>45188</v>
      </c>
      <c r="K955" t="str">
        <v>West</v>
      </c>
      <c r="L955" t="str">
        <v>Gujarat</v>
      </c>
      <c r="M955" t="str">
        <v>Vadodara</v>
      </c>
      <c r="N955" t="str">
        <v>Electronics</v>
      </c>
      <c r="O955">
        <v>19</v>
      </c>
      <c r="P955">
        <v>2493.0300000000002</v>
      </c>
      <c r="Q955">
        <v>47367.57</v>
      </c>
    </row>
    <row r="956" spans="1:17">
      <c r="A956" s="19">
        <v>45242</v>
      </c>
      <c r="B956" t="s">
        <v>1229</v>
      </c>
      <c r="C956" t="s">
        <v>1237</v>
      </c>
      <c r="D956" t="s">
        <v>1171</v>
      </c>
      <c r="E956" t="s">
        <v>145</v>
      </c>
      <c r="F956" s="10">
        <v>14</v>
      </c>
      <c r="G956" s="10">
        <v>492.06</v>
      </c>
      <c r="H956" s="10">
        <v>6888.84</v>
      </c>
      <c r="J956">
        <v>45118</v>
      </c>
      <c r="K956" t="str">
        <v>West</v>
      </c>
      <c r="L956" t="str">
        <v>Gujarat</v>
      </c>
      <c r="M956" t="str">
        <v>Vadodara</v>
      </c>
      <c r="N956" t="str">
        <v>Electronics</v>
      </c>
      <c r="O956">
        <v>15</v>
      </c>
      <c r="P956">
        <v>3005.08</v>
      </c>
      <c r="Q956">
        <v>45076.2</v>
      </c>
    </row>
    <row r="957" spans="1:17">
      <c r="A957" s="19">
        <v>45158</v>
      </c>
      <c r="B957" t="s">
        <v>1229</v>
      </c>
      <c r="C957" t="s">
        <v>1237</v>
      </c>
      <c r="D957" t="s">
        <v>1239</v>
      </c>
      <c r="E957" t="s">
        <v>145</v>
      </c>
      <c r="F957" s="10">
        <v>2</v>
      </c>
      <c r="G957" s="10">
        <v>3385.43</v>
      </c>
      <c r="H957" s="10">
        <v>6770.86</v>
      </c>
      <c r="J957">
        <v>44967</v>
      </c>
      <c r="K957" t="str">
        <v>West</v>
      </c>
      <c r="L957" t="str">
        <v>Gujarat</v>
      </c>
      <c r="M957" t="str">
        <v>Vadodara</v>
      </c>
      <c r="N957" t="str">
        <v>Electronics</v>
      </c>
      <c r="O957">
        <v>12</v>
      </c>
      <c r="P957">
        <v>3443.54</v>
      </c>
      <c r="Q957">
        <v>41322.480000000003</v>
      </c>
    </row>
    <row r="958" spans="1:17">
      <c r="A958" s="19">
        <v>45132</v>
      </c>
      <c r="B958" t="s">
        <v>1231</v>
      </c>
      <c r="C958" t="s">
        <v>1232</v>
      </c>
      <c r="D958" t="s">
        <v>1233</v>
      </c>
      <c r="E958" t="s">
        <v>145</v>
      </c>
      <c r="F958" s="10">
        <v>5</v>
      </c>
      <c r="G958" s="10">
        <v>1346.45</v>
      </c>
      <c r="H958" s="10">
        <v>6732.25</v>
      </c>
      <c r="J958">
        <v>44978</v>
      </c>
      <c r="K958" t="str">
        <v>West</v>
      </c>
      <c r="L958" t="str">
        <v>Gujarat</v>
      </c>
      <c r="M958" t="str">
        <v>Vadodara</v>
      </c>
      <c r="N958" t="str">
        <v>Electronics</v>
      </c>
      <c r="O958">
        <v>17</v>
      </c>
      <c r="P958">
        <v>2107.36</v>
      </c>
      <c r="Q958">
        <v>35825.120000000003</v>
      </c>
    </row>
    <row r="959" spans="1:17">
      <c r="A959" s="19">
        <v>45208</v>
      </c>
      <c r="B959" t="s">
        <v>1229</v>
      </c>
      <c r="C959" t="s">
        <v>1237</v>
      </c>
      <c r="D959" t="s">
        <v>1171</v>
      </c>
      <c r="E959" t="s">
        <v>145</v>
      </c>
      <c r="F959" s="10">
        <v>4</v>
      </c>
      <c r="G959" s="10">
        <v>1640.54</v>
      </c>
      <c r="H959" s="10">
        <v>6562.16</v>
      </c>
      <c r="J959">
        <v>45100</v>
      </c>
      <c r="K959" t="str">
        <v>West</v>
      </c>
      <c r="L959" t="str">
        <v>Gujarat</v>
      </c>
      <c r="M959" t="str">
        <v>Vadodara</v>
      </c>
      <c r="N959" t="str">
        <v>Electronics</v>
      </c>
      <c r="O959">
        <v>8</v>
      </c>
      <c r="P959">
        <v>4197.6400000000003</v>
      </c>
      <c r="Q959">
        <v>33581.120000000003</v>
      </c>
    </row>
    <row r="960" spans="1:17">
      <c r="A960" s="19">
        <v>44934</v>
      </c>
      <c r="B960" t="s">
        <v>1229</v>
      </c>
      <c r="C960" t="s">
        <v>1237</v>
      </c>
      <c r="D960" t="s">
        <v>1173</v>
      </c>
      <c r="E960" t="s">
        <v>145</v>
      </c>
      <c r="F960" s="10">
        <v>2</v>
      </c>
      <c r="G960" s="10">
        <v>3240.32</v>
      </c>
      <c r="H960" s="10">
        <v>6480.64</v>
      </c>
      <c r="J960">
        <v>45024</v>
      </c>
      <c r="K960" t="str">
        <v>West</v>
      </c>
      <c r="L960" t="str">
        <v>Gujarat</v>
      </c>
      <c r="M960" t="str">
        <v>Vadodara</v>
      </c>
      <c r="N960" t="str">
        <v>Electronics</v>
      </c>
      <c r="O960">
        <v>6</v>
      </c>
      <c r="P960">
        <v>4541.92</v>
      </c>
      <c r="Q960">
        <v>27251.52</v>
      </c>
    </row>
    <row r="961" spans="1:17">
      <c r="A961" s="19">
        <v>45143</v>
      </c>
      <c r="B961" t="s">
        <v>1229</v>
      </c>
      <c r="C961" t="s">
        <v>1237</v>
      </c>
      <c r="D961" t="s">
        <v>1173</v>
      </c>
      <c r="E961" t="s">
        <v>145</v>
      </c>
      <c r="F961" s="10">
        <v>11</v>
      </c>
      <c r="G961" s="10">
        <v>587.46</v>
      </c>
      <c r="H961" s="10">
        <v>6462.06</v>
      </c>
      <c r="J961">
        <v>44986</v>
      </c>
      <c r="K961" t="str">
        <v>West</v>
      </c>
      <c r="L961" t="str">
        <v>Gujarat</v>
      </c>
      <c r="M961" t="str">
        <v>Vadodara</v>
      </c>
      <c r="N961" t="str">
        <v>Electronics</v>
      </c>
      <c r="O961">
        <v>6</v>
      </c>
      <c r="P961">
        <v>2609.65</v>
      </c>
      <c r="Q961">
        <v>15657.9</v>
      </c>
    </row>
    <row r="962" spans="1:17">
      <c r="A962" s="19">
        <v>45124</v>
      </c>
      <c r="B962" t="s">
        <v>1242</v>
      </c>
      <c r="C962" t="s">
        <v>1243</v>
      </c>
      <c r="D962" t="s">
        <v>1247</v>
      </c>
      <c r="E962" t="s">
        <v>145</v>
      </c>
      <c r="F962" s="10">
        <v>3</v>
      </c>
      <c r="G962" s="10">
        <v>2040.38</v>
      </c>
      <c r="H962" s="10">
        <v>6121.14</v>
      </c>
      <c r="J962">
        <v>45239</v>
      </c>
      <c r="K962" t="str">
        <v>West</v>
      </c>
      <c r="L962" t="str">
        <v>Gujarat</v>
      </c>
      <c r="M962" t="str">
        <v>Vadodara</v>
      </c>
      <c r="N962" t="str">
        <v>Electronics</v>
      </c>
      <c r="O962">
        <v>7</v>
      </c>
      <c r="P962">
        <v>1729.24</v>
      </c>
      <c r="Q962">
        <v>12104.68</v>
      </c>
    </row>
    <row r="963" spans="1:17">
      <c r="A963" s="19">
        <v>45017</v>
      </c>
      <c r="B963" t="s">
        <v>1229</v>
      </c>
      <c r="C963" t="s">
        <v>1230</v>
      </c>
      <c r="D963" t="s">
        <v>1246</v>
      </c>
      <c r="E963" t="s">
        <v>145</v>
      </c>
      <c r="F963" s="10">
        <v>2</v>
      </c>
      <c r="G963" s="10">
        <v>3037.55</v>
      </c>
      <c r="H963" s="10">
        <v>6075.1</v>
      </c>
      <c r="J963">
        <v>45022</v>
      </c>
      <c r="K963" t="str">
        <v>West</v>
      </c>
      <c r="L963" t="str">
        <v>Gujarat</v>
      </c>
      <c r="M963" t="str">
        <v>Vadodara</v>
      </c>
      <c r="N963" t="str">
        <v>Electronics</v>
      </c>
      <c r="O963">
        <v>7</v>
      </c>
      <c r="P963">
        <v>1205.8900000000001</v>
      </c>
      <c r="Q963">
        <v>8441.23</v>
      </c>
    </row>
    <row r="964" spans="1:17">
      <c r="A964" s="19">
        <v>44986</v>
      </c>
      <c r="B964" t="s">
        <v>1231</v>
      </c>
      <c r="C964" t="s">
        <v>1232</v>
      </c>
      <c r="D964" t="s">
        <v>1234</v>
      </c>
      <c r="E964" t="s">
        <v>145</v>
      </c>
      <c r="F964" s="10">
        <v>5</v>
      </c>
      <c r="G964" s="10">
        <v>1192.82</v>
      </c>
      <c r="H964" s="10">
        <v>5964.1</v>
      </c>
      <c r="J964">
        <v>45036</v>
      </c>
      <c r="K964" t="str">
        <v>West</v>
      </c>
      <c r="L964" t="str">
        <v>Gujarat</v>
      </c>
      <c r="M964" t="str">
        <v>Vadodara</v>
      </c>
      <c r="N964" t="str">
        <v>Electronics</v>
      </c>
      <c r="O964">
        <v>16</v>
      </c>
      <c r="P964">
        <v>523.29999999999995</v>
      </c>
      <c r="Q964">
        <v>8372.7999999999993</v>
      </c>
    </row>
    <row r="965" spans="1:17">
      <c r="A965" s="19">
        <v>45243</v>
      </c>
      <c r="B965" t="s">
        <v>1231</v>
      </c>
      <c r="C965" t="s">
        <v>1235</v>
      </c>
      <c r="D965" t="s">
        <v>1236</v>
      </c>
      <c r="E965" t="s">
        <v>145</v>
      </c>
      <c r="F965" s="10">
        <v>2</v>
      </c>
      <c r="G965" s="10">
        <v>2914.14</v>
      </c>
      <c r="H965" s="10">
        <v>5828.28</v>
      </c>
      <c r="J965">
        <v>45199</v>
      </c>
      <c r="K965" t="str">
        <v>West</v>
      </c>
      <c r="L965" t="str">
        <v>Gujarat</v>
      </c>
      <c r="M965" t="str">
        <v>Vadodara</v>
      </c>
      <c r="N965" t="str">
        <v>Electronics</v>
      </c>
      <c r="O965">
        <v>1</v>
      </c>
      <c r="P965">
        <v>2571.59</v>
      </c>
      <c r="Q965">
        <v>2571.59</v>
      </c>
    </row>
    <row r="966" spans="1:17">
      <c r="A966" s="19">
        <v>45021</v>
      </c>
      <c r="B966" t="s">
        <v>1231</v>
      </c>
      <c r="C966" t="s">
        <v>1235</v>
      </c>
      <c r="D966" t="s">
        <v>1236</v>
      </c>
      <c r="E966" t="s">
        <v>145</v>
      </c>
      <c r="F966" s="10">
        <v>4</v>
      </c>
      <c r="G966" s="10">
        <v>1456.19</v>
      </c>
      <c r="H966" s="10">
        <v>5824.76</v>
      </c>
      <c r="J966">
        <v>45162</v>
      </c>
      <c r="K966" t="str">
        <v>West</v>
      </c>
      <c r="L966" t="str">
        <v>Gujarat</v>
      </c>
      <c r="M966" t="str">
        <v>Vadodara</v>
      </c>
      <c r="N966" t="str">
        <v>Electronics</v>
      </c>
      <c r="O966">
        <v>3</v>
      </c>
      <c r="P966">
        <v>403.5</v>
      </c>
      <c r="Q966">
        <v>1210.5</v>
      </c>
    </row>
    <row r="967" spans="1:17">
      <c r="A967" s="19">
        <v>44984</v>
      </c>
      <c r="B967" t="s">
        <v>1229</v>
      </c>
      <c r="C967" t="s">
        <v>1237</v>
      </c>
      <c r="D967" t="s">
        <v>1239</v>
      </c>
      <c r="E967" t="s">
        <v>145</v>
      </c>
      <c r="F967" s="10">
        <v>2</v>
      </c>
      <c r="G967" s="10">
        <v>2875.84</v>
      </c>
      <c r="H967" s="10">
        <v>5751.68</v>
      </c>
      <c r="J967">
        <v>45257</v>
      </c>
      <c r="K967" t="str">
        <v>West</v>
      </c>
      <c r="L967" t="str">
        <v>Gujarat</v>
      </c>
      <c r="M967" t="str">
        <v>Vadodara</v>
      </c>
      <c r="N967" t="str">
        <v>Electronics</v>
      </c>
      <c r="O967">
        <v>1</v>
      </c>
      <c r="P967">
        <v>983.24</v>
      </c>
      <c r="Q967">
        <v>983.24</v>
      </c>
    </row>
    <row r="968" spans="1:17">
      <c r="A968" s="19">
        <v>44993</v>
      </c>
      <c r="B968" t="s">
        <v>1229</v>
      </c>
      <c r="C968" t="s">
        <v>1230</v>
      </c>
      <c r="D968" t="s">
        <v>1248</v>
      </c>
      <c r="E968" t="s">
        <v>145</v>
      </c>
      <c r="F968" s="10">
        <v>16</v>
      </c>
      <c r="G968" s="10">
        <v>355.63</v>
      </c>
      <c r="H968" s="10">
        <v>5690.08</v>
      </c>
      <c r="J968">
        <v>44944</v>
      </c>
      <c r="K968" t="str">
        <v>West</v>
      </c>
      <c r="L968" t="str">
        <v>Gujarat</v>
      </c>
      <c r="M968" t="str">
        <v>Vadodara</v>
      </c>
      <c r="N968" t="str">
        <v>Furniture</v>
      </c>
      <c r="O968">
        <v>16</v>
      </c>
      <c r="P968">
        <v>4614.01</v>
      </c>
      <c r="Q968">
        <v>73824.160000000003</v>
      </c>
    </row>
    <row r="969" spans="1:17">
      <c r="A969" s="19">
        <v>45288</v>
      </c>
      <c r="B969" t="s">
        <v>1231</v>
      </c>
      <c r="C969" t="s">
        <v>1232</v>
      </c>
      <c r="D969" t="s">
        <v>1234</v>
      </c>
      <c r="E969" t="s">
        <v>145</v>
      </c>
      <c r="F969" s="10">
        <v>10</v>
      </c>
      <c r="G969" s="10">
        <v>568.6</v>
      </c>
      <c r="H969" s="10">
        <v>5686</v>
      </c>
      <c r="J969">
        <v>44965</v>
      </c>
      <c r="K969" t="str">
        <v>West</v>
      </c>
      <c r="L969" t="str">
        <v>Gujarat</v>
      </c>
      <c r="M969" t="str">
        <v>Vadodara</v>
      </c>
      <c r="N969" t="str">
        <v>Furniture</v>
      </c>
      <c r="O969">
        <v>15</v>
      </c>
      <c r="P969">
        <v>4678.57</v>
      </c>
      <c r="Q969">
        <v>70178.55</v>
      </c>
    </row>
    <row r="970" spans="1:17">
      <c r="A970" s="19">
        <v>45010</v>
      </c>
      <c r="B970" t="s">
        <v>1229</v>
      </c>
      <c r="C970" t="s">
        <v>1237</v>
      </c>
      <c r="D970" t="s">
        <v>1173</v>
      </c>
      <c r="E970" t="s">
        <v>145</v>
      </c>
      <c r="F970" s="10">
        <v>16</v>
      </c>
      <c r="G970" s="10">
        <v>328.65</v>
      </c>
      <c r="H970" s="10">
        <v>5258.4</v>
      </c>
      <c r="J970">
        <v>45266</v>
      </c>
      <c r="K970" t="str">
        <v>West</v>
      </c>
      <c r="L970" t="str">
        <v>Gujarat</v>
      </c>
      <c r="M970" t="str">
        <v>Vadodara</v>
      </c>
      <c r="N970" t="str">
        <v>Furniture</v>
      </c>
      <c r="O970">
        <v>14</v>
      </c>
      <c r="P970">
        <v>4839.1099999999997</v>
      </c>
      <c r="Q970">
        <v>67747.539999999994</v>
      </c>
    </row>
    <row r="971" spans="1:17">
      <c r="A971" s="19">
        <v>44997</v>
      </c>
      <c r="B971" t="s">
        <v>1231</v>
      </c>
      <c r="C971" t="s">
        <v>1235</v>
      </c>
      <c r="D971" t="s">
        <v>1238</v>
      </c>
      <c r="E971" t="s">
        <v>145</v>
      </c>
      <c r="F971" s="10">
        <v>6</v>
      </c>
      <c r="G971" s="10">
        <v>827.78</v>
      </c>
      <c r="H971" s="10">
        <v>4966.68</v>
      </c>
      <c r="J971">
        <v>44942</v>
      </c>
      <c r="K971" t="str">
        <v>West</v>
      </c>
      <c r="L971" t="str">
        <v>Gujarat</v>
      </c>
      <c r="M971" t="str">
        <v>Vadodara</v>
      </c>
      <c r="N971" t="str">
        <v>Furniture</v>
      </c>
      <c r="O971">
        <v>18</v>
      </c>
      <c r="P971">
        <v>3524.11</v>
      </c>
      <c r="Q971">
        <v>63433.98</v>
      </c>
    </row>
    <row r="972" spans="1:17">
      <c r="A972" s="19">
        <v>45045</v>
      </c>
      <c r="B972" t="s">
        <v>1242</v>
      </c>
      <c r="C972" t="s">
        <v>1243</v>
      </c>
      <c r="D972" t="s">
        <v>1247</v>
      </c>
      <c r="E972" t="s">
        <v>145</v>
      </c>
      <c r="F972" s="10">
        <v>1</v>
      </c>
      <c r="G972" s="10">
        <v>4815.0600000000004</v>
      </c>
      <c r="H972" s="10">
        <v>4815.0600000000004</v>
      </c>
      <c r="J972">
        <v>44945</v>
      </c>
      <c r="K972" t="str">
        <v>West</v>
      </c>
      <c r="L972" t="str">
        <v>Gujarat</v>
      </c>
      <c r="M972" t="str">
        <v>Vadodara</v>
      </c>
      <c r="N972" t="str">
        <v>Furniture</v>
      </c>
      <c r="O972">
        <v>15</v>
      </c>
      <c r="P972">
        <v>2167.91</v>
      </c>
      <c r="Q972">
        <v>32518.65</v>
      </c>
    </row>
    <row r="973" spans="1:17">
      <c r="A973" s="19">
        <v>45156</v>
      </c>
      <c r="B973" t="s">
        <v>1231</v>
      </c>
      <c r="C973" t="s">
        <v>1232</v>
      </c>
      <c r="D973" t="s">
        <v>1240</v>
      </c>
      <c r="E973" t="s">
        <v>145</v>
      </c>
      <c r="F973" s="10">
        <v>3</v>
      </c>
      <c r="G973" s="10">
        <v>1577.9</v>
      </c>
      <c r="H973" s="10">
        <v>4733.7</v>
      </c>
      <c r="J973">
        <v>45021</v>
      </c>
      <c r="K973" t="str">
        <v>West</v>
      </c>
      <c r="L973" t="str">
        <v>Gujarat</v>
      </c>
      <c r="M973" t="str">
        <v>Vadodara</v>
      </c>
      <c r="N973" t="str">
        <v>Furniture</v>
      </c>
      <c r="O973">
        <v>13</v>
      </c>
      <c r="P973">
        <v>2351.59</v>
      </c>
      <c r="Q973">
        <v>30570.67</v>
      </c>
    </row>
    <row r="974" spans="1:17">
      <c r="A974" s="19">
        <v>45099</v>
      </c>
      <c r="B974" t="s">
        <v>1229</v>
      </c>
      <c r="C974" t="s">
        <v>1237</v>
      </c>
      <c r="D974" t="s">
        <v>1239</v>
      </c>
      <c r="E974" t="s">
        <v>145</v>
      </c>
      <c r="F974" s="10">
        <v>1</v>
      </c>
      <c r="G974" s="10">
        <v>4640.17</v>
      </c>
      <c r="H974" s="10">
        <v>4640.17</v>
      </c>
      <c r="J974">
        <v>45083</v>
      </c>
      <c r="K974" t="str">
        <v>West</v>
      </c>
      <c r="L974" t="str">
        <v>Gujarat</v>
      </c>
      <c r="M974" t="str">
        <v>Vadodara</v>
      </c>
      <c r="N974" t="str">
        <v>Furniture</v>
      </c>
      <c r="O974">
        <v>6</v>
      </c>
      <c r="P974">
        <v>3051.1</v>
      </c>
      <c r="Q974">
        <v>18306.599999999999</v>
      </c>
    </row>
    <row r="975" spans="1:17">
      <c r="A975" s="19">
        <v>44979</v>
      </c>
      <c r="B975" t="s">
        <v>1242</v>
      </c>
      <c r="C975" t="s">
        <v>1243</v>
      </c>
      <c r="D975" t="s">
        <v>1247</v>
      </c>
      <c r="E975" t="s">
        <v>145</v>
      </c>
      <c r="F975" s="10">
        <v>1</v>
      </c>
      <c r="G975" s="10">
        <v>4511.88</v>
      </c>
      <c r="H975" s="10">
        <v>4511.88</v>
      </c>
      <c r="J975">
        <v>45138</v>
      </c>
      <c r="K975" t="str">
        <v>West</v>
      </c>
      <c r="L975" t="str">
        <v>Gujarat</v>
      </c>
      <c r="M975" t="str">
        <v>Vadodara</v>
      </c>
      <c r="N975" t="str">
        <v>Furniture</v>
      </c>
      <c r="O975">
        <v>14</v>
      </c>
      <c r="P975">
        <v>948.05</v>
      </c>
      <c r="Q975">
        <v>13272.7</v>
      </c>
    </row>
    <row r="976" spans="1:17">
      <c r="A976" s="19">
        <v>45071</v>
      </c>
      <c r="B976" t="s">
        <v>1229</v>
      </c>
      <c r="C976" t="s">
        <v>1230</v>
      </c>
      <c r="D976" t="s">
        <v>1248</v>
      </c>
      <c r="E976" t="s">
        <v>145</v>
      </c>
      <c r="F976" s="10">
        <v>2</v>
      </c>
      <c r="G976" s="10">
        <v>2238.46</v>
      </c>
      <c r="H976" s="10">
        <v>4476.92</v>
      </c>
      <c r="J976">
        <v>45174</v>
      </c>
      <c r="K976" t="str">
        <v>West</v>
      </c>
      <c r="L976" t="str">
        <v>Gujarat</v>
      </c>
      <c r="M976" t="str">
        <v>Vadodara</v>
      </c>
      <c r="N976" t="str">
        <v>Furniture</v>
      </c>
      <c r="O976">
        <v>7</v>
      </c>
      <c r="P976">
        <v>978.46</v>
      </c>
      <c r="Q976">
        <v>6849.22</v>
      </c>
    </row>
    <row r="977" spans="1:17">
      <c r="A977" s="19">
        <v>45257</v>
      </c>
      <c r="B977" t="s">
        <v>1231</v>
      </c>
      <c r="C977" t="s">
        <v>1235</v>
      </c>
      <c r="D977" t="s">
        <v>1236</v>
      </c>
      <c r="E977" t="s">
        <v>145</v>
      </c>
      <c r="F977" s="10">
        <v>7</v>
      </c>
      <c r="G977" s="10">
        <v>633.15</v>
      </c>
      <c r="H977" s="10">
        <v>4432.05</v>
      </c>
      <c r="J977">
        <v>45127</v>
      </c>
      <c r="K977" t="str">
        <v>West</v>
      </c>
      <c r="L977" t="str">
        <v>Gujarat</v>
      </c>
      <c r="M977" t="str">
        <v>Vadodara</v>
      </c>
      <c r="N977" t="str">
        <v>Furniture</v>
      </c>
      <c r="O977">
        <v>2</v>
      </c>
      <c r="P977">
        <v>1316.79</v>
      </c>
      <c r="Q977">
        <v>2633.58</v>
      </c>
    </row>
    <row r="978" spans="1:17">
      <c r="A978" s="19">
        <v>45285</v>
      </c>
      <c r="B978" t="s">
        <v>1229</v>
      </c>
      <c r="C978" t="s">
        <v>1230</v>
      </c>
      <c r="D978" t="s">
        <v>1246</v>
      </c>
      <c r="E978" t="s">
        <v>145</v>
      </c>
      <c r="F978" s="10">
        <v>2</v>
      </c>
      <c r="G978" s="10">
        <v>2171.79</v>
      </c>
      <c r="H978" s="10">
        <v>4343.58</v>
      </c>
      <c r="J978">
        <v>45192</v>
      </c>
      <c r="K978" t="str">
        <v>West</v>
      </c>
      <c r="L978" t="str">
        <v>Gujarat</v>
      </c>
      <c r="M978" t="str">
        <v>Vadodara</v>
      </c>
      <c r="N978" t="str">
        <v>Furniture</v>
      </c>
      <c r="O978">
        <v>7</v>
      </c>
      <c r="P978">
        <v>281.29000000000002</v>
      </c>
      <c r="Q978">
        <v>1969.03</v>
      </c>
    </row>
    <row r="979" spans="1:17">
      <c r="A979" s="19">
        <v>44985</v>
      </c>
      <c r="B979" t="s">
        <v>1231</v>
      </c>
      <c r="C979" t="s">
        <v>1235</v>
      </c>
      <c r="D979" t="s">
        <v>1236</v>
      </c>
      <c r="E979" t="s">
        <v>145</v>
      </c>
      <c r="F979" s="10">
        <v>10</v>
      </c>
      <c r="G979" s="10">
        <v>429.69</v>
      </c>
      <c r="H979" s="10">
        <v>4296.8999999999996</v>
      </c>
      <c r="J979">
        <v>45144</v>
      </c>
      <c r="K979" t="str">
        <v>West</v>
      </c>
      <c r="L979" t="str">
        <v>Gujarat</v>
      </c>
      <c r="M979" t="str">
        <v>Vadodara</v>
      </c>
      <c r="N979" t="str">
        <v>Groceries</v>
      </c>
      <c r="O979">
        <v>20</v>
      </c>
      <c r="P979">
        <v>4944.01</v>
      </c>
      <c r="Q979">
        <v>98880.2</v>
      </c>
    </row>
    <row r="980" spans="1:17">
      <c r="A980" s="19">
        <v>44934</v>
      </c>
      <c r="B980" t="s">
        <v>1242</v>
      </c>
      <c r="C980" t="s">
        <v>1243</v>
      </c>
      <c r="D980" t="s">
        <v>1245</v>
      </c>
      <c r="E980" t="s">
        <v>145</v>
      </c>
      <c r="F980" s="10">
        <v>9</v>
      </c>
      <c r="G980" s="10">
        <v>455.98</v>
      </c>
      <c r="H980" s="10">
        <v>4103.82</v>
      </c>
      <c r="J980">
        <v>45170</v>
      </c>
      <c r="K980" t="str">
        <v>West</v>
      </c>
      <c r="L980" t="str">
        <v>Gujarat</v>
      </c>
      <c r="M980" t="str">
        <v>Vadodara</v>
      </c>
      <c r="N980" t="str">
        <v>Groceries</v>
      </c>
      <c r="O980">
        <v>19</v>
      </c>
      <c r="P980">
        <v>3326.91</v>
      </c>
      <c r="Q980">
        <v>63211.29</v>
      </c>
    </row>
    <row r="981" spans="1:17">
      <c r="A981" s="19">
        <v>44989</v>
      </c>
      <c r="B981" t="s">
        <v>1242</v>
      </c>
      <c r="C981" t="s">
        <v>1243</v>
      </c>
      <c r="D981" t="s">
        <v>1247</v>
      </c>
      <c r="E981" t="s">
        <v>145</v>
      </c>
      <c r="F981" s="10">
        <v>1</v>
      </c>
      <c r="G981" s="10">
        <v>3781.47</v>
      </c>
      <c r="H981" s="10">
        <v>3781.47</v>
      </c>
      <c r="J981">
        <v>45156</v>
      </c>
      <c r="K981" t="str">
        <v>West</v>
      </c>
      <c r="L981" t="str">
        <v>Gujarat</v>
      </c>
      <c r="M981" t="str">
        <v>Vadodara</v>
      </c>
      <c r="N981" t="str">
        <v>Groceries</v>
      </c>
      <c r="O981">
        <v>16</v>
      </c>
      <c r="P981">
        <v>1907.95</v>
      </c>
      <c r="Q981">
        <v>30527.200000000001</v>
      </c>
    </row>
    <row r="982" spans="1:17">
      <c r="A982" s="19">
        <v>45199</v>
      </c>
      <c r="B982" t="s">
        <v>1231</v>
      </c>
      <c r="C982" t="s">
        <v>1235</v>
      </c>
      <c r="D982" t="s">
        <v>1238</v>
      </c>
      <c r="E982" t="s">
        <v>145</v>
      </c>
      <c r="F982" s="10">
        <v>1</v>
      </c>
      <c r="G982" s="10">
        <v>3754.28</v>
      </c>
      <c r="H982" s="10">
        <v>3754.28</v>
      </c>
      <c r="J982">
        <v>45058</v>
      </c>
      <c r="K982" t="str">
        <v>West</v>
      </c>
      <c r="L982" t="str">
        <v>Gujarat</v>
      </c>
      <c r="M982" t="str">
        <v>Vadodara</v>
      </c>
      <c r="N982" t="str">
        <v>Groceries</v>
      </c>
      <c r="O982">
        <v>12</v>
      </c>
      <c r="P982">
        <v>2438.6799999999998</v>
      </c>
      <c r="Q982">
        <v>29264.16</v>
      </c>
    </row>
    <row r="983" spans="1:17">
      <c r="A983" s="19">
        <v>44932</v>
      </c>
      <c r="B983" t="s">
        <v>1231</v>
      </c>
      <c r="C983" t="s">
        <v>1232</v>
      </c>
      <c r="D983" t="s">
        <v>1233</v>
      </c>
      <c r="E983" t="s">
        <v>145</v>
      </c>
      <c r="F983" s="10">
        <v>2</v>
      </c>
      <c r="G983" s="10">
        <v>1582.65</v>
      </c>
      <c r="H983" s="10">
        <v>3165.3</v>
      </c>
      <c r="J983">
        <v>45252</v>
      </c>
      <c r="K983" t="str">
        <v>West</v>
      </c>
      <c r="L983" t="str">
        <v>Gujarat</v>
      </c>
      <c r="M983" t="str">
        <v>Vadodara</v>
      </c>
      <c r="N983" t="str">
        <v>Groceries</v>
      </c>
      <c r="O983">
        <v>9</v>
      </c>
      <c r="P983">
        <v>3209.83</v>
      </c>
      <c r="Q983">
        <v>28888.47</v>
      </c>
    </row>
    <row r="984" spans="1:17">
      <c r="A984" s="19">
        <v>45181</v>
      </c>
      <c r="B984" t="s">
        <v>1231</v>
      </c>
      <c r="C984" t="s">
        <v>1235</v>
      </c>
      <c r="D984" t="s">
        <v>1238</v>
      </c>
      <c r="E984" t="s">
        <v>145</v>
      </c>
      <c r="F984" s="10">
        <v>11</v>
      </c>
      <c r="G984" s="10">
        <v>268.13</v>
      </c>
      <c r="H984" s="10">
        <v>2949.43</v>
      </c>
      <c r="J984">
        <v>45027</v>
      </c>
      <c r="K984" t="str">
        <v>West</v>
      </c>
      <c r="L984" t="str">
        <v>Gujarat</v>
      </c>
      <c r="M984" t="str">
        <v>Vadodara</v>
      </c>
      <c r="N984" t="str">
        <v>Groceries</v>
      </c>
      <c r="O984">
        <v>6</v>
      </c>
      <c r="P984">
        <v>4042.16</v>
      </c>
      <c r="Q984">
        <v>24252.959999999999</v>
      </c>
    </row>
    <row r="985" spans="1:17">
      <c r="A985" s="19">
        <v>44933</v>
      </c>
      <c r="B985" t="s">
        <v>1231</v>
      </c>
      <c r="C985" t="s">
        <v>1235</v>
      </c>
      <c r="D985" t="s">
        <v>1236</v>
      </c>
      <c r="E985" t="s">
        <v>145</v>
      </c>
      <c r="F985" s="10">
        <v>7</v>
      </c>
      <c r="G985" s="10">
        <v>410.28</v>
      </c>
      <c r="H985" s="10">
        <v>2871.96</v>
      </c>
      <c r="J985">
        <v>45032</v>
      </c>
      <c r="K985" t="str">
        <v>West</v>
      </c>
      <c r="L985" t="str">
        <v>Gujarat</v>
      </c>
      <c r="M985" t="str">
        <v>Vadodara</v>
      </c>
      <c r="N985" t="str">
        <v>Groceries</v>
      </c>
      <c r="O985">
        <v>17</v>
      </c>
      <c r="P985">
        <v>1340.98</v>
      </c>
      <c r="Q985">
        <v>22796.66</v>
      </c>
    </row>
    <row r="986" spans="1:17">
      <c r="A986" s="19">
        <v>45226</v>
      </c>
      <c r="B986" t="s">
        <v>1229</v>
      </c>
      <c r="C986" t="s">
        <v>1230</v>
      </c>
      <c r="D986" t="s">
        <v>1248</v>
      </c>
      <c r="E986" t="s">
        <v>145</v>
      </c>
      <c r="F986" s="10">
        <v>11</v>
      </c>
      <c r="G986" s="10">
        <v>255.3</v>
      </c>
      <c r="H986" s="10">
        <v>2808.3</v>
      </c>
      <c r="J986">
        <v>45092</v>
      </c>
      <c r="K986" t="str">
        <v>West</v>
      </c>
      <c r="L986" t="str">
        <v>Gujarat</v>
      </c>
      <c r="M986" t="str">
        <v>Vadodara</v>
      </c>
      <c r="N986" t="str">
        <v>Groceries</v>
      </c>
      <c r="O986">
        <v>10</v>
      </c>
      <c r="P986">
        <v>1979.32</v>
      </c>
      <c r="Q986">
        <v>19793.2</v>
      </c>
    </row>
    <row r="987" spans="1:17">
      <c r="A987" s="19">
        <v>45076</v>
      </c>
      <c r="B987" t="s">
        <v>1231</v>
      </c>
      <c r="C987" t="s">
        <v>1232</v>
      </c>
      <c r="D987" t="s">
        <v>1234</v>
      </c>
      <c r="E987" t="s">
        <v>145</v>
      </c>
      <c r="F987" s="10">
        <v>1</v>
      </c>
      <c r="G987" s="10">
        <v>2664.84</v>
      </c>
      <c r="H987" s="10">
        <v>2664.84</v>
      </c>
      <c r="J987">
        <v>45205</v>
      </c>
      <c r="K987" t="str">
        <v>West</v>
      </c>
      <c r="L987" t="str">
        <v>Gujarat</v>
      </c>
      <c r="M987" t="str">
        <v>Vadodara</v>
      </c>
      <c r="N987" t="str">
        <v>Groceries</v>
      </c>
      <c r="O987">
        <v>4</v>
      </c>
      <c r="P987">
        <v>4317.2</v>
      </c>
      <c r="Q987">
        <v>17268.8</v>
      </c>
    </row>
    <row r="988" spans="1:17">
      <c r="A988" s="19">
        <v>45200</v>
      </c>
      <c r="B988" t="s">
        <v>1231</v>
      </c>
      <c r="C988" t="s">
        <v>1232</v>
      </c>
      <c r="D988" t="s">
        <v>1233</v>
      </c>
      <c r="E988" t="s">
        <v>145</v>
      </c>
      <c r="F988" s="10">
        <v>4</v>
      </c>
      <c r="G988" s="10">
        <v>637.89</v>
      </c>
      <c r="H988" s="10">
        <v>2551.56</v>
      </c>
      <c r="J988">
        <v>45146</v>
      </c>
      <c r="K988" t="str">
        <v>West</v>
      </c>
      <c r="L988" t="str">
        <v>Gujarat</v>
      </c>
      <c r="M988" t="str">
        <v>Vadodara</v>
      </c>
      <c r="N988" t="str">
        <v>Groceries</v>
      </c>
      <c r="O988">
        <v>8</v>
      </c>
      <c r="P988">
        <v>1927.88</v>
      </c>
      <c r="Q988">
        <v>15423.04</v>
      </c>
    </row>
    <row r="989" spans="1:17">
      <c r="A989" s="19">
        <v>45018</v>
      </c>
      <c r="B989" t="s">
        <v>1231</v>
      </c>
      <c r="C989" t="s">
        <v>1235</v>
      </c>
      <c r="D989" t="s">
        <v>1236</v>
      </c>
      <c r="E989" t="s">
        <v>145</v>
      </c>
      <c r="F989" s="10">
        <v>5</v>
      </c>
      <c r="G989" s="10">
        <v>491.78</v>
      </c>
      <c r="H989" s="10">
        <v>2458.9</v>
      </c>
      <c r="J989">
        <v>45104</v>
      </c>
      <c r="K989" t="str">
        <v>West</v>
      </c>
      <c r="L989" t="str">
        <v>Gujarat</v>
      </c>
      <c r="M989" t="str">
        <v>Vadodara</v>
      </c>
      <c r="N989" t="str">
        <v>Groceries</v>
      </c>
      <c r="O989">
        <v>6</v>
      </c>
      <c r="P989">
        <v>1985.97</v>
      </c>
      <c r="Q989">
        <v>11915.82</v>
      </c>
    </row>
    <row r="990" spans="1:17">
      <c r="A990" s="19">
        <v>45249</v>
      </c>
      <c r="B990" t="s">
        <v>1229</v>
      </c>
      <c r="C990" t="s">
        <v>1230</v>
      </c>
      <c r="D990" t="s">
        <v>1246</v>
      </c>
      <c r="E990" t="s">
        <v>145</v>
      </c>
      <c r="F990" s="10">
        <v>12</v>
      </c>
      <c r="G990" s="10">
        <v>186.62</v>
      </c>
      <c r="H990" s="10">
        <v>2239.44</v>
      </c>
      <c r="J990">
        <v>45069</v>
      </c>
      <c r="K990" t="str">
        <v>West</v>
      </c>
      <c r="L990" t="str">
        <v>Gujarat</v>
      </c>
      <c r="M990" t="str">
        <v>Vadodara</v>
      </c>
      <c r="N990" t="str">
        <v>Groceries</v>
      </c>
      <c r="O990">
        <v>16</v>
      </c>
      <c r="P990">
        <v>704.88</v>
      </c>
      <c r="Q990">
        <v>11278.08</v>
      </c>
    </row>
    <row r="991" spans="1:17">
      <c r="A991" s="19">
        <v>45063</v>
      </c>
      <c r="B991" t="s">
        <v>1231</v>
      </c>
      <c r="C991" t="s">
        <v>1235</v>
      </c>
      <c r="D991" t="s">
        <v>1241</v>
      </c>
      <c r="E991" t="s">
        <v>145</v>
      </c>
      <c r="F991" s="10">
        <v>2</v>
      </c>
      <c r="G991" s="10">
        <v>1063.3499999999999</v>
      </c>
      <c r="H991" s="10">
        <v>2126.6999999999998</v>
      </c>
      <c r="J991">
        <v>45021</v>
      </c>
      <c r="K991" t="str">
        <v>West</v>
      </c>
      <c r="L991" t="str">
        <v>Gujarat</v>
      </c>
      <c r="M991" t="str">
        <v>Vadodara</v>
      </c>
      <c r="N991" t="str">
        <v>Groceries</v>
      </c>
      <c r="O991">
        <v>8</v>
      </c>
      <c r="P991">
        <v>1185.17</v>
      </c>
      <c r="Q991">
        <v>9481.36</v>
      </c>
    </row>
    <row r="992" spans="1:17">
      <c r="A992" s="19">
        <v>45037</v>
      </c>
      <c r="B992" t="s">
        <v>1231</v>
      </c>
      <c r="C992" t="s">
        <v>1232</v>
      </c>
      <c r="D992" t="s">
        <v>1234</v>
      </c>
      <c r="E992" t="s">
        <v>145</v>
      </c>
      <c r="F992" s="10">
        <v>7</v>
      </c>
      <c r="G992" s="10">
        <v>299.68</v>
      </c>
      <c r="H992" s="10">
        <v>2097.7600000000002</v>
      </c>
      <c r="J992">
        <v>45015</v>
      </c>
      <c r="K992" t="str">
        <v>West</v>
      </c>
      <c r="L992" t="str">
        <v>Gujarat</v>
      </c>
      <c r="M992" t="str">
        <v>Vadodara</v>
      </c>
      <c r="N992" t="str">
        <v>Groceries</v>
      </c>
      <c r="O992">
        <v>9</v>
      </c>
      <c r="P992">
        <v>888.33</v>
      </c>
      <c r="Q992">
        <v>7994.97</v>
      </c>
    </row>
    <row r="993" spans="1:17">
      <c r="A993" s="19">
        <v>45167</v>
      </c>
      <c r="B993" t="s">
        <v>1229</v>
      </c>
      <c r="C993" t="s">
        <v>1237</v>
      </c>
      <c r="D993" t="s">
        <v>1171</v>
      </c>
      <c r="E993" t="s">
        <v>145</v>
      </c>
      <c r="F993" s="10">
        <v>2</v>
      </c>
      <c r="G993" s="10">
        <v>816.12</v>
      </c>
      <c r="H993" s="10">
        <v>1632.24</v>
      </c>
      <c r="J993">
        <v>45253</v>
      </c>
      <c r="K993" t="str">
        <v>West</v>
      </c>
      <c r="L993" t="str">
        <v>Gujarat</v>
      </c>
      <c r="M993" t="str">
        <v>Vadodara</v>
      </c>
      <c r="N993" t="str">
        <v>Groceries</v>
      </c>
      <c r="O993">
        <v>9</v>
      </c>
      <c r="P993">
        <v>851.87</v>
      </c>
      <c r="Q993">
        <v>7666.83</v>
      </c>
    </row>
    <row r="994" spans="1:17">
      <c r="A994" s="19">
        <v>45288</v>
      </c>
      <c r="B994" t="s">
        <v>1229</v>
      </c>
      <c r="C994" t="s">
        <v>1237</v>
      </c>
      <c r="D994" t="s">
        <v>1173</v>
      </c>
      <c r="E994" t="s">
        <v>145</v>
      </c>
      <c r="F994" s="10">
        <v>1</v>
      </c>
      <c r="G994" s="10">
        <v>1520.22</v>
      </c>
      <c r="H994" s="10">
        <v>1520.22</v>
      </c>
      <c r="J994">
        <v>44931</v>
      </c>
      <c r="K994" t="str">
        <v>West</v>
      </c>
      <c r="L994" t="str">
        <v>Gujarat</v>
      </c>
      <c r="M994" t="str">
        <v>Vadodara</v>
      </c>
      <c r="N994" t="str">
        <v>Groceries</v>
      </c>
      <c r="O994">
        <v>2</v>
      </c>
      <c r="P994">
        <v>2704.98</v>
      </c>
      <c r="Q994">
        <v>5409.96</v>
      </c>
    </row>
    <row r="995" spans="1:17">
      <c r="A995" s="19">
        <v>45130</v>
      </c>
      <c r="B995" t="s">
        <v>1229</v>
      </c>
      <c r="C995" t="s">
        <v>1237</v>
      </c>
      <c r="D995" t="s">
        <v>1239</v>
      </c>
      <c r="E995" t="s">
        <v>145</v>
      </c>
      <c r="F995" s="10">
        <v>2</v>
      </c>
      <c r="G995" s="10">
        <v>741.33</v>
      </c>
      <c r="H995" s="10">
        <v>1482.66</v>
      </c>
      <c r="J995">
        <v>44985</v>
      </c>
      <c r="K995" t="str">
        <v>West</v>
      </c>
      <c r="L995" t="str">
        <v>Gujarat</v>
      </c>
      <c r="M995" t="str">
        <v>Vadodara</v>
      </c>
      <c r="N995" t="str">
        <v>Stationery</v>
      </c>
      <c r="O995">
        <v>9</v>
      </c>
      <c r="P995">
        <v>3276.04</v>
      </c>
      <c r="Q995">
        <v>29484.36</v>
      </c>
    </row>
    <row r="996" spans="1:17">
      <c r="A996" s="19">
        <v>45201</v>
      </c>
      <c r="B996" t="s">
        <v>1242</v>
      </c>
      <c r="C996" t="s">
        <v>1243</v>
      </c>
      <c r="D996" t="s">
        <v>1244</v>
      </c>
      <c r="E996" t="s">
        <v>145</v>
      </c>
      <c r="F996" s="10">
        <v>11</v>
      </c>
      <c r="G996" s="10">
        <v>124.03</v>
      </c>
      <c r="H996" s="10">
        <v>1364.33</v>
      </c>
      <c r="J996">
        <v>45219</v>
      </c>
      <c r="K996" t="str">
        <v>West</v>
      </c>
      <c r="L996" t="str">
        <v>Gujarat</v>
      </c>
      <c r="M996" t="str">
        <v>Vadodara</v>
      </c>
      <c r="N996" t="str">
        <v>Stationery</v>
      </c>
      <c r="O996">
        <v>12</v>
      </c>
      <c r="P996">
        <v>2208.4899999999998</v>
      </c>
      <c r="Q996">
        <v>26501.88</v>
      </c>
    </row>
    <row r="997" spans="1:17">
      <c r="A997" s="19">
        <v>45219</v>
      </c>
      <c r="B997" t="s">
        <v>1242</v>
      </c>
      <c r="C997" t="s">
        <v>1243</v>
      </c>
      <c r="D997" t="s">
        <v>1244</v>
      </c>
      <c r="E997" t="s">
        <v>145</v>
      </c>
      <c r="F997" s="10">
        <v>5</v>
      </c>
      <c r="G997" s="10">
        <v>214.25</v>
      </c>
      <c r="H997" s="10">
        <v>1071.25</v>
      </c>
      <c r="J997">
        <v>44938</v>
      </c>
      <c r="K997" t="str">
        <v>West</v>
      </c>
      <c r="L997" t="str">
        <v>Gujarat</v>
      </c>
      <c r="M997" t="str">
        <v>Vadodara</v>
      </c>
      <c r="N997" t="str">
        <v>Stationery</v>
      </c>
      <c r="O997">
        <v>5</v>
      </c>
      <c r="P997">
        <v>3631.01</v>
      </c>
      <c r="Q997">
        <v>18155.05</v>
      </c>
    </row>
    <row r="998" spans="1:17">
      <c r="A998" s="19">
        <v>45257</v>
      </c>
      <c r="B998" t="s">
        <v>1229</v>
      </c>
      <c r="C998" t="s">
        <v>1237</v>
      </c>
      <c r="D998" t="s">
        <v>1173</v>
      </c>
      <c r="E998" t="s">
        <v>145</v>
      </c>
      <c r="F998" s="10">
        <v>6</v>
      </c>
      <c r="G998" s="10">
        <v>177.34</v>
      </c>
      <c r="H998" s="10">
        <v>1064.04</v>
      </c>
      <c r="J998">
        <v>44968</v>
      </c>
      <c r="K998" t="str">
        <v>West</v>
      </c>
      <c r="L998" t="str">
        <v>Gujarat</v>
      </c>
      <c r="M998" t="str">
        <v>Vadodara</v>
      </c>
      <c r="N998" t="str">
        <v>Stationery</v>
      </c>
      <c r="O998">
        <v>20</v>
      </c>
      <c r="P998">
        <v>633.87</v>
      </c>
      <c r="Q998">
        <v>12677.4</v>
      </c>
    </row>
    <row r="999" spans="1:17">
      <c r="A999" s="19">
        <v>45096</v>
      </c>
      <c r="B999" t="s">
        <v>1229</v>
      </c>
      <c r="C999" t="s">
        <v>1237</v>
      </c>
      <c r="D999" t="s">
        <v>1239</v>
      </c>
      <c r="E999" t="s">
        <v>145</v>
      </c>
      <c r="F999" s="10">
        <v>3</v>
      </c>
      <c r="G999" s="10">
        <v>264.98</v>
      </c>
      <c r="H999" s="10">
        <v>794.94</v>
      </c>
      <c r="J999">
        <v>44973</v>
      </c>
      <c r="K999" t="str">
        <v>West</v>
      </c>
      <c r="L999" t="str">
        <v>Gujarat</v>
      </c>
      <c r="M999" t="str">
        <v>Vadodara</v>
      </c>
      <c r="N999" t="str">
        <v>Stationery</v>
      </c>
      <c r="O999">
        <v>4</v>
      </c>
      <c r="P999">
        <v>2331.1</v>
      </c>
      <c r="Q999">
        <v>9324.4</v>
      </c>
    </row>
    <row r="1000" spans="1:17">
      <c r="A1000" s="19">
        <v>45213</v>
      </c>
      <c r="B1000" t="s">
        <v>1231</v>
      </c>
      <c r="C1000" t="s">
        <v>1232</v>
      </c>
      <c r="D1000" t="s">
        <v>1240</v>
      </c>
      <c r="E1000" t="s">
        <v>145</v>
      </c>
      <c r="F1000" s="10">
        <v>1</v>
      </c>
      <c r="G1000" s="10">
        <v>648.88</v>
      </c>
      <c r="H1000" s="10">
        <v>648.88</v>
      </c>
      <c r="J1000">
        <v>45017</v>
      </c>
      <c r="K1000" t="str">
        <v>West</v>
      </c>
      <c r="L1000" t="str">
        <v>Gujarat</v>
      </c>
      <c r="M1000" t="str">
        <v>Vadodara</v>
      </c>
      <c r="N1000" t="str">
        <v>Stationery</v>
      </c>
      <c r="O1000">
        <v>2</v>
      </c>
      <c r="P1000">
        <v>3037.55</v>
      </c>
      <c r="Q1000">
        <v>6075.1</v>
      </c>
    </row>
    <row r="1001" spans="1:17">
      <c r="A1001" s="19">
        <v>44979</v>
      </c>
      <c r="B1001" t="s">
        <v>1231</v>
      </c>
      <c r="C1001" t="s">
        <v>1235</v>
      </c>
      <c r="D1001" t="s">
        <v>1241</v>
      </c>
      <c r="E1001" t="s">
        <v>145</v>
      </c>
      <c r="F1001" s="10">
        <v>2</v>
      </c>
      <c r="G1001" s="10">
        <v>296.52999999999997</v>
      </c>
      <c r="H1001" s="10">
        <v>593.05999999999995</v>
      </c>
      <c r="J1001">
        <v>45285</v>
      </c>
      <c r="K1001" t="str">
        <v>West</v>
      </c>
      <c r="L1001" t="str">
        <v>Gujarat</v>
      </c>
      <c r="M1001" t="str">
        <v>Vadodara</v>
      </c>
      <c r="N1001" t="str">
        <v>Stationery</v>
      </c>
      <c r="O1001">
        <v>2</v>
      </c>
      <c r="P1001">
        <v>2171.79</v>
      </c>
      <c r="Q1001">
        <v>4343.58</v>
      </c>
    </row>
    <row r="1002" spans="1:17">
      <c r="J1002">
        <v>45249</v>
      </c>
      <c r="K1002" t="str">
        <v>West</v>
      </c>
      <c r="L1002" t="str">
        <v>Gujarat</v>
      </c>
      <c r="M1002" t="str">
        <v>Vadodara</v>
      </c>
      <c r="N1002" t="str">
        <v>Stationery</v>
      </c>
      <c r="O1002">
        <v>12</v>
      </c>
      <c r="P1002">
        <v>186.62</v>
      </c>
      <c r="Q1002">
        <v>2239.44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F790-B616-45B8-9F89-0ED848EC203A}">
  <dimension ref="A1:AL1001"/>
  <sheetViews>
    <sheetView workbookViewId="0">
      <selection activeCell="N2" sqref="N2"/>
    </sheetView>
  </sheetViews>
  <sheetFormatPr defaultRowHeight="14.25"/>
  <cols>
    <col min="1" max="1" width="10.19921875" bestFit="1" customWidth="1"/>
    <col min="2" max="2" width="13.9296875" bestFit="1" customWidth="1"/>
    <col min="3" max="3" width="10.19921875" bestFit="1" customWidth="1"/>
    <col min="4" max="4" width="10.86328125" bestFit="1" customWidth="1"/>
    <col min="5" max="5" width="6.33203125" bestFit="1" customWidth="1"/>
    <col min="6" max="6" width="14.796875" bestFit="1" customWidth="1"/>
    <col min="7" max="7" width="12.33203125" bestFit="1" customWidth="1"/>
    <col min="8" max="8" width="7.86328125" bestFit="1" customWidth="1"/>
    <col min="9" max="9" width="11.796875" bestFit="1" customWidth="1"/>
    <col min="10" max="10" width="12" bestFit="1" customWidth="1"/>
    <col min="11" max="11" width="12" customWidth="1"/>
    <col min="12" max="12" width="10.86328125" bestFit="1" customWidth="1"/>
    <col min="14" max="14" width="10.19921875" style="18" bestFit="1" customWidth="1"/>
    <col min="15" max="15" width="13.9296875" bestFit="1" customWidth="1"/>
    <col min="16" max="16" width="10.19921875" bestFit="1" customWidth="1"/>
    <col min="17" max="17" width="10.86328125" bestFit="1" customWidth="1"/>
    <col min="18" max="18" width="6.33203125" bestFit="1" customWidth="1"/>
    <col min="19" max="19" width="14.796875" bestFit="1" customWidth="1"/>
    <col min="20" max="20" width="12.33203125" bestFit="1" customWidth="1"/>
    <col min="21" max="21" width="7.86328125" bestFit="1" customWidth="1"/>
    <col min="22" max="22" width="11.796875" bestFit="1" customWidth="1"/>
    <col min="23" max="23" width="12" bestFit="1" customWidth="1"/>
    <col min="26" max="26" width="8.33203125" bestFit="1" customWidth="1"/>
    <col min="27" max="27" width="13.9296875" bestFit="1" customWidth="1"/>
    <col min="28" max="28" width="8.73046875" bestFit="1" customWidth="1"/>
    <col min="29" max="29" width="8.6640625" bestFit="1" customWidth="1"/>
    <col min="30" max="30" width="6.33203125" bestFit="1" customWidth="1"/>
    <col min="31" max="31" width="14.796875" bestFit="1" customWidth="1"/>
    <col min="32" max="32" width="12.33203125" bestFit="1" customWidth="1"/>
    <col min="33" max="33" width="7.86328125" bestFit="1" customWidth="1"/>
    <col min="34" max="34" width="11.796875" bestFit="1" customWidth="1"/>
    <col min="35" max="35" width="12" bestFit="1" customWidth="1"/>
    <col min="38" max="38" width="10.86328125" bestFit="1" customWidth="1"/>
  </cols>
  <sheetData>
    <row r="1" spans="1:38">
      <c r="A1" s="9" t="s">
        <v>1222</v>
      </c>
      <c r="B1" s="9" t="s">
        <v>1250</v>
      </c>
      <c r="C1" s="9" t="s">
        <v>1175</v>
      </c>
      <c r="D1" s="9" t="s">
        <v>1224</v>
      </c>
      <c r="E1" s="9" t="s">
        <v>1223</v>
      </c>
      <c r="F1" s="9" t="s">
        <v>1251</v>
      </c>
      <c r="G1" s="9" t="s">
        <v>111</v>
      </c>
      <c r="H1" s="9" t="s">
        <v>1226</v>
      </c>
      <c r="I1" s="9" t="s">
        <v>1227</v>
      </c>
      <c r="J1" s="9" t="s">
        <v>1228</v>
      </c>
      <c r="K1" s="9"/>
      <c r="L1" s="20" t="s">
        <v>1224</v>
      </c>
      <c r="N1" s="9" t="s">
        <v>1222</v>
      </c>
      <c r="O1" s="9" t="s">
        <v>1250</v>
      </c>
      <c r="P1" s="9" t="s">
        <v>1175</v>
      </c>
      <c r="Q1" s="9" t="s">
        <v>1224</v>
      </c>
      <c r="R1" s="9" t="s">
        <v>1223</v>
      </c>
      <c r="S1" s="9" t="s">
        <v>1251</v>
      </c>
      <c r="T1" s="9" t="s">
        <v>111</v>
      </c>
      <c r="U1" s="9" t="s">
        <v>1226</v>
      </c>
      <c r="V1" s="9" t="s">
        <v>1227</v>
      </c>
      <c r="W1" s="9" t="s">
        <v>1228</v>
      </c>
      <c r="Z1" s="9" t="s">
        <v>1222</v>
      </c>
      <c r="AA1" s="9" t="s">
        <v>1250</v>
      </c>
      <c r="AB1" s="9" t="s">
        <v>1175</v>
      </c>
      <c r="AC1" s="9" t="s">
        <v>1224</v>
      </c>
      <c r="AD1" s="9" t="s">
        <v>1223</v>
      </c>
      <c r="AE1" s="9" t="s">
        <v>1251</v>
      </c>
      <c r="AF1" s="9" t="s">
        <v>111</v>
      </c>
      <c r="AG1" s="9" t="s">
        <v>1226</v>
      </c>
      <c r="AH1" s="9" t="s">
        <v>1227</v>
      </c>
      <c r="AI1" s="9" t="s">
        <v>1228</v>
      </c>
      <c r="AL1" s="9" t="s">
        <v>1224</v>
      </c>
    </row>
    <row r="2" spans="1:38">
      <c r="A2" s="19">
        <v>44928</v>
      </c>
      <c r="B2" t="s">
        <v>1256</v>
      </c>
      <c r="C2" t="s">
        <v>1233</v>
      </c>
      <c r="D2" t="s">
        <v>1232</v>
      </c>
      <c r="E2" t="s">
        <v>1231</v>
      </c>
      <c r="F2" t="s">
        <v>132</v>
      </c>
      <c r="G2" t="s">
        <v>1279</v>
      </c>
      <c r="H2" s="10">
        <v>3</v>
      </c>
      <c r="I2" s="10">
        <v>4359.8999999999996</v>
      </c>
      <c r="J2" s="10">
        <v>13079.7</v>
      </c>
      <c r="K2" s="10"/>
      <c r="L2" t="s">
        <v>1243</v>
      </c>
      <c r="N2" s="18" cm="1">
        <f t="array" ref="N2:W194">_xlfn._xlws.SORT(_xlfn._xlws.FILTER(A2:J1001,D2:D1001=L2,"Not Found"),10,1)</f>
        <v>45089</v>
      </c>
      <c r="O2" t="str">
        <v>Nishant</v>
      </c>
      <c r="P2" t="str">
        <v>New Delhi</v>
      </c>
      <c r="Q2" t="str">
        <v>Delhi</v>
      </c>
      <c r="R2" t="str">
        <v>North</v>
      </c>
      <c r="S2" t="str">
        <v>Stationery</v>
      </c>
      <c r="T2" t="str">
        <v>Ruler</v>
      </c>
      <c r="U2">
        <v>3</v>
      </c>
      <c r="V2">
        <v>215.21</v>
      </c>
      <c r="W2">
        <v>645.63</v>
      </c>
      <c r="Z2" cm="1">
        <f t="array" ref="Z2:AI6">INDEX(_xlfn._xlws.SORT(_xlfn._xlws.FILTER(A2:J1001,D2:D1001=L2,"Not Found"),10,1),_xlfn.SEQUENCE(5),_xlfn.SEQUENCE(1,10))</f>
        <v>45089</v>
      </c>
      <c r="AA2" t="str">
        <v>Nishant</v>
      </c>
      <c r="AB2" t="str">
        <v>New Delhi</v>
      </c>
      <c r="AC2" t="str">
        <v>Delhi</v>
      </c>
      <c r="AD2" t="str">
        <v>North</v>
      </c>
      <c r="AE2" t="str">
        <v>Stationery</v>
      </c>
      <c r="AF2" t="str">
        <v>Ruler</v>
      </c>
      <c r="AG2">
        <v>3</v>
      </c>
      <c r="AH2">
        <v>215.21</v>
      </c>
      <c r="AI2">
        <v>645.63</v>
      </c>
      <c r="AL2" t="s">
        <v>1232</v>
      </c>
    </row>
    <row r="3" spans="1:38">
      <c r="A3" s="19">
        <v>44928</v>
      </c>
      <c r="B3" t="s">
        <v>1267</v>
      </c>
      <c r="C3" t="s">
        <v>1241</v>
      </c>
      <c r="D3" t="s">
        <v>1235</v>
      </c>
      <c r="E3" t="s">
        <v>1231</v>
      </c>
      <c r="F3" t="s">
        <v>145</v>
      </c>
      <c r="G3" t="s">
        <v>1278</v>
      </c>
      <c r="H3" s="10">
        <v>15</v>
      </c>
      <c r="I3" s="10">
        <v>1853</v>
      </c>
      <c r="J3" s="10">
        <v>27795</v>
      </c>
      <c r="K3" s="10"/>
      <c r="N3" s="18">
        <v>44996</v>
      </c>
      <c r="O3" t="str">
        <v>Kabir</v>
      </c>
      <c r="P3" t="str">
        <v>New Delhi</v>
      </c>
      <c r="Q3" t="str">
        <v>Delhi</v>
      </c>
      <c r="R3" t="str">
        <v>North</v>
      </c>
      <c r="S3" t="str">
        <v>Stationery</v>
      </c>
      <c r="T3" t="str">
        <v>Notebook</v>
      </c>
      <c r="U3">
        <v>1</v>
      </c>
      <c r="V3">
        <v>936.56</v>
      </c>
      <c r="W3">
        <v>936.56</v>
      </c>
      <c r="Z3">
        <v>44996</v>
      </c>
      <c r="AA3" t="str">
        <v>Kabir</v>
      </c>
      <c r="AB3" t="str">
        <v>New Delhi</v>
      </c>
      <c r="AC3" t="str">
        <v>Delhi</v>
      </c>
      <c r="AD3" t="str">
        <v>North</v>
      </c>
      <c r="AE3" t="str">
        <v>Stationery</v>
      </c>
      <c r="AF3" t="str">
        <v>Notebook</v>
      </c>
      <c r="AG3">
        <v>1</v>
      </c>
      <c r="AH3">
        <v>936.56</v>
      </c>
      <c r="AI3">
        <v>936.56</v>
      </c>
      <c r="AL3" t="s">
        <v>1235</v>
      </c>
    </row>
    <row r="4" spans="1:38">
      <c r="A4" s="19">
        <v>44929</v>
      </c>
      <c r="B4" t="s">
        <v>1254</v>
      </c>
      <c r="C4" t="s">
        <v>1236</v>
      </c>
      <c r="D4" t="s">
        <v>1235</v>
      </c>
      <c r="E4" t="s">
        <v>1231</v>
      </c>
      <c r="F4" t="s">
        <v>120</v>
      </c>
      <c r="G4" t="s">
        <v>1276</v>
      </c>
      <c r="H4" s="10">
        <v>3</v>
      </c>
      <c r="I4" s="10">
        <v>4908.74</v>
      </c>
      <c r="J4" s="10">
        <v>14726.22</v>
      </c>
      <c r="K4" s="10"/>
      <c r="L4" s="10"/>
      <c r="N4" s="18">
        <v>45124</v>
      </c>
      <c r="O4" t="str">
        <v>Aarav</v>
      </c>
      <c r="P4" t="str">
        <v>Karol Bagh</v>
      </c>
      <c r="Q4" t="str">
        <v>Delhi</v>
      </c>
      <c r="R4" t="str">
        <v>North</v>
      </c>
      <c r="S4" t="str">
        <v>Stationery</v>
      </c>
      <c r="T4" t="str">
        <v>Eraser</v>
      </c>
      <c r="U4">
        <v>1</v>
      </c>
      <c r="V4">
        <v>1323.63</v>
      </c>
      <c r="W4">
        <v>1323.63</v>
      </c>
      <c r="Z4">
        <v>45124</v>
      </c>
      <c r="AA4" t="str">
        <v>Aarav</v>
      </c>
      <c r="AB4" t="str">
        <v>Karol Bagh</v>
      </c>
      <c r="AC4" t="str">
        <v>Delhi</v>
      </c>
      <c r="AD4" t="str">
        <v>North</v>
      </c>
      <c r="AE4" t="str">
        <v>Stationery</v>
      </c>
      <c r="AF4" t="str">
        <v>Eraser</v>
      </c>
      <c r="AG4">
        <v>1</v>
      </c>
      <c r="AH4">
        <v>1323.63</v>
      </c>
      <c r="AI4">
        <v>1323.63</v>
      </c>
      <c r="AL4" t="s">
        <v>1243</v>
      </c>
    </row>
    <row r="5" spans="1:38">
      <c r="A5" s="19">
        <v>44929</v>
      </c>
      <c r="B5" t="s">
        <v>1262</v>
      </c>
      <c r="C5" t="s">
        <v>1245</v>
      </c>
      <c r="D5" t="s">
        <v>1243</v>
      </c>
      <c r="E5" t="s">
        <v>1242</v>
      </c>
      <c r="F5" t="s">
        <v>128</v>
      </c>
      <c r="G5" t="s">
        <v>1266</v>
      </c>
      <c r="H5" s="10">
        <v>20</v>
      </c>
      <c r="I5" s="10">
        <v>3463.6</v>
      </c>
      <c r="J5" s="10">
        <v>69272</v>
      </c>
      <c r="K5" s="10"/>
      <c r="L5" s="10"/>
      <c r="N5" s="18">
        <v>44989</v>
      </c>
      <c r="O5" t="str">
        <v>Nishant</v>
      </c>
      <c r="P5" t="str">
        <v>Karol Bagh</v>
      </c>
      <c r="Q5" t="str">
        <v>Delhi</v>
      </c>
      <c r="R5" t="str">
        <v>North</v>
      </c>
      <c r="S5" t="str">
        <v>Groceries</v>
      </c>
      <c r="T5" t="str">
        <v>Rice</v>
      </c>
      <c r="U5">
        <v>7</v>
      </c>
      <c r="V5">
        <v>217.04</v>
      </c>
      <c r="W5">
        <v>1519.28</v>
      </c>
      <c r="Z5">
        <v>44989</v>
      </c>
      <c r="AA5" t="str">
        <v>Nishant</v>
      </c>
      <c r="AB5" t="str">
        <v>Karol Bagh</v>
      </c>
      <c r="AC5" t="str">
        <v>Delhi</v>
      </c>
      <c r="AD5" t="str">
        <v>North</v>
      </c>
      <c r="AE5" t="str">
        <v>Groceries</v>
      </c>
      <c r="AF5" t="str">
        <v>Rice</v>
      </c>
      <c r="AG5">
        <v>7</v>
      </c>
      <c r="AH5">
        <v>217.04</v>
      </c>
      <c r="AI5">
        <v>1519.28</v>
      </c>
      <c r="AL5" t="s">
        <v>1230</v>
      </c>
    </row>
    <row r="6" spans="1:38">
      <c r="A6" s="19">
        <v>44930</v>
      </c>
      <c r="B6" t="s">
        <v>1263</v>
      </c>
      <c r="C6" t="s">
        <v>1169</v>
      </c>
      <c r="D6" t="s">
        <v>1230</v>
      </c>
      <c r="E6" t="s">
        <v>1229</v>
      </c>
      <c r="F6" t="s">
        <v>132</v>
      </c>
      <c r="G6" t="s">
        <v>1253</v>
      </c>
      <c r="H6" s="10">
        <v>3</v>
      </c>
      <c r="I6" s="10">
        <v>2205.6</v>
      </c>
      <c r="J6" s="10">
        <v>6616.8</v>
      </c>
      <c r="K6" s="10"/>
      <c r="L6" s="10"/>
      <c r="N6" s="18">
        <v>45148</v>
      </c>
      <c r="O6" t="str">
        <v>Ishita</v>
      </c>
      <c r="P6" t="str">
        <v>Dwarka</v>
      </c>
      <c r="Q6" t="str">
        <v>Delhi</v>
      </c>
      <c r="R6" t="str">
        <v>North</v>
      </c>
      <c r="S6" t="str">
        <v>Clothing</v>
      </c>
      <c r="T6" t="str">
        <v>Dress</v>
      </c>
      <c r="U6">
        <v>17</v>
      </c>
      <c r="V6">
        <v>102.62</v>
      </c>
      <c r="W6">
        <v>1744.54</v>
      </c>
      <c r="Z6">
        <v>45148</v>
      </c>
      <c r="AA6" t="str">
        <v>Ishita</v>
      </c>
      <c r="AB6" t="str">
        <v>Dwarka</v>
      </c>
      <c r="AC6" t="str">
        <v>Delhi</v>
      </c>
      <c r="AD6" t="str">
        <v>North</v>
      </c>
      <c r="AE6" t="str">
        <v>Clothing</v>
      </c>
      <c r="AF6" t="str">
        <v>Dress</v>
      </c>
      <c r="AG6">
        <v>17</v>
      </c>
      <c r="AH6">
        <v>102.62</v>
      </c>
      <c r="AI6">
        <v>1744.54</v>
      </c>
      <c r="AL6" t="s">
        <v>1237</v>
      </c>
    </row>
    <row r="7" spans="1:38">
      <c r="A7" s="19">
        <v>44930</v>
      </c>
      <c r="B7" t="s">
        <v>1269</v>
      </c>
      <c r="C7" t="s">
        <v>1244</v>
      </c>
      <c r="D7" t="s">
        <v>1243</v>
      </c>
      <c r="E7" t="s">
        <v>1242</v>
      </c>
      <c r="F7" t="s">
        <v>145</v>
      </c>
      <c r="G7" t="s">
        <v>1261</v>
      </c>
      <c r="H7" s="10">
        <v>18</v>
      </c>
      <c r="I7" s="10">
        <v>1042.99</v>
      </c>
      <c r="J7" s="10">
        <v>18773.82</v>
      </c>
      <c r="K7" s="10"/>
      <c r="L7" s="10"/>
      <c r="N7" s="18">
        <v>45011</v>
      </c>
      <c r="O7" t="str">
        <v>Aryan</v>
      </c>
      <c r="P7" t="str">
        <v>Dwarka</v>
      </c>
      <c r="Q7" t="str">
        <v>Delhi</v>
      </c>
      <c r="R7" t="str">
        <v>North</v>
      </c>
      <c r="S7" t="str">
        <v>Stationery</v>
      </c>
      <c r="T7" t="str">
        <v>Pen</v>
      </c>
      <c r="U7">
        <v>5</v>
      </c>
      <c r="V7">
        <v>355.6</v>
      </c>
      <c r="W7">
        <v>1778</v>
      </c>
    </row>
    <row r="8" spans="1:38">
      <c r="A8" s="19">
        <v>44931</v>
      </c>
      <c r="B8" t="s">
        <v>1254</v>
      </c>
      <c r="C8" t="s">
        <v>1236</v>
      </c>
      <c r="D8" t="s">
        <v>1235</v>
      </c>
      <c r="E8" t="s">
        <v>1231</v>
      </c>
      <c r="F8" t="s">
        <v>145</v>
      </c>
      <c r="G8" t="s">
        <v>1274</v>
      </c>
      <c r="H8" s="10">
        <v>13</v>
      </c>
      <c r="I8" s="10">
        <v>2979.65</v>
      </c>
      <c r="J8" s="10">
        <v>38735.449999999997</v>
      </c>
      <c r="K8" s="10"/>
      <c r="L8" s="10"/>
      <c r="N8" s="18">
        <v>45239</v>
      </c>
      <c r="O8" t="str">
        <v>Meera</v>
      </c>
      <c r="P8" t="str">
        <v>New Delhi</v>
      </c>
      <c r="Q8" t="str">
        <v>Delhi</v>
      </c>
      <c r="R8" t="str">
        <v>North</v>
      </c>
      <c r="S8" t="str">
        <v>Clothing</v>
      </c>
      <c r="T8" t="str">
        <v>Pants</v>
      </c>
      <c r="U8">
        <v>12</v>
      </c>
      <c r="V8">
        <v>149.16</v>
      </c>
      <c r="W8">
        <v>1789.92</v>
      </c>
    </row>
    <row r="9" spans="1:38">
      <c r="A9" s="19">
        <v>44931</v>
      </c>
      <c r="B9" t="s">
        <v>1265</v>
      </c>
      <c r="C9" t="s">
        <v>1246</v>
      </c>
      <c r="D9" t="s">
        <v>1230</v>
      </c>
      <c r="E9" t="s">
        <v>1229</v>
      </c>
      <c r="F9" t="s">
        <v>1249</v>
      </c>
      <c r="G9" t="s">
        <v>1272</v>
      </c>
      <c r="H9" s="10">
        <v>3</v>
      </c>
      <c r="I9" s="10">
        <v>2393.7199999999998</v>
      </c>
      <c r="J9" s="10">
        <v>7181.16</v>
      </c>
      <c r="K9" s="10"/>
      <c r="N9" s="18">
        <v>45089</v>
      </c>
      <c r="O9" t="str">
        <v>Aarav</v>
      </c>
      <c r="P9" t="str">
        <v>Dwarka</v>
      </c>
      <c r="Q9" t="str">
        <v>Delhi</v>
      </c>
      <c r="R9" t="str">
        <v>North</v>
      </c>
      <c r="S9" t="str">
        <v>Groceries</v>
      </c>
      <c r="T9" t="str">
        <v>Sugar</v>
      </c>
      <c r="U9">
        <v>7</v>
      </c>
      <c r="V9">
        <v>256.57</v>
      </c>
      <c r="W9">
        <v>1795.99</v>
      </c>
      <c r="Z9" t="e" cm="1" vm="1">
        <f t="array" aca="1" ref="Z9" ca="1">_xlfn.TAKE(O1:W9, 3)</f>
        <v>#NAME?</v>
      </c>
    </row>
    <row r="10" spans="1:38">
      <c r="A10" s="19">
        <v>44931</v>
      </c>
      <c r="B10" t="s">
        <v>1269</v>
      </c>
      <c r="C10" t="s">
        <v>1171</v>
      </c>
      <c r="D10" t="s">
        <v>1237</v>
      </c>
      <c r="E10" t="s">
        <v>1229</v>
      </c>
      <c r="F10" t="s">
        <v>132</v>
      </c>
      <c r="G10" t="s">
        <v>1277</v>
      </c>
      <c r="H10" s="10">
        <v>4</v>
      </c>
      <c r="I10" s="10">
        <v>4293.74</v>
      </c>
      <c r="J10" s="10">
        <v>17174.96</v>
      </c>
      <c r="K10" s="10"/>
      <c r="N10" s="18">
        <v>45242</v>
      </c>
      <c r="O10" t="str">
        <v>Riya</v>
      </c>
      <c r="P10" t="str">
        <v>Dwarka</v>
      </c>
      <c r="Q10" t="str">
        <v>Delhi</v>
      </c>
      <c r="R10" t="str">
        <v>North</v>
      </c>
      <c r="S10" t="str">
        <v>Furniture</v>
      </c>
      <c r="T10" t="str">
        <v>Sofa</v>
      </c>
      <c r="U10">
        <v>3</v>
      </c>
      <c r="V10">
        <v>672.84</v>
      </c>
      <c r="W10">
        <v>2018.52</v>
      </c>
    </row>
    <row r="11" spans="1:38">
      <c r="A11" s="19">
        <v>44932</v>
      </c>
      <c r="B11" t="s">
        <v>1263</v>
      </c>
      <c r="C11" t="s">
        <v>1241</v>
      </c>
      <c r="D11" t="s">
        <v>1235</v>
      </c>
      <c r="E11" t="s">
        <v>1231</v>
      </c>
      <c r="F11" t="s">
        <v>128</v>
      </c>
      <c r="G11" t="s">
        <v>1266</v>
      </c>
      <c r="H11" s="10">
        <v>17</v>
      </c>
      <c r="I11" s="10">
        <v>828.26</v>
      </c>
      <c r="J11" s="10">
        <v>14080.42</v>
      </c>
      <c r="K11" s="10"/>
      <c r="N11" s="18">
        <v>45143</v>
      </c>
      <c r="O11" t="str">
        <v>Nishant</v>
      </c>
      <c r="P11" t="str">
        <v>Karol Bagh</v>
      </c>
      <c r="Q11" t="str">
        <v>Delhi</v>
      </c>
      <c r="R11" t="str">
        <v>North</v>
      </c>
      <c r="S11" t="str">
        <v>Stationery</v>
      </c>
      <c r="T11" t="str">
        <v>Pen</v>
      </c>
      <c r="U11">
        <v>1</v>
      </c>
      <c r="V11">
        <v>2366.64</v>
      </c>
      <c r="W11">
        <v>2366.64</v>
      </c>
    </row>
    <row r="12" spans="1:38">
      <c r="A12" s="19">
        <v>44932</v>
      </c>
      <c r="B12" t="s">
        <v>1258</v>
      </c>
      <c r="C12" t="s">
        <v>1241</v>
      </c>
      <c r="D12" t="s">
        <v>1235</v>
      </c>
      <c r="E12" t="s">
        <v>1231</v>
      </c>
      <c r="F12" t="s">
        <v>145</v>
      </c>
      <c r="G12" t="s">
        <v>1278</v>
      </c>
      <c r="H12" s="10">
        <v>8</v>
      </c>
      <c r="I12" s="10">
        <v>4786.4799999999996</v>
      </c>
      <c r="J12" s="10">
        <v>38291.839999999997</v>
      </c>
      <c r="K12" s="10"/>
      <c r="N12" s="18">
        <v>44971</v>
      </c>
      <c r="O12" t="str">
        <v>Meera</v>
      </c>
      <c r="P12" t="str">
        <v>Karol Bagh</v>
      </c>
      <c r="Q12" t="str">
        <v>Delhi</v>
      </c>
      <c r="R12" t="str">
        <v>North</v>
      </c>
      <c r="S12" t="str">
        <v>Stationery</v>
      </c>
      <c r="T12" t="str">
        <v>Eraser</v>
      </c>
      <c r="U12">
        <v>2</v>
      </c>
      <c r="V12">
        <v>1189.6500000000001</v>
      </c>
      <c r="W12">
        <v>2379.3000000000002</v>
      </c>
    </row>
    <row r="13" spans="1:38">
      <c r="A13" s="19">
        <v>44932</v>
      </c>
      <c r="B13" t="s">
        <v>1265</v>
      </c>
      <c r="C13" t="s">
        <v>1248</v>
      </c>
      <c r="D13" t="s">
        <v>1230</v>
      </c>
      <c r="E13" t="s">
        <v>1229</v>
      </c>
      <c r="F13" t="s">
        <v>120</v>
      </c>
      <c r="G13" t="s">
        <v>1165</v>
      </c>
      <c r="H13" s="10">
        <v>15</v>
      </c>
      <c r="I13" s="10">
        <v>447.71</v>
      </c>
      <c r="J13" s="10">
        <v>6715.65</v>
      </c>
      <c r="K13" s="10"/>
      <c r="N13" s="18">
        <v>45072</v>
      </c>
      <c r="O13" t="str">
        <v>Ishita</v>
      </c>
      <c r="P13" t="str">
        <v>New Delhi</v>
      </c>
      <c r="Q13" t="str">
        <v>Delhi</v>
      </c>
      <c r="R13" t="str">
        <v>North</v>
      </c>
      <c r="S13" t="str">
        <v>Furniture</v>
      </c>
      <c r="T13" t="str">
        <v>Bed</v>
      </c>
      <c r="U13">
        <v>10</v>
      </c>
      <c r="V13">
        <v>239.55</v>
      </c>
      <c r="W13">
        <v>2395.5</v>
      </c>
    </row>
    <row r="14" spans="1:38">
      <c r="A14" s="19">
        <v>44933</v>
      </c>
      <c r="B14" t="s">
        <v>1262</v>
      </c>
      <c r="C14" t="s">
        <v>1236</v>
      </c>
      <c r="D14" t="s">
        <v>1235</v>
      </c>
      <c r="E14" t="s">
        <v>1231</v>
      </c>
      <c r="F14" t="s">
        <v>145</v>
      </c>
      <c r="G14" t="s">
        <v>1278</v>
      </c>
      <c r="H14" s="10">
        <v>9</v>
      </c>
      <c r="I14" s="10">
        <v>4674.04</v>
      </c>
      <c r="J14" s="10">
        <v>42066.36</v>
      </c>
      <c r="K14" s="10"/>
      <c r="N14" s="18">
        <v>45100</v>
      </c>
      <c r="O14" t="str">
        <v>Nishant</v>
      </c>
      <c r="P14" t="str">
        <v>New Delhi</v>
      </c>
      <c r="Q14" t="str">
        <v>Delhi</v>
      </c>
      <c r="R14" t="str">
        <v>North</v>
      </c>
      <c r="S14" t="str">
        <v>Clothing</v>
      </c>
      <c r="T14" t="str">
        <v>Shirt</v>
      </c>
      <c r="U14">
        <v>1</v>
      </c>
      <c r="V14">
        <v>2709.05</v>
      </c>
      <c r="W14">
        <v>2709.05</v>
      </c>
    </row>
    <row r="15" spans="1:38">
      <c r="A15" s="19">
        <v>44933</v>
      </c>
      <c r="B15" t="s">
        <v>1252</v>
      </c>
      <c r="C15" t="s">
        <v>1233</v>
      </c>
      <c r="D15" t="s">
        <v>1232</v>
      </c>
      <c r="E15" t="s">
        <v>1231</v>
      </c>
      <c r="F15" t="s">
        <v>132</v>
      </c>
      <c r="G15" t="s">
        <v>1279</v>
      </c>
      <c r="H15" s="10">
        <v>8</v>
      </c>
      <c r="I15" s="10">
        <v>4021.86</v>
      </c>
      <c r="J15" s="10">
        <v>32174.880000000001</v>
      </c>
      <c r="K15" s="10"/>
      <c r="N15" s="18">
        <v>44934</v>
      </c>
      <c r="O15" t="str">
        <v>Vihaan</v>
      </c>
      <c r="P15" t="str">
        <v>New Delhi</v>
      </c>
      <c r="Q15" t="str">
        <v>Delhi</v>
      </c>
      <c r="R15" t="str">
        <v>North</v>
      </c>
      <c r="S15" t="str">
        <v>Furniture</v>
      </c>
      <c r="T15" t="str">
        <v>Chair</v>
      </c>
      <c r="U15">
        <v>3</v>
      </c>
      <c r="V15">
        <v>916.33</v>
      </c>
      <c r="W15">
        <v>2748.99</v>
      </c>
    </row>
    <row r="16" spans="1:38">
      <c r="A16" s="19">
        <v>44934</v>
      </c>
      <c r="B16" t="s">
        <v>1254</v>
      </c>
      <c r="C16" t="s">
        <v>1245</v>
      </c>
      <c r="D16" t="s">
        <v>1243</v>
      </c>
      <c r="E16" t="s">
        <v>1242</v>
      </c>
      <c r="F16" t="s">
        <v>132</v>
      </c>
      <c r="G16" t="s">
        <v>1279</v>
      </c>
      <c r="H16" s="10">
        <v>3</v>
      </c>
      <c r="I16" s="10">
        <v>916.33</v>
      </c>
      <c r="J16" s="10">
        <v>2748.99</v>
      </c>
      <c r="K16" s="10"/>
      <c r="N16" s="18">
        <v>45257</v>
      </c>
      <c r="O16" t="str">
        <v>Kabir</v>
      </c>
      <c r="P16" t="str">
        <v>Dwarka</v>
      </c>
      <c r="Q16" t="str">
        <v>Delhi</v>
      </c>
      <c r="R16" t="str">
        <v>North</v>
      </c>
      <c r="S16" t="str">
        <v>Clothing</v>
      </c>
      <c r="T16" t="str">
        <v>Pants</v>
      </c>
      <c r="U16">
        <v>20</v>
      </c>
      <c r="V16">
        <v>138.6</v>
      </c>
      <c r="W16">
        <v>2772</v>
      </c>
    </row>
    <row r="17" spans="1:23">
      <c r="A17" s="19">
        <v>44935</v>
      </c>
      <c r="B17" t="s">
        <v>1258</v>
      </c>
      <c r="C17" t="s">
        <v>1169</v>
      </c>
      <c r="D17" t="s">
        <v>1230</v>
      </c>
      <c r="E17" t="s">
        <v>1229</v>
      </c>
      <c r="F17" t="s">
        <v>1249</v>
      </c>
      <c r="G17" t="s">
        <v>1270</v>
      </c>
      <c r="H17" s="10">
        <v>13</v>
      </c>
      <c r="I17" s="10">
        <v>4331.5</v>
      </c>
      <c r="J17" s="10">
        <v>56309.5</v>
      </c>
      <c r="K17" s="10"/>
      <c r="N17" s="18">
        <v>45200</v>
      </c>
      <c r="O17" t="str">
        <v>Riya</v>
      </c>
      <c r="P17" t="str">
        <v>Dwarka</v>
      </c>
      <c r="Q17" t="str">
        <v>Delhi</v>
      </c>
      <c r="R17" t="str">
        <v>North</v>
      </c>
      <c r="S17" t="str">
        <v>Furniture</v>
      </c>
      <c r="T17" t="str">
        <v>Table</v>
      </c>
      <c r="U17">
        <v>7</v>
      </c>
      <c r="V17">
        <v>405.27</v>
      </c>
      <c r="W17">
        <v>2836.89</v>
      </c>
    </row>
    <row r="18" spans="1:23">
      <c r="A18" s="19">
        <v>44935</v>
      </c>
      <c r="B18" t="s">
        <v>1252</v>
      </c>
      <c r="C18" t="s">
        <v>1173</v>
      </c>
      <c r="D18" t="s">
        <v>1237</v>
      </c>
      <c r="E18" t="s">
        <v>1229</v>
      </c>
      <c r="F18" t="s">
        <v>128</v>
      </c>
      <c r="G18" t="s">
        <v>1273</v>
      </c>
      <c r="H18" s="10">
        <v>6</v>
      </c>
      <c r="I18" s="10">
        <v>4270.03</v>
      </c>
      <c r="J18" s="10">
        <v>25620.18</v>
      </c>
      <c r="K18" s="10"/>
      <c r="N18" s="18">
        <v>45077</v>
      </c>
      <c r="O18" t="str">
        <v>Aditi</v>
      </c>
      <c r="P18" t="str">
        <v>Karol Bagh</v>
      </c>
      <c r="Q18" t="str">
        <v>Delhi</v>
      </c>
      <c r="R18" t="str">
        <v>North</v>
      </c>
      <c r="S18" t="str">
        <v>Clothing</v>
      </c>
      <c r="T18" t="str">
        <v>Dress</v>
      </c>
      <c r="U18">
        <v>1</v>
      </c>
      <c r="V18">
        <v>3041.26</v>
      </c>
      <c r="W18">
        <v>3041.26</v>
      </c>
    </row>
    <row r="19" spans="1:23">
      <c r="A19" s="19">
        <v>44935</v>
      </c>
      <c r="B19" t="s">
        <v>1269</v>
      </c>
      <c r="C19" t="s">
        <v>1240</v>
      </c>
      <c r="D19" t="s">
        <v>1232</v>
      </c>
      <c r="E19" t="s">
        <v>1231</v>
      </c>
      <c r="F19" t="s">
        <v>145</v>
      </c>
      <c r="G19" t="s">
        <v>1278</v>
      </c>
      <c r="H19" s="10">
        <v>18</v>
      </c>
      <c r="I19" s="10">
        <v>970.52</v>
      </c>
      <c r="J19" s="10">
        <v>17469.36</v>
      </c>
      <c r="K19" s="10"/>
      <c r="N19" s="18">
        <v>45018</v>
      </c>
      <c r="O19" t="str">
        <v>Aditi</v>
      </c>
      <c r="P19" t="str">
        <v>Dwarka</v>
      </c>
      <c r="Q19" t="str">
        <v>Delhi</v>
      </c>
      <c r="R19" t="str">
        <v>North</v>
      </c>
      <c r="S19" t="str">
        <v>Electronics</v>
      </c>
      <c r="T19" t="str">
        <v>Headphones</v>
      </c>
      <c r="U19">
        <v>1</v>
      </c>
      <c r="V19">
        <v>3187.31</v>
      </c>
      <c r="W19">
        <v>3187.31</v>
      </c>
    </row>
    <row r="20" spans="1:23">
      <c r="A20" s="19">
        <v>44936</v>
      </c>
      <c r="B20" t="s">
        <v>1252</v>
      </c>
      <c r="C20" t="s">
        <v>1246</v>
      </c>
      <c r="D20" t="s">
        <v>1230</v>
      </c>
      <c r="E20" t="s">
        <v>1229</v>
      </c>
      <c r="F20" t="s">
        <v>128</v>
      </c>
      <c r="G20" t="s">
        <v>1257</v>
      </c>
      <c r="H20" s="10">
        <v>15</v>
      </c>
      <c r="I20" s="10">
        <v>359.4</v>
      </c>
      <c r="J20" s="10">
        <v>5391</v>
      </c>
      <c r="K20" s="10"/>
      <c r="N20" s="18">
        <v>45011</v>
      </c>
      <c r="O20" t="str">
        <v>Riya</v>
      </c>
      <c r="P20" t="str">
        <v>New Delhi</v>
      </c>
      <c r="Q20" t="str">
        <v>Delhi</v>
      </c>
      <c r="R20" t="str">
        <v>North</v>
      </c>
      <c r="S20" t="str">
        <v>Stationery</v>
      </c>
      <c r="T20" t="str">
        <v>Eraser</v>
      </c>
      <c r="U20">
        <v>4</v>
      </c>
      <c r="V20">
        <v>810.38</v>
      </c>
      <c r="W20">
        <v>3241.52</v>
      </c>
    </row>
    <row r="21" spans="1:23">
      <c r="A21" s="19">
        <v>44937</v>
      </c>
      <c r="B21" t="s">
        <v>1267</v>
      </c>
      <c r="C21" t="s">
        <v>1238</v>
      </c>
      <c r="D21" t="s">
        <v>1235</v>
      </c>
      <c r="E21" t="s">
        <v>1231</v>
      </c>
      <c r="F21" t="s">
        <v>1249</v>
      </c>
      <c r="G21" t="s">
        <v>1272</v>
      </c>
      <c r="H21" s="10">
        <v>17</v>
      </c>
      <c r="I21" s="10">
        <v>2215.5500000000002</v>
      </c>
      <c r="J21" s="10">
        <v>37664.35</v>
      </c>
      <c r="K21" s="10"/>
      <c r="N21" s="18">
        <v>44973</v>
      </c>
      <c r="O21" t="str">
        <v>Vihaan</v>
      </c>
      <c r="P21" t="str">
        <v>New Delhi</v>
      </c>
      <c r="Q21" t="str">
        <v>Delhi</v>
      </c>
      <c r="R21" t="str">
        <v>North</v>
      </c>
      <c r="S21" t="str">
        <v>Stationery</v>
      </c>
      <c r="T21" t="str">
        <v>Pen</v>
      </c>
      <c r="U21">
        <v>1</v>
      </c>
      <c r="V21">
        <v>3246.08</v>
      </c>
      <c r="W21">
        <v>3246.08</v>
      </c>
    </row>
    <row r="22" spans="1:23">
      <c r="A22" s="19">
        <v>44937</v>
      </c>
      <c r="B22" t="s">
        <v>1267</v>
      </c>
      <c r="C22" t="s">
        <v>1234</v>
      </c>
      <c r="D22" t="s">
        <v>1232</v>
      </c>
      <c r="E22" t="s">
        <v>1231</v>
      </c>
      <c r="F22" t="s">
        <v>132</v>
      </c>
      <c r="G22" t="s">
        <v>1279</v>
      </c>
      <c r="H22" s="10">
        <v>11</v>
      </c>
      <c r="I22" s="10">
        <v>3514.12</v>
      </c>
      <c r="J22" s="10">
        <v>38655.32</v>
      </c>
      <c r="K22" s="10"/>
      <c r="N22" s="18">
        <v>44956</v>
      </c>
      <c r="O22" t="str">
        <v>Ananya</v>
      </c>
      <c r="P22" t="str">
        <v>Dwarka</v>
      </c>
      <c r="Q22" t="str">
        <v>Delhi</v>
      </c>
      <c r="R22" t="str">
        <v>North</v>
      </c>
      <c r="S22" t="str">
        <v>Furniture</v>
      </c>
      <c r="T22" t="str">
        <v>Sofa</v>
      </c>
      <c r="U22">
        <v>3</v>
      </c>
      <c r="V22">
        <v>1105.46</v>
      </c>
      <c r="W22">
        <v>3316.38</v>
      </c>
    </row>
    <row r="23" spans="1:23">
      <c r="A23" s="19">
        <v>44937</v>
      </c>
      <c r="B23" t="s">
        <v>1256</v>
      </c>
      <c r="C23" t="s">
        <v>1246</v>
      </c>
      <c r="D23" t="s">
        <v>1230</v>
      </c>
      <c r="E23" t="s">
        <v>1229</v>
      </c>
      <c r="F23" t="s">
        <v>132</v>
      </c>
      <c r="G23" t="s">
        <v>1253</v>
      </c>
      <c r="H23" s="10">
        <v>20</v>
      </c>
      <c r="I23" s="10">
        <v>3279.25</v>
      </c>
      <c r="J23" s="10">
        <v>65585</v>
      </c>
      <c r="K23" s="10"/>
      <c r="N23" s="18">
        <v>45277</v>
      </c>
      <c r="O23" t="str">
        <v>Meera</v>
      </c>
      <c r="P23" t="str">
        <v>Karol Bagh</v>
      </c>
      <c r="Q23" t="str">
        <v>Delhi</v>
      </c>
      <c r="R23" t="str">
        <v>North</v>
      </c>
      <c r="S23" t="str">
        <v>Stationery</v>
      </c>
      <c r="T23" t="str">
        <v>Pen</v>
      </c>
      <c r="U23">
        <v>14</v>
      </c>
      <c r="V23">
        <v>264.77</v>
      </c>
      <c r="W23">
        <v>3706.78</v>
      </c>
    </row>
    <row r="24" spans="1:23">
      <c r="A24" s="19">
        <v>44938</v>
      </c>
      <c r="B24" t="s">
        <v>1260</v>
      </c>
      <c r="C24" t="s">
        <v>1171</v>
      </c>
      <c r="D24" t="s">
        <v>1237</v>
      </c>
      <c r="E24" t="s">
        <v>1229</v>
      </c>
      <c r="F24" t="s">
        <v>145</v>
      </c>
      <c r="G24" t="s">
        <v>1261</v>
      </c>
      <c r="H24" s="10">
        <v>6</v>
      </c>
      <c r="I24" s="10">
        <v>4231.7700000000004</v>
      </c>
      <c r="J24" s="10">
        <v>25390.62</v>
      </c>
      <c r="K24" s="10"/>
      <c r="N24" s="18">
        <v>44976</v>
      </c>
      <c r="O24" t="str">
        <v>Kabir</v>
      </c>
      <c r="P24" t="str">
        <v>Karol Bagh</v>
      </c>
      <c r="Q24" t="str">
        <v>Delhi</v>
      </c>
      <c r="R24" t="str">
        <v>North</v>
      </c>
      <c r="S24" t="str">
        <v>Electronics</v>
      </c>
      <c r="T24" t="str">
        <v>Laptop</v>
      </c>
      <c r="U24">
        <v>6</v>
      </c>
      <c r="V24">
        <v>623.22</v>
      </c>
      <c r="W24">
        <v>3739.32</v>
      </c>
    </row>
    <row r="25" spans="1:23">
      <c r="A25" s="19">
        <v>44938</v>
      </c>
      <c r="B25" t="s">
        <v>1265</v>
      </c>
      <c r="C25" t="s">
        <v>1246</v>
      </c>
      <c r="D25" t="s">
        <v>1230</v>
      </c>
      <c r="E25" t="s">
        <v>1229</v>
      </c>
      <c r="F25" t="s">
        <v>145</v>
      </c>
      <c r="G25" t="s">
        <v>1255</v>
      </c>
      <c r="H25" s="10">
        <v>6</v>
      </c>
      <c r="I25" s="10">
        <v>3295.29</v>
      </c>
      <c r="J25" s="10">
        <v>19771.740000000002</v>
      </c>
      <c r="K25" s="10"/>
      <c r="N25" s="18">
        <v>44993</v>
      </c>
      <c r="O25" t="str">
        <v>Nishant</v>
      </c>
      <c r="P25" t="str">
        <v>Dwarka</v>
      </c>
      <c r="Q25" t="str">
        <v>Delhi</v>
      </c>
      <c r="R25" t="str">
        <v>North</v>
      </c>
      <c r="S25" t="str">
        <v>Clothing</v>
      </c>
      <c r="T25" t="str">
        <v>Dress</v>
      </c>
      <c r="U25">
        <v>14</v>
      </c>
      <c r="V25">
        <v>271.27</v>
      </c>
      <c r="W25">
        <v>3797.78</v>
      </c>
    </row>
    <row r="26" spans="1:23">
      <c r="A26" s="19">
        <v>44938</v>
      </c>
      <c r="B26" t="s">
        <v>1263</v>
      </c>
      <c r="C26" t="s">
        <v>1233</v>
      </c>
      <c r="D26" t="s">
        <v>1232</v>
      </c>
      <c r="E26" t="s">
        <v>1231</v>
      </c>
      <c r="F26" t="s">
        <v>120</v>
      </c>
      <c r="G26" t="s">
        <v>1165</v>
      </c>
      <c r="H26" s="10">
        <v>15</v>
      </c>
      <c r="I26" s="10">
        <v>4316.17</v>
      </c>
      <c r="J26" s="10">
        <v>64742.55</v>
      </c>
      <c r="K26" s="10"/>
      <c r="N26" s="18">
        <v>45061</v>
      </c>
      <c r="O26" t="str">
        <v>Aditi</v>
      </c>
      <c r="P26" t="str">
        <v>Karol Bagh</v>
      </c>
      <c r="Q26" t="str">
        <v>Delhi</v>
      </c>
      <c r="R26" t="str">
        <v>North</v>
      </c>
      <c r="S26" t="str">
        <v>Electronics</v>
      </c>
      <c r="T26" t="str">
        <v>Smartphone</v>
      </c>
      <c r="U26">
        <v>18</v>
      </c>
      <c r="V26">
        <v>214.47</v>
      </c>
      <c r="W26">
        <v>3860.46</v>
      </c>
    </row>
    <row r="27" spans="1:23">
      <c r="A27" s="19">
        <v>44938</v>
      </c>
      <c r="B27" t="s">
        <v>1256</v>
      </c>
      <c r="C27" t="s">
        <v>1173</v>
      </c>
      <c r="D27" t="s">
        <v>1237</v>
      </c>
      <c r="E27" t="s">
        <v>1229</v>
      </c>
      <c r="F27" t="s">
        <v>120</v>
      </c>
      <c r="G27" t="s">
        <v>1276</v>
      </c>
      <c r="H27" s="10">
        <v>4</v>
      </c>
      <c r="I27" s="10">
        <v>1998.26</v>
      </c>
      <c r="J27" s="10">
        <v>7993.04</v>
      </c>
      <c r="K27" s="10"/>
      <c r="N27" s="18">
        <v>45205</v>
      </c>
      <c r="O27" t="str">
        <v>Vihaan</v>
      </c>
      <c r="P27" t="str">
        <v>New Delhi</v>
      </c>
      <c r="Q27" t="str">
        <v>Delhi</v>
      </c>
      <c r="R27" t="str">
        <v>North</v>
      </c>
      <c r="S27" t="str">
        <v>Groceries</v>
      </c>
      <c r="T27" t="str">
        <v>Sugar</v>
      </c>
      <c r="U27">
        <v>16</v>
      </c>
      <c r="V27">
        <v>242.23</v>
      </c>
      <c r="W27">
        <v>3875.68</v>
      </c>
    </row>
    <row r="28" spans="1:23">
      <c r="A28" s="19">
        <v>44938</v>
      </c>
      <c r="B28" t="s">
        <v>1267</v>
      </c>
      <c r="C28" t="s">
        <v>1239</v>
      </c>
      <c r="D28" t="s">
        <v>1237</v>
      </c>
      <c r="E28" t="s">
        <v>1229</v>
      </c>
      <c r="F28" t="s">
        <v>132</v>
      </c>
      <c r="G28" t="s">
        <v>1253</v>
      </c>
      <c r="H28" s="10">
        <v>13</v>
      </c>
      <c r="I28" s="10">
        <v>4630.9799999999996</v>
      </c>
      <c r="J28" s="10">
        <v>60202.74</v>
      </c>
      <c r="K28" s="10"/>
      <c r="N28" s="18">
        <v>45129</v>
      </c>
      <c r="O28" t="str">
        <v>Ananya</v>
      </c>
      <c r="P28" t="str">
        <v>Karol Bagh</v>
      </c>
      <c r="Q28" t="str">
        <v>Delhi</v>
      </c>
      <c r="R28" t="str">
        <v>North</v>
      </c>
      <c r="S28" t="str">
        <v>Stationery</v>
      </c>
      <c r="T28" t="str">
        <v>Pen</v>
      </c>
      <c r="U28">
        <v>4</v>
      </c>
      <c r="V28">
        <v>1009.78</v>
      </c>
      <c r="W28">
        <v>4039.12</v>
      </c>
    </row>
    <row r="29" spans="1:23">
      <c r="A29" s="19">
        <v>44939</v>
      </c>
      <c r="B29" t="s">
        <v>1256</v>
      </c>
      <c r="C29" t="s">
        <v>1173</v>
      </c>
      <c r="D29" t="s">
        <v>1237</v>
      </c>
      <c r="E29" t="s">
        <v>1229</v>
      </c>
      <c r="F29" t="s">
        <v>145</v>
      </c>
      <c r="G29" t="s">
        <v>1261</v>
      </c>
      <c r="H29" s="10">
        <v>10</v>
      </c>
      <c r="I29" s="10">
        <v>3690.75</v>
      </c>
      <c r="J29" s="10">
        <v>36907.5</v>
      </c>
      <c r="K29" s="10"/>
      <c r="N29" s="18">
        <v>45034</v>
      </c>
      <c r="O29" t="str">
        <v>Nishant</v>
      </c>
      <c r="P29" t="str">
        <v>Dwarka</v>
      </c>
      <c r="Q29" t="str">
        <v>Delhi</v>
      </c>
      <c r="R29" t="str">
        <v>North</v>
      </c>
      <c r="S29" t="str">
        <v>Groceries</v>
      </c>
      <c r="T29" t="str">
        <v>Oil</v>
      </c>
      <c r="U29">
        <v>2</v>
      </c>
      <c r="V29">
        <v>2338.61</v>
      </c>
      <c r="W29">
        <v>4677.22</v>
      </c>
    </row>
    <row r="30" spans="1:23">
      <c r="A30" s="19">
        <v>44939</v>
      </c>
      <c r="B30" t="s">
        <v>1265</v>
      </c>
      <c r="C30" t="s">
        <v>1234</v>
      </c>
      <c r="D30" t="s">
        <v>1232</v>
      </c>
      <c r="E30" t="s">
        <v>1231</v>
      </c>
      <c r="F30" t="s">
        <v>1249</v>
      </c>
      <c r="G30" t="s">
        <v>1270</v>
      </c>
      <c r="H30" s="10">
        <v>14</v>
      </c>
      <c r="I30" s="10">
        <v>859.79</v>
      </c>
      <c r="J30" s="10">
        <v>12037.06</v>
      </c>
      <c r="K30" s="10"/>
      <c r="N30" s="18">
        <v>45072</v>
      </c>
      <c r="O30" t="str">
        <v>Meera</v>
      </c>
      <c r="P30" t="str">
        <v>Karol Bagh</v>
      </c>
      <c r="Q30" t="str">
        <v>Delhi</v>
      </c>
      <c r="R30" t="str">
        <v>North</v>
      </c>
      <c r="S30" t="str">
        <v>Clothing</v>
      </c>
      <c r="T30" t="str">
        <v>Dress</v>
      </c>
      <c r="U30">
        <v>4</v>
      </c>
      <c r="V30">
        <v>1178.71</v>
      </c>
      <c r="W30">
        <v>4714.84</v>
      </c>
    </row>
    <row r="31" spans="1:23">
      <c r="A31" s="19">
        <v>44939</v>
      </c>
      <c r="B31" t="s">
        <v>1269</v>
      </c>
      <c r="C31" t="s">
        <v>1239</v>
      </c>
      <c r="D31" t="s">
        <v>1237</v>
      </c>
      <c r="E31" t="s">
        <v>1229</v>
      </c>
      <c r="F31" t="s">
        <v>132</v>
      </c>
      <c r="G31" t="s">
        <v>1271</v>
      </c>
      <c r="H31" s="10">
        <v>12</v>
      </c>
      <c r="I31" s="10">
        <v>4414.2700000000004</v>
      </c>
      <c r="J31" s="10">
        <v>52971.24</v>
      </c>
      <c r="K31" s="10"/>
      <c r="N31" s="18">
        <v>45098</v>
      </c>
      <c r="O31" t="str">
        <v>Ishita</v>
      </c>
      <c r="P31" t="str">
        <v>New Delhi</v>
      </c>
      <c r="Q31" t="str">
        <v>Delhi</v>
      </c>
      <c r="R31" t="str">
        <v>North</v>
      </c>
      <c r="S31" t="str">
        <v>Groceries</v>
      </c>
      <c r="T31" t="str">
        <v>Oil</v>
      </c>
      <c r="U31">
        <v>1</v>
      </c>
      <c r="V31">
        <v>4801.38</v>
      </c>
      <c r="W31">
        <v>4801.38</v>
      </c>
    </row>
    <row r="32" spans="1:23">
      <c r="A32" s="19">
        <v>44939</v>
      </c>
      <c r="B32" t="s">
        <v>1258</v>
      </c>
      <c r="C32" t="s">
        <v>1245</v>
      </c>
      <c r="D32" t="s">
        <v>1243</v>
      </c>
      <c r="E32" t="s">
        <v>1242</v>
      </c>
      <c r="F32" t="s">
        <v>132</v>
      </c>
      <c r="G32" t="s">
        <v>1277</v>
      </c>
      <c r="H32" s="10">
        <v>15</v>
      </c>
      <c r="I32" s="10">
        <v>4188.84</v>
      </c>
      <c r="J32" s="10">
        <v>62832.6</v>
      </c>
      <c r="K32" s="10"/>
      <c r="N32" s="18">
        <v>45203</v>
      </c>
      <c r="O32" t="str">
        <v>Riya</v>
      </c>
      <c r="P32" t="str">
        <v>Karol Bagh</v>
      </c>
      <c r="Q32" t="str">
        <v>Delhi</v>
      </c>
      <c r="R32" t="str">
        <v>North</v>
      </c>
      <c r="S32" t="str">
        <v>Stationery</v>
      </c>
      <c r="T32" t="str">
        <v>Ruler</v>
      </c>
      <c r="U32">
        <v>1</v>
      </c>
      <c r="V32">
        <v>4813.2299999999996</v>
      </c>
      <c r="W32">
        <v>4813.2299999999996</v>
      </c>
    </row>
    <row r="33" spans="1:23">
      <c r="A33" s="19">
        <v>44940</v>
      </c>
      <c r="B33" t="s">
        <v>1260</v>
      </c>
      <c r="C33" t="s">
        <v>1247</v>
      </c>
      <c r="D33" t="s">
        <v>1243</v>
      </c>
      <c r="E33" t="s">
        <v>1242</v>
      </c>
      <c r="F33" t="s">
        <v>128</v>
      </c>
      <c r="G33" t="s">
        <v>1273</v>
      </c>
      <c r="H33" s="10">
        <v>16</v>
      </c>
      <c r="I33" s="10">
        <v>2995.01</v>
      </c>
      <c r="J33" s="10">
        <v>47920.160000000003</v>
      </c>
      <c r="K33" s="10"/>
      <c r="N33" s="18">
        <v>45214</v>
      </c>
      <c r="O33" t="str">
        <v>Riya</v>
      </c>
      <c r="P33" t="str">
        <v>Dwarka</v>
      </c>
      <c r="Q33" t="str">
        <v>Delhi</v>
      </c>
      <c r="R33" t="str">
        <v>North</v>
      </c>
      <c r="S33" t="str">
        <v>Groceries</v>
      </c>
      <c r="T33" t="str">
        <v>Sugar</v>
      </c>
      <c r="U33">
        <v>6</v>
      </c>
      <c r="V33">
        <v>830.82</v>
      </c>
      <c r="W33">
        <v>4984.92</v>
      </c>
    </row>
    <row r="34" spans="1:23">
      <c r="A34" s="19">
        <v>44940</v>
      </c>
      <c r="B34" t="s">
        <v>1265</v>
      </c>
      <c r="C34" t="s">
        <v>1248</v>
      </c>
      <c r="D34" t="s">
        <v>1230</v>
      </c>
      <c r="E34" t="s">
        <v>1229</v>
      </c>
      <c r="F34" t="s">
        <v>128</v>
      </c>
      <c r="G34" t="s">
        <v>1257</v>
      </c>
      <c r="H34" s="10">
        <v>20</v>
      </c>
      <c r="I34" s="10">
        <v>2974.89</v>
      </c>
      <c r="J34" s="10">
        <v>59497.8</v>
      </c>
      <c r="K34" s="10"/>
      <c r="N34" s="18">
        <v>44948</v>
      </c>
      <c r="O34" t="str">
        <v>Nishant</v>
      </c>
      <c r="P34" t="str">
        <v>Dwarka</v>
      </c>
      <c r="Q34" t="str">
        <v>Delhi</v>
      </c>
      <c r="R34" t="str">
        <v>North</v>
      </c>
      <c r="S34" t="str">
        <v>Furniture</v>
      </c>
      <c r="T34" t="str">
        <v>Sofa</v>
      </c>
      <c r="U34">
        <v>10</v>
      </c>
      <c r="V34">
        <v>505.39</v>
      </c>
      <c r="W34">
        <v>5053.8999999999996</v>
      </c>
    </row>
    <row r="35" spans="1:23">
      <c r="A35" s="19">
        <v>44940</v>
      </c>
      <c r="B35" t="s">
        <v>1263</v>
      </c>
      <c r="C35" t="s">
        <v>1239</v>
      </c>
      <c r="D35" t="s">
        <v>1237</v>
      </c>
      <c r="E35" t="s">
        <v>1229</v>
      </c>
      <c r="F35" t="s">
        <v>132</v>
      </c>
      <c r="G35" t="s">
        <v>1277</v>
      </c>
      <c r="H35" s="10">
        <v>15</v>
      </c>
      <c r="I35" s="10">
        <v>3579.98</v>
      </c>
      <c r="J35" s="10">
        <v>53699.7</v>
      </c>
      <c r="K35" s="10"/>
      <c r="N35" s="18">
        <v>45065</v>
      </c>
      <c r="O35" t="str">
        <v>Ishita</v>
      </c>
      <c r="P35" t="str">
        <v>New Delhi</v>
      </c>
      <c r="Q35" t="str">
        <v>Delhi</v>
      </c>
      <c r="R35" t="str">
        <v>North</v>
      </c>
      <c r="S35" t="str">
        <v>Groceries</v>
      </c>
      <c r="T35" t="str">
        <v>Rice</v>
      </c>
      <c r="U35">
        <v>3</v>
      </c>
      <c r="V35">
        <v>1894.71</v>
      </c>
      <c r="W35">
        <v>5684.13</v>
      </c>
    </row>
    <row r="36" spans="1:23">
      <c r="A36" s="19">
        <v>44941</v>
      </c>
      <c r="B36" t="s">
        <v>1262</v>
      </c>
      <c r="C36" t="s">
        <v>1248</v>
      </c>
      <c r="D36" t="s">
        <v>1230</v>
      </c>
      <c r="E36" t="s">
        <v>1229</v>
      </c>
      <c r="F36" t="s">
        <v>145</v>
      </c>
      <c r="G36" t="s">
        <v>1274</v>
      </c>
      <c r="H36" s="10">
        <v>1</v>
      </c>
      <c r="I36" s="10">
        <v>549.14</v>
      </c>
      <c r="J36" s="10">
        <v>549.14</v>
      </c>
      <c r="K36" s="10"/>
      <c r="N36" s="18">
        <v>45195</v>
      </c>
      <c r="O36" t="str">
        <v>Nishant</v>
      </c>
      <c r="P36" t="str">
        <v>Karol Bagh</v>
      </c>
      <c r="Q36" t="str">
        <v>Delhi</v>
      </c>
      <c r="R36" t="str">
        <v>North</v>
      </c>
      <c r="S36" t="str">
        <v>Stationery</v>
      </c>
      <c r="T36" t="str">
        <v>Ruler</v>
      </c>
      <c r="U36">
        <v>2</v>
      </c>
      <c r="V36">
        <v>2851.64</v>
      </c>
      <c r="W36">
        <v>5703.28</v>
      </c>
    </row>
    <row r="37" spans="1:23">
      <c r="A37" s="19">
        <v>44941</v>
      </c>
      <c r="B37" t="s">
        <v>1265</v>
      </c>
      <c r="C37" t="s">
        <v>1169</v>
      </c>
      <c r="D37" t="s">
        <v>1230</v>
      </c>
      <c r="E37" t="s">
        <v>1229</v>
      </c>
      <c r="F37" t="s">
        <v>128</v>
      </c>
      <c r="G37" t="s">
        <v>1273</v>
      </c>
      <c r="H37" s="10">
        <v>17</v>
      </c>
      <c r="I37" s="10">
        <v>3145.73</v>
      </c>
      <c r="J37" s="10">
        <v>53477.41</v>
      </c>
      <c r="K37" s="10"/>
      <c r="N37" s="18">
        <v>45286</v>
      </c>
      <c r="O37" t="str">
        <v>Nishant</v>
      </c>
      <c r="P37" t="str">
        <v>Dwarka</v>
      </c>
      <c r="Q37" t="str">
        <v>Delhi</v>
      </c>
      <c r="R37" t="str">
        <v>North</v>
      </c>
      <c r="S37" t="str">
        <v>Groceries</v>
      </c>
      <c r="T37" t="str">
        <v>Oil</v>
      </c>
      <c r="U37">
        <v>18</v>
      </c>
      <c r="V37">
        <v>330.49</v>
      </c>
      <c r="W37">
        <v>5948.82</v>
      </c>
    </row>
    <row r="38" spans="1:23">
      <c r="A38" s="19">
        <v>44942</v>
      </c>
      <c r="B38" t="s">
        <v>1267</v>
      </c>
      <c r="C38" t="s">
        <v>1245</v>
      </c>
      <c r="D38" t="s">
        <v>1243</v>
      </c>
      <c r="E38" t="s">
        <v>1242</v>
      </c>
      <c r="F38" t="s">
        <v>120</v>
      </c>
      <c r="G38" t="s">
        <v>1164</v>
      </c>
      <c r="H38" s="10">
        <v>20</v>
      </c>
      <c r="I38" s="10">
        <v>3925.65</v>
      </c>
      <c r="J38" s="10">
        <v>78513</v>
      </c>
      <c r="K38" s="10"/>
      <c r="N38" s="18">
        <v>45248</v>
      </c>
      <c r="O38" t="str">
        <v>Kabir</v>
      </c>
      <c r="P38" t="str">
        <v>Karol Bagh</v>
      </c>
      <c r="Q38" t="str">
        <v>Delhi</v>
      </c>
      <c r="R38" t="str">
        <v>North</v>
      </c>
      <c r="S38" t="str">
        <v>Electronics</v>
      </c>
      <c r="T38" t="str">
        <v>Headphones</v>
      </c>
      <c r="U38">
        <v>4</v>
      </c>
      <c r="V38">
        <v>1555.9</v>
      </c>
      <c r="W38">
        <v>6223.6</v>
      </c>
    </row>
    <row r="39" spans="1:23">
      <c r="A39" s="19">
        <v>44942</v>
      </c>
      <c r="B39" t="s">
        <v>1267</v>
      </c>
      <c r="C39" t="s">
        <v>1233</v>
      </c>
      <c r="D39" t="s">
        <v>1232</v>
      </c>
      <c r="E39" t="s">
        <v>1231</v>
      </c>
      <c r="F39" t="s">
        <v>145</v>
      </c>
      <c r="G39" t="s">
        <v>1274</v>
      </c>
      <c r="H39" s="10">
        <v>6</v>
      </c>
      <c r="I39" s="10">
        <v>4862.26</v>
      </c>
      <c r="J39" s="10">
        <v>29173.56</v>
      </c>
      <c r="K39" s="10"/>
      <c r="N39" s="18">
        <v>45100</v>
      </c>
      <c r="O39" t="str">
        <v>Vihaan</v>
      </c>
      <c r="P39" t="str">
        <v>New Delhi</v>
      </c>
      <c r="Q39" t="str">
        <v>Delhi</v>
      </c>
      <c r="R39" t="str">
        <v>North</v>
      </c>
      <c r="S39" t="str">
        <v>Furniture</v>
      </c>
      <c r="T39" t="str">
        <v>Sofa</v>
      </c>
      <c r="U39">
        <v>2</v>
      </c>
      <c r="V39">
        <v>3325.99</v>
      </c>
      <c r="W39">
        <v>6651.98</v>
      </c>
    </row>
    <row r="40" spans="1:23">
      <c r="A40" s="19">
        <v>44942</v>
      </c>
      <c r="B40" t="s">
        <v>1262</v>
      </c>
      <c r="C40" t="s">
        <v>1240</v>
      </c>
      <c r="D40" t="s">
        <v>1232</v>
      </c>
      <c r="E40" t="s">
        <v>1231</v>
      </c>
      <c r="F40" t="s">
        <v>145</v>
      </c>
      <c r="G40" t="s">
        <v>1261</v>
      </c>
      <c r="H40" s="10">
        <v>2</v>
      </c>
      <c r="I40" s="10">
        <v>1125.53</v>
      </c>
      <c r="J40" s="10">
        <v>2251.06</v>
      </c>
      <c r="K40" s="10"/>
      <c r="N40" s="18">
        <v>45078</v>
      </c>
      <c r="O40" t="str">
        <v>Meera</v>
      </c>
      <c r="P40" t="str">
        <v>New Delhi</v>
      </c>
      <c r="Q40" t="str">
        <v>Delhi</v>
      </c>
      <c r="R40" t="str">
        <v>North</v>
      </c>
      <c r="S40" t="str">
        <v>Furniture</v>
      </c>
      <c r="T40" t="str">
        <v>Table</v>
      </c>
      <c r="U40">
        <v>13</v>
      </c>
      <c r="V40">
        <v>523.83000000000004</v>
      </c>
      <c r="W40">
        <v>6809.79</v>
      </c>
    </row>
    <row r="41" spans="1:23">
      <c r="A41" s="19">
        <v>44943</v>
      </c>
      <c r="B41" t="s">
        <v>1269</v>
      </c>
      <c r="C41" t="s">
        <v>1247</v>
      </c>
      <c r="D41" t="s">
        <v>1243</v>
      </c>
      <c r="E41" t="s">
        <v>1242</v>
      </c>
      <c r="F41" t="s">
        <v>132</v>
      </c>
      <c r="G41" t="s">
        <v>1253</v>
      </c>
      <c r="H41" s="10">
        <v>6</v>
      </c>
      <c r="I41" s="10">
        <v>1847.42</v>
      </c>
      <c r="J41" s="10">
        <v>11084.52</v>
      </c>
      <c r="K41" s="10"/>
      <c r="N41" s="18">
        <v>45078</v>
      </c>
      <c r="O41" t="str">
        <v>Meera</v>
      </c>
      <c r="P41" t="str">
        <v>Karol Bagh</v>
      </c>
      <c r="Q41" t="str">
        <v>Delhi</v>
      </c>
      <c r="R41" t="str">
        <v>North</v>
      </c>
      <c r="S41" t="str">
        <v>Groceries</v>
      </c>
      <c r="T41" t="str">
        <v>Lentils</v>
      </c>
      <c r="U41">
        <v>2</v>
      </c>
      <c r="V41">
        <v>3439.47</v>
      </c>
      <c r="W41">
        <v>6878.94</v>
      </c>
    </row>
    <row r="42" spans="1:23">
      <c r="A42" s="19">
        <v>44943</v>
      </c>
      <c r="B42" t="s">
        <v>1265</v>
      </c>
      <c r="C42" t="s">
        <v>1244</v>
      </c>
      <c r="D42" t="s">
        <v>1243</v>
      </c>
      <c r="E42" t="s">
        <v>1242</v>
      </c>
      <c r="F42" t="s">
        <v>128</v>
      </c>
      <c r="G42" t="s">
        <v>1273</v>
      </c>
      <c r="H42" s="10">
        <v>15</v>
      </c>
      <c r="I42" s="10">
        <v>4060.63</v>
      </c>
      <c r="J42" s="10">
        <v>60909.45</v>
      </c>
      <c r="K42" s="10"/>
      <c r="N42" s="18">
        <v>45145</v>
      </c>
      <c r="O42" t="str">
        <v>Riya</v>
      </c>
      <c r="P42" t="str">
        <v>Dwarka</v>
      </c>
      <c r="Q42" t="str">
        <v>Delhi</v>
      </c>
      <c r="R42" t="str">
        <v>North</v>
      </c>
      <c r="S42" t="str">
        <v>Clothing</v>
      </c>
      <c r="T42" t="str">
        <v>Pants</v>
      </c>
      <c r="U42">
        <v>3</v>
      </c>
      <c r="V42">
        <v>2488.34</v>
      </c>
      <c r="W42">
        <v>7465.02</v>
      </c>
    </row>
    <row r="43" spans="1:23">
      <c r="A43" s="19">
        <v>44944</v>
      </c>
      <c r="B43" t="s">
        <v>1262</v>
      </c>
      <c r="C43" t="s">
        <v>1233</v>
      </c>
      <c r="D43" t="s">
        <v>1232</v>
      </c>
      <c r="E43" t="s">
        <v>1231</v>
      </c>
      <c r="F43" t="s">
        <v>120</v>
      </c>
      <c r="G43" t="s">
        <v>1165</v>
      </c>
      <c r="H43" s="10">
        <v>1</v>
      </c>
      <c r="I43" s="10">
        <v>1811.76</v>
      </c>
      <c r="J43" s="10">
        <v>1811.76</v>
      </c>
      <c r="K43" s="10"/>
      <c r="N43" s="18">
        <v>45271</v>
      </c>
      <c r="O43" t="str">
        <v>Aarav</v>
      </c>
      <c r="P43" t="str">
        <v>Karol Bagh</v>
      </c>
      <c r="Q43" t="str">
        <v>Delhi</v>
      </c>
      <c r="R43" t="str">
        <v>North</v>
      </c>
      <c r="S43" t="str">
        <v>Groceries</v>
      </c>
      <c r="T43" t="str">
        <v>Lentils</v>
      </c>
      <c r="U43">
        <v>2</v>
      </c>
      <c r="V43">
        <v>3747.71</v>
      </c>
      <c r="W43">
        <v>7495.42</v>
      </c>
    </row>
    <row r="44" spans="1:23">
      <c r="A44" s="19">
        <v>44944</v>
      </c>
      <c r="B44" t="s">
        <v>1258</v>
      </c>
      <c r="C44" t="s">
        <v>1233</v>
      </c>
      <c r="D44" t="s">
        <v>1232</v>
      </c>
      <c r="E44" t="s">
        <v>1231</v>
      </c>
      <c r="F44" t="s">
        <v>1249</v>
      </c>
      <c r="G44" t="s">
        <v>1268</v>
      </c>
      <c r="H44" s="10">
        <v>2</v>
      </c>
      <c r="I44" s="10">
        <v>771.23</v>
      </c>
      <c r="J44" s="10">
        <v>1542.46</v>
      </c>
      <c r="K44" s="10"/>
      <c r="N44" s="18">
        <v>45204</v>
      </c>
      <c r="O44" t="str">
        <v>Ishita</v>
      </c>
      <c r="P44" t="str">
        <v>New Delhi</v>
      </c>
      <c r="Q44" t="str">
        <v>Delhi</v>
      </c>
      <c r="R44" t="str">
        <v>North</v>
      </c>
      <c r="S44" t="str">
        <v>Furniture</v>
      </c>
      <c r="T44" t="str">
        <v>Bed</v>
      </c>
      <c r="U44">
        <v>5</v>
      </c>
      <c r="V44">
        <v>1568.68</v>
      </c>
      <c r="W44">
        <v>7843.4</v>
      </c>
    </row>
    <row r="45" spans="1:23">
      <c r="A45" s="19">
        <v>44944</v>
      </c>
      <c r="B45" t="s">
        <v>1256</v>
      </c>
      <c r="C45" t="s">
        <v>1239</v>
      </c>
      <c r="D45" t="s">
        <v>1237</v>
      </c>
      <c r="E45" t="s">
        <v>1229</v>
      </c>
      <c r="F45" t="s">
        <v>132</v>
      </c>
      <c r="G45" t="s">
        <v>1253</v>
      </c>
      <c r="H45" s="10">
        <v>7</v>
      </c>
      <c r="I45" s="10">
        <v>4418.17</v>
      </c>
      <c r="J45" s="10">
        <v>30927.19</v>
      </c>
      <c r="K45" s="10"/>
      <c r="N45" s="18">
        <v>45123</v>
      </c>
      <c r="O45" t="str">
        <v>Vihaan</v>
      </c>
      <c r="P45" t="str">
        <v>New Delhi</v>
      </c>
      <c r="Q45" t="str">
        <v>Delhi</v>
      </c>
      <c r="R45" t="str">
        <v>North</v>
      </c>
      <c r="S45" t="str">
        <v>Groceries</v>
      </c>
      <c r="T45" t="str">
        <v>Rice</v>
      </c>
      <c r="U45">
        <v>9</v>
      </c>
      <c r="V45">
        <v>877.89</v>
      </c>
      <c r="W45">
        <v>7901.01</v>
      </c>
    </row>
    <row r="46" spans="1:23">
      <c r="A46" s="19">
        <v>44945</v>
      </c>
      <c r="B46" t="s">
        <v>1260</v>
      </c>
      <c r="C46" t="s">
        <v>1233</v>
      </c>
      <c r="D46" t="s">
        <v>1232</v>
      </c>
      <c r="E46" t="s">
        <v>1231</v>
      </c>
      <c r="F46" t="s">
        <v>145</v>
      </c>
      <c r="G46" t="s">
        <v>1261</v>
      </c>
      <c r="H46" s="10">
        <v>14</v>
      </c>
      <c r="I46" s="10">
        <v>3507.25</v>
      </c>
      <c r="J46" s="10">
        <v>49101.5</v>
      </c>
      <c r="K46" s="10"/>
      <c r="N46" s="18">
        <v>44956</v>
      </c>
      <c r="O46" t="str">
        <v>Kabir</v>
      </c>
      <c r="P46" t="str">
        <v>New Delhi</v>
      </c>
      <c r="Q46" t="str">
        <v>Delhi</v>
      </c>
      <c r="R46" t="str">
        <v>North</v>
      </c>
      <c r="S46" t="str">
        <v>Stationery</v>
      </c>
      <c r="T46" t="str">
        <v>Pen</v>
      </c>
      <c r="U46">
        <v>14</v>
      </c>
      <c r="V46">
        <v>569.91</v>
      </c>
      <c r="W46">
        <v>7978.74</v>
      </c>
    </row>
    <row r="47" spans="1:23">
      <c r="A47" s="19">
        <v>44945</v>
      </c>
      <c r="B47" t="s">
        <v>1263</v>
      </c>
      <c r="C47" t="s">
        <v>1247</v>
      </c>
      <c r="D47" t="s">
        <v>1243</v>
      </c>
      <c r="E47" t="s">
        <v>1242</v>
      </c>
      <c r="F47" t="s">
        <v>145</v>
      </c>
      <c r="G47" t="s">
        <v>1255</v>
      </c>
      <c r="H47" s="10">
        <v>17</v>
      </c>
      <c r="I47" s="10">
        <v>500.54</v>
      </c>
      <c r="J47" s="10">
        <v>8509.18</v>
      </c>
      <c r="K47" s="10"/>
      <c r="N47" s="18">
        <v>45020</v>
      </c>
      <c r="O47" t="str">
        <v>Ishita</v>
      </c>
      <c r="P47" t="str">
        <v>Karol Bagh</v>
      </c>
      <c r="Q47" t="str">
        <v>Delhi</v>
      </c>
      <c r="R47" t="str">
        <v>North</v>
      </c>
      <c r="S47" t="str">
        <v>Electronics</v>
      </c>
      <c r="T47" t="str">
        <v>Smartphone</v>
      </c>
      <c r="U47">
        <v>7</v>
      </c>
      <c r="V47">
        <v>1160.3499999999999</v>
      </c>
      <c r="W47">
        <v>8122.45</v>
      </c>
    </row>
    <row r="48" spans="1:23">
      <c r="A48" s="19">
        <v>44945</v>
      </c>
      <c r="B48" t="s">
        <v>1256</v>
      </c>
      <c r="C48" t="s">
        <v>1246</v>
      </c>
      <c r="D48" t="s">
        <v>1230</v>
      </c>
      <c r="E48" t="s">
        <v>1229</v>
      </c>
      <c r="F48" t="s">
        <v>1249</v>
      </c>
      <c r="G48" t="s">
        <v>1268</v>
      </c>
      <c r="H48" s="10">
        <v>13</v>
      </c>
      <c r="I48" s="10">
        <v>4719.96</v>
      </c>
      <c r="J48" s="10">
        <v>61359.48</v>
      </c>
      <c r="K48" s="10"/>
      <c r="N48" s="18">
        <v>45072</v>
      </c>
      <c r="O48" t="str">
        <v>Aarav</v>
      </c>
      <c r="P48" t="str">
        <v>Dwarka</v>
      </c>
      <c r="Q48" t="str">
        <v>Delhi</v>
      </c>
      <c r="R48" t="str">
        <v>North</v>
      </c>
      <c r="S48" t="str">
        <v>Furniture</v>
      </c>
      <c r="T48" t="str">
        <v>Table</v>
      </c>
      <c r="U48">
        <v>2</v>
      </c>
      <c r="V48">
        <v>4100.3999999999996</v>
      </c>
      <c r="W48">
        <v>8200.7999999999993</v>
      </c>
    </row>
    <row r="49" spans="1:23">
      <c r="A49" s="19">
        <v>44945</v>
      </c>
      <c r="B49" t="s">
        <v>1263</v>
      </c>
      <c r="C49" t="s">
        <v>1238</v>
      </c>
      <c r="D49" t="s">
        <v>1235</v>
      </c>
      <c r="E49" t="s">
        <v>1231</v>
      </c>
      <c r="F49" t="s">
        <v>132</v>
      </c>
      <c r="G49" t="s">
        <v>1271</v>
      </c>
      <c r="H49" s="10">
        <v>5</v>
      </c>
      <c r="I49" s="10">
        <v>1947.01</v>
      </c>
      <c r="J49" s="10">
        <v>9735.0499999999993</v>
      </c>
      <c r="K49" s="10"/>
      <c r="N49" s="18">
        <v>45204</v>
      </c>
      <c r="O49" t="str">
        <v>Ananya</v>
      </c>
      <c r="P49" t="str">
        <v>New Delhi</v>
      </c>
      <c r="Q49" t="str">
        <v>Delhi</v>
      </c>
      <c r="R49" t="str">
        <v>North</v>
      </c>
      <c r="S49" t="str">
        <v>Electronics</v>
      </c>
      <c r="T49" t="str">
        <v>Smartphone</v>
      </c>
      <c r="U49">
        <v>2</v>
      </c>
      <c r="V49">
        <v>4112.53</v>
      </c>
      <c r="W49">
        <v>8225.06</v>
      </c>
    </row>
    <row r="50" spans="1:23">
      <c r="A50" s="19">
        <v>44946</v>
      </c>
      <c r="B50" t="s">
        <v>1263</v>
      </c>
      <c r="C50" t="s">
        <v>1233</v>
      </c>
      <c r="D50" t="s">
        <v>1232</v>
      </c>
      <c r="E50" t="s">
        <v>1231</v>
      </c>
      <c r="F50" t="s">
        <v>128</v>
      </c>
      <c r="G50" t="s">
        <v>1266</v>
      </c>
      <c r="H50" s="10">
        <v>10</v>
      </c>
      <c r="I50" s="10">
        <v>2469.04</v>
      </c>
      <c r="J50" s="10">
        <v>24690.400000000001</v>
      </c>
      <c r="K50" s="10"/>
      <c r="N50" s="18">
        <v>45153</v>
      </c>
      <c r="O50" t="str">
        <v>Ananya</v>
      </c>
      <c r="P50" t="str">
        <v>Karol Bagh</v>
      </c>
      <c r="Q50" t="str">
        <v>Delhi</v>
      </c>
      <c r="R50" t="str">
        <v>North</v>
      </c>
      <c r="S50" t="str">
        <v>Stationery</v>
      </c>
      <c r="T50" t="str">
        <v>Pen</v>
      </c>
      <c r="U50">
        <v>3</v>
      </c>
      <c r="V50">
        <v>2792.38</v>
      </c>
      <c r="W50">
        <v>8377.14</v>
      </c>
    </row>
    <row r="51" spans="1:23">
      <c r="A51" s="19">
        <v>44947</v>
      </c>
      <c r="B51" t="s">
        <v>1267</v>
      </c>
      <c r="C51" t="s">
        <v>1173</v>
      </c>
      <c r="D51" t="s">
        <v>1237</v>
      </c>
      <c r="E51" t="s">
        <v>1229</v>
      </c>
      <c r="F51" t="s">
        <v>128</v>
      </c>
      <c r="G51" t="s">
        <v>1257</v>
      </c>
      <c r="H51" s="10">
        <v>1</v>
      </c>
      <c r="I51" s="10">
        <v>776.08</v>
      </c>
      <c r="J51" s="10">
        <v>776.08</v>
      </c>
      <c r="K51" s="10"/>
      <c r="N51" s="18">
        <v>45273</v>
      </c>
      <c r="O51" t="str">
        <v>Ishita</v>
      </c>
      <c r="P51" t="str">
        <v>Dwarka</v>
      </c>
      <c r="Q51" t="str">
        <v>Delhi</v>
      </c>
      <c r="R51" t="str">
        <v>North</v>
      </c>
      <c r="S51" t="str">
        <v>Furniture</v>
      </c>
      <c r="T51" t="str">
        <v>Sofa</v>
      </c>
      <c r="U51">
        <v>2</v>
      </c>
      <c r="V51">
        <v>4248</v>
      </c>
      <c r="W51">
        <v>8496</v>
      </c>
    </row>
    <row r="52" spans="1:23">
      <c r="A52" s="19">
        <v>44947</v>
      </c>
      <c r="B52" t="s">
        <v>1269</v>
      </c>
      <c r="C52" t="s">
        <v>1244</v>
      </c>
      <c r="D52" t="s">
        <v>1243</v>
      </c>
      <c r="E52" t="s">
        <v>1242</v>
      </c>
      <c r="F52" t="s">
        <v>128</v>
      </c>
      <c r="G52" t="s">
        <v>1264</v>
      </c>
      <c r="H52" s="10">
        <v>15</v>
      </c>
      <c r="I52" s="10">
        <v>3765.36</v>
      </c>
      <c r="J52" s="10">
        <v>56480.4</v>
      </c>
      <c r="K52" s="10"/>
      <c r="N52" s="18">
        <v>44945</v>
      </c>
      <c r="O52" t="str">
        <v>Riya</v>
      </c>
      <c r="P52" t="str">
        <v>Karol Bagh</v>
      </c>
      <c r="Q52" t="str">
        <v>Delhi</v>
      </c>
      <c r="R52" t="str">
        <v>North</v>
      </c>
      <c r="S52" t="str">
        <v>Stationery</v>
      </c>
      <c r="T52" t="str">
        <v>Ruler</v>
      </c>
      <c r="U52">
        <v>17</v>
      </c>
      <c r="V52">
        <v>500.54</v>
      </c>
      <c r="W52">
        <v>8509.18</v>
      </c>
    </row>
    <row r="53" spans="1:23">
      <c r="A53" s="19">
        <v>44948</v>
      </c>
      <c r="B53" t="s">
        <v>1256</v>
      </c>
      <c r="C53" t="s">
        <v>1244</v>
      </c>
      <c r="D53" t="s">
        <v>1243</v>
      </c>
      <c r="E53" t="s">
        <v>1242</v>
      </c>
      <c r="F53" t="s">
        <v>132</v>
      </c>
      <c r="G53" t="s">
        <v>1277</v>
      </c>
      <c r="H53" s="10">
        <v>10</v>
      </c>
      <c r="I53" s="10">
        <v>505.39</v>
      </c>
      <c r="J53" s="10">
        <v>5053.8999999999996</v>
      </c>
      <c r="K53" s="10"/>
      <c r="N53" s="18">
        <v>45086</v>
      </c>
      <c r="O53" t="str">
        <v>Ananya</v>
      </c>
      <c r="P53" t="str">
        <v>Dwarka</v>
      </c>
      <c r="Q53" t="str">
        <v>Delhi</v>
      </c>
      <c r="R53" t="str">
        <v>North</v>
      </c>
      <c r="S53" t="str">
        <v>Stationery</v>
      </c>
      <c r="T53" t="str">
        <v>Ruler</v>
      </c>
      <c r="U53">
        <v>14</v>
      </c>
      <c r="V53">
        <v>630.45000000000005</v>
      </c>
      <c r="W53">
        <v>8826.2999999999993</v>
      </c>
    </row>
    <row r="54" spans="1:23">
      <c r="A54" s="19">
        <v>44948</v>
      </c>
      <c r="B54" t="s">
        <v>1260</v>
      </c>
      <c r="C54" t="s">
        <v>1239</v>
      </c>
      <c r="D54" t="s">
        <v>1237</v>
      </c>
      <c r="E54" t="s">
        <v>1229</v>
      </c>
      <c r="F54" t="s">
        <v>128</v>
      </c>
      <c r="G54" t="s">
        <v>1257</v>
      </c>
      <c r="H54" s="10">
        <v>14</v>
      </c>
      <c r="I54" s="10">
        <v>2713.47</v>
      </c>
      <c r="J54" s="10">
        <v>37988.58</v>
      </c>
      <c r="K54" s="10"/>
      <c r="N54" s="18">
        <v>45250</v>
      </c>
      <c r="O54" t="str">
        <v>Vihaan</v>
      </c>
      <c r="P54" t="str">
        <v>New Delhi</v>
      </c>
      <c r="Q54" t="str">
        <v>Delhi</v>
      </c>
      <c r="R54" t="str">
        <v>North</v>
      </c>
      <c r="S54" t="str">
        <v>Furniture</v>
      </c>
      <c r="T54" t="str">
        <v>Chair</v>
      </c>
      <c r="U54">
        <v>3</v>
      </c>
      <c r="V54">
        <v>3044.02</v>
      </c>
      <c r="W54">
        <v>9132.06</v>
      </c>
    </row>
    <row r="55" spans="1:23">
      <c r="A55" s="19">
        <v>44948</v>
      </c>
      <c r="B55" t="s">
        <v>1265</v>
      </c>
      <c r="C55" t="s">
        <v>1246</v>
      </c>
      <c r="D55" t="s">
        <v>1230</v>
      </c>
      <c r="E55" t="s">
        <v>1229</v>
      </c>
      <c r="F55" t="s">
        <v>1249</v>
      </c>
      <c r="G55" t="s">
        <v>1270</v>
      </c>
      <c r="H55" s="10">
        <v>13</v>
      </c>
      <c r="I55" s="10">
        <v>3071.93</v>
      </c>
      <c r="J55" s="10">
        <v>39935.089999999997</v>
      </c>
      <c r="K55" s="10"/>
      <c r="N55" s="18">
        <v>45041</v>
      </c>
      <c r="O55" t="str">
        <v>Kabir</v>
      </c>
      <c r="P55" t="str">
        <v>Dwarka</v>
      </c>
      <c r="Q55" t="str">
        <v>Delhi</v>
      </c>
      <c r="R55" t="str">
        <v>North</v>
      </c>
      <c r="S55" t="str">
        <v>Furniture</v>
      </c>
      <c r="T55" t="str">
        <v>Bed</v>
      </c>
      <c r="U55">
        <v>6</v>
      </c>
      <c r="V55">
        <v>1523.33</v>
      </c>
      <c r="W55">
        <v>9139.98</v>
      </c>
    </row>
    <row r="56" spans="1:23">
      <c r="A56" s="19">
        <v>44949</v>
      </c>
      <c r="B56" t="s">
        <v>1269</v>
      </c>
      <c r="C56" t="s">
        <v>1246</v>
      </c>
      <c r="D56" t="s">
        <v>1230</v>
      </c>
      <c r="E56" t="s">
        <v>1229</v>
      </c>
      <c r="F56" t="s">
        <v>120</v>
      </c>
      <c r="G56" t="s">
        <v>1275</v>
      </c>
      <c r="H56" s="10">
        <v>16</v>
      </c>
      <c r="I56" s="10">
        <v>2015.76</v>
      </c>
      <c r="J56" s="10">
        <v>32252.16</v>
      </c>
      <c r="K56" s="10"/>
      <c r="N56" s="18">
        <v>45229</v>
      </c>
      <c r="O56" t="str">
        <v>Ishita</v>
      </c>
      <c r="P56" t="str">
        <v>New Delhi</v>
      </c>
      <c r="Q56" t="str">
        <v>Delhi</v>
      </c>
      <c r="R56" t="str">
        <v>North</v>
      </c>
      <c r="S56" t="str">
        <v>Stationery</v>
      </c>
      <c r="T56" t="str">
        <v>Ruler</v>
      </c>
      <c r="U56">
        <v>8</v>
      </c>
      <c r="V56">
        <v>1171.53</v>
      </c>
      <c r="W56">
        <v>9372.24</v>
      </c>
    </row>
    <row r="57" spans="1:23">
      <c r="A57" s="19">
        <v>44950</v>
      </c>
      <c r="B57" t="s">
        <v>1263</v>
      </c>
      <c r="C57" t="s">
        <v>1233</v>
      </c>
      <c r="D57" t="s">
        <v>1232</v>
      </c>
      <c r="E57" t="s">
        <v>1231</v>
      </c>
      <c r="F57" t="s">
        <v>145</v>
      </c>
      <c r="G57" t="s">
        <v>1274</v>
      </c>
      <c r="H57" s="10">
        <v>9</v>
      </c>
      <c r="I57" s="10">
        <v>3892.79</v>
      </c>
      <c r="J57" s="10">
        <v>35035.11</v>
      </c>
      <c r="K57" s="10"/>
      <c r="N57" s="18">
        <v>45234</v>
      </c>
      <c r="O57" t="str">
        <v>Riya</v>
      </c>
      <c r="P57" t="str">
        <v>New Delhi</v>
      </c>
      <c r="Q57" t="str">
        <v>Delhi</v>
      </c>
      <c r="R57" t="str">
        <v>North</v>
      </c>
      <c r="S57" t="str">
        <v>Clothing</v>
      </c>
      <c r="T57" t="str">
        <v>Dress</v>
      </c>
      <c r="U57">
        <v>2</v>
      </c>
      <c r="V57">
        <v>4818.49</v>
      </c>
      <c r="W57">
        <v>9636.98</v>
      </c>
    </row>
    <row r="58" spans="1:23">
      <c r="A58" s="19">
        <v>44950</v>
      </c>
      <c r="B58" t="s">
        <v>1265</v>
      </c>
      <c r="C58" t="s">
        <v>1169</v>
      </c>
      <c r="D58" t="s">
        <v>1230</v>
      </c>
      <c r="E58" t="s">
        <v>1229</v>
      </c>
      <c r="F58" t="s">
        <v>120</v>
      </c>
      <c r="G58" t="s">
        <v>1164</v>
      </c>
      <c r="H58" s="10">
        <v>8</v>
      </c>
      <c r="I58" s="10">
        <v>310.33</v>
      </c>
      <c r="J58" s="10">
        <v>2482.64</v>
      </c>
      <c r="K58" s="10"/>
      <c r="N58" s="18">
        <v>44987</v>
      </c>
      <c r="O58" t="str">
        <v>Aditi</v>
      </c>
      <c r="P58" t="str">
        <v>Dwarka</v>
      </c>
      <c r="Q58" t="str">
        <v>Delhi</v>
      </c>
      <c r="R58" t="str">
        <v>North</v>
      </c>
      <c r="S58" t="str">
        <v>Furniture</v>
      </c>
      <c r="T58" t="str">
        <v>Table</v>
      </c>
      <c r="U58">
        <v>17</v>
      </c>
      <c r="V58">
        <v>578.66999999999996</v>
      </c>
      <c r="W58">
        <v>9837.39</v>
      </c>
    </row>
    <row r="59" spans="1:23">
      <c r="A59" s="19">
        <v>44950</v>
      </c>
      <c r="B59" t="s">
        <v>1263</v>
      </c>
      <c r="C59" t="s">
        <v>1240</v>
      </c>
      <c r="D59" t="s">
        <v>1232</v>
      </c>
      <c r="E59" t="s">
        <v>1231</v>
      </c>
      <c r="F59" t="s">
        <v>120</v>
      </c>
      <c r="G59" t="s">
        <v>1165</v>
      </c>
      <c r="H59" s="10">
        <v>11</v>
      </c>
      <c r="I59" s="10">
        <v>1995.21</v>
      </c>
      <c r="J59" s="10">
        <v>21947.31</v>
      </c>
      <c r="K59" s="10"/>
      <c r="N59" s="18">
        <v>44963</v>
      </c>
      <c r="O59" t="str">
        <v>Aryan</v>
      </c>
      <c r="P59" t="str">
        <v>New Delhi</v>
      </c>
      <c r="Q59" t="str">
        <v>Delhi</v>
      </c>
      <c r="R59" t="str">
        <v>North</v>
      </c>
      <c r="S59" t="str">
        <v>Electronics</v>
      </c>
      <c r="T59" t="str">
        <v>Tablet</v>
      </c>
      <c r="U59">
        <v>7</v>
      </c>
      <c r="V59">
        <v>1420.32</v>
      </c>
      <c r="W59">
        <v>9942.24</v>
      </c>
    </row>
    <row r="60" spans="1:23">
      <c r="A60" s="19">
        <v>44950</v>
      </c>
      <c r="B60" t="s">
        <v>1260</v>
      </c>
      <c r="C60" t="s">
        <v>1238</v>
      </c>
      <c r="D60" t="s">
        <v>1235</v>
      </c>
      <c r="E60" t="s">
        <v>1231</v>
      </c>
      <c r="F60" t="s">
        <v>145</v>
      </c>
      <c r="G60" t="s">
        <v>1261</v>
      </c>
      <c r="H60" s="10">
        <v>9</v>
      </c>
      <c r="I60" s="10">
        <v>4965.3</v>
      </c>
      <c r="J60" s="10">
        <v>44687.7</v>
      </c>
      <c r="K60" s="10"/>
      <c r="N60" s="18">
        <v>45234</v>
      </c>
      <c r="O60" t="str">
        <v>Aarav</v>
      </c>
      <c r="P60" t="str">
        <v>Dwarka</v>
      </c>
      <c r="Q60" t="str">
        <v>Delhi</v>
      </c>
      <c r="R60" t="str">
        <v>North</v>
      </c>
      <c r="S60" t="str">
        <v>Furniture</v>
      </c>
      <c r="T60" t="str">
        <v>Chair</v>
      </c>
      <c r="U60">
        <v>10</v>
      </c>
      <c r="V60">
        <v>1050.8399999999999</v>
      </c>
      <c r="W60">
        <v>10508.4</v>
      </c>
    </row>
    <row r="61" spans="1:23">
      <c r="A61" s="19">
        <v>44951</v>
      </c>
      <c r="B61" t="s">
        <v>1252</v>
      </c>
      <c r="C61" t="s">
        <v>1169</v>
      </c>
      <c r="D61" t="s">
        <v>1230</v>
      </c>
      <c r="E61" t="s">
        <v>1229</v>
      </c>
      <c r="F61" t="s">
        <v>1249</v>
      </c>
      <c r="G61" t="s">
        <v>1272</v>
      </c>
      <c r="H61" s="10">
        <v>4</v>
      </c>
      <c r="I61" s="10">
        <v>328.82</v>
      </c>
      <c r="J61" s="10">
        <v>1315.28</v>
      </c>
      <c r="K61" s="10"/>
      <c r="N61" s="18">
        <v>45080</v>
      </c>
      <c r="O61" t="str">
        <v>Ananya</v>
      </c>
      <c r="P61" t="str">
        <v>Karol Bagh</v>
      </c>
      <c r="Q61" t="str">
        <v>Delhi</v>
      </c>
      <c r="R61" t="str">
        <v>North</v>
      </c>
      <c r="S61" t="str">
        <v>Stationery</v>
      </c>
      <c r="T61" t="str">
        <v>Eraser</v>
      </c>
      <c r="U61">
        <v>16</v>
      </c>
      <c r="V61">
        <v>665.83</v>
      </c>
      <c r="W61">
        <v>10653.28</v>
      </c>
    </row>
    <row r="62" spans="1:23">
      <c r="A62" s="19">
        <v>44951</v>
      </c>
      <c r="B62" t="s">
        <v>1269</v>
      </c>
      <c r="C62" t="s">
        <v>1248</v>
      </c>
      <c r="D62" t="s">
        <v>1230</v>
      </c>
      <c r="E62" t="s">
        <v>1229</v>
      </c>
      <c r="F62" t="s">
        <v>132</v>
      </c>
      <c r="G62" t="s">
        <v>1271</v>
      </c>
      <c r="H62" s="10">
        <v>11</v>
      </c>
      <c r="I62" s="10">
        <v>1788.39</v>
      </c>
      <c r="J62" s="10">
        <v>19672.29</v>
      </c>
      <c r="K62" s="10"/>
      <c r="N62" s="18">
        <v>45235</v>
      </c>
      <c r="O62" t="str">
        <v>Ananya</v>
      </c>
      <c r="P62" t="str">
        <v>New Delhi</v>
      </c>
      <c r="Q62" t="str">
        <v>Delhi</v>
      </c>
      <c r="R62" t="str">
        <v>North</v>
      </c>
      <c r="S62" t="str">
        <v>Furniture</v>
      </c>
      <c r="T62" t="str">
        <v>Bed</v>
      </c>
      <c r="U62">
        <v>6</v>
      </c>
      <c r="V62">
        <v>1822.86</v>
      </c>
      <c r="W62">
        <v>10937.16</v>
      </c>
    </row>
    <row r="63" spans="1:23">
      <c r="A63" s="19">
        <v>44952</v>
      </c>
      <c r="B63" t="s">
        <v>1265</v>
      </c>
      <c r="C63" t="s">
        <v>1248</v>
      </c>
      <c r="D63" t="s">
        <v>1230</v>
      </c>
      <c r="E63" t="s">
        <v>1229</v>
      </c>
      <c r="F63" t="s">
        <v>128</v>
      </c>
      <c r="G63" t="s">
        <v>1266</v>
      </c>
      <c r="H63" s="10">
        <v>20</v>
      </c>
      <c r="I63" s="10">
        <v>1027.53</v>
      </c>
      <c r="J63" s="10">
        <v>20550.599999999999</v>
      </c>
      <c r="K63" s="10"/>
      <c r="N63" s="18">
        <v>44943</v>
      </c>
      <c r="O63" t="str">
        <v>Kabir</v>
      </c>
      <c r="P63" t="str">
        <v>Karol Bagh</v>
      </c>
      <c r="Q63" t="str">
        <v>Delhi</v>
      </c>
      <c r="R63" t="str">
        <v>North</v>
      </c>
      <c r="S63" t="str">
        <v>Furniture</v>
      </c>
      <c r="T63" t="str">
        <v>Table</v>
      </c>
      <c r="U63">
        <v>6</v>
      </c>
      <c r="V63">
        <v>1847.42</v>
      </c>
      <c r="W63">
        <v>11084.52</v>
      </c>
    </row>
    <row r="64" spans="1:23">
      <c r="A64" s="19">
        <v>44952</v>
      </c>
      <c r="B64" t="s">
        <v>1269</v>
      </c>
      <c r="C64" t="s">
        <v>1169</v>
      </c>
      <c r="D64" t="s">
        <v>1230</v>
      </c>
      <c r="E64" t="s">
        <v>1229</v>
      </c>
      <c r="F64" t="s">
        <v>1249</v>
      </c>
      <c r="G64" t="s">
        <v>1259</v>
      </c>
      <c r="H64" s="10">
        <v>14</v>
      </c>
      <c r="I64" s="10">
        <v>705.15</v>
      </c>
      <c r="J64" s="10">
        <v>9872.1</v>
      </c>
      <c r="K64" s="10"/>
      <c r="N64" s="18">
        <v>45017</v>
      </c>
      <c r="O64" t="str">
        <v>Kabir</v>
      </c>
      <c r="P64" t="str">
        <v>Dwarka</v>
      </c>
      <c r="Q64" t="str">
        <v>Delhi</v>
      </c>
      <c r="R64" t="str">
        <v>North</v>
      </c>
      <c r="S64" t="str">
        <v>Electronics</v>
      </c>
      <c r="T64" t="str">
        <v>Smartphone</v>
      </c>
      <c r="U64">
        <v>3</v>
      </c>
      <c r="V64">
        <v>3754.7</v>
      </c>
      <c r="W64">
        <v>11264.1</v>
      </c>
    </row>
    <row r="65" spans="1:23">
      <c r="A65" s="19">
        <v>44952</v>
      </c>
      <c r="B65" t="s">
        <v>1260</v>
      </c>
      <c r="C65" t="s">
        <v>1240</v>
      </c>
      <c r="D65" t="s">
        <v>1232</v>
      </c>
      <c r="E65" t="s">
        <v>1231</v>
      </c>
      <c r="F65" t="s">
        <v>120</v>
      </c>
      <c r="G65" t="s">
        <v>1164</v>
      </c>
      <c r="H65" s="10">
        <v>17</v>
      </c>
      <c r="I65" s="10">
        <v>1336.86</v>
      </c>
      <c r="J65" s="10">
        <v>22726.62</v>
      </c>
      <c r="K65" s="10"/>
      <c r="N65" s="18">
        <v>45243</v>
      </c>
      <c r="O65" t="str">
        <v>Riya</v>
      </c>
      <c r="P65" t="str">
        <v>Dwarka</v>
      </c>
      <c r="Q65" t="str">
        <v>Delhi</v>
      </c>
      <c r="R65" t="str">
        <v>North</v>
      </c>
      <c r="S65" t="str">
        <v>Clothing</v>
      </c>
      <c r="T65" t="str">
        <v>Dress</v>
      </c>
      <c r="U65">
        <v>7</v>
      </c>
      <c r="V65">
        <v>1628.68</v>
      </c>
      <c r="W65">
        <v>11400.76</v>
      </c>
    </row>
    <row r="66" spans="1:23">
      <c r="A66" s="19">
        <v>44952</v>
      </c>
      <c r="B66" t="s">
        <v>1260</v>
      </c>
      <c r="C66" t="s">
        <v>1239</v>
      </c>
      <c r="D66" t="s">
        <v>1237</v>
      </c>
      <c r="E66" t="s">
        <v>1229</v>
      </c>
      <c r="F66" t="s">
        <v>132</v>
      </c>
      <c r="G66" t="s">
        <v>1271</v>
      </c>
      <c r="H66" s="10">
        <v>6</v>
      </c>
      <c r="I66" s="10">
        <v>1709.52</v>
      </c>
      <c r="J66" s="10">
        <v>10257.120000000001</v>
      </c>
      <c r="K66" s="10"/>
      <c r="N66" s="18">
        <v>44972</v>
      </c>
      <c r="O66" t="str">
        <v>Kabir</v>
      </c>
      <c r="P66" t="str">
        <v>New Delhi</v>
      </c>
      <c r="Q66" t="str">
        <v>Delhi</v>
      </c>
      <c r="R66" t="str">
        <v>North</v>
      </c>
      <c r="S66" t="str">
        <v>Furniture</v>
      </c>
      <c r="T66" t="str">
        <v>Table</v>
      </c>
      <c r="U66">
        <v>3</v>
      </c>
      <c r="V66">
        <v>3814.12</v>
      </c>
      <c r="W66">
        <v>11442.36</v>
      </c>
    </row>
    <row r="67" spans="1:23">
      <c r="A67" s="19">
        <v>44953</v>
      </c>
      <c r="B67" t="s">
        <v>1267</v>
      </c>
      <c r="C67" t="s">
        <v>1173</v>
      </c>
      <c r="D67" t="s">
        <v>1237</v>
      </c>
      <c r="E67" t="s">
        <v>1229</v>
      </c>
      <c r="F67" t="s">
        <v>128</v>
      </c>
      <c r="G67" t="s">
        <v>1266</v>
      </c>
      <c r="H67" s="10">
        <v>7</v>
      </c>
      <c r="I67" s="10">
        <v>579.91999999999996</v>
      </c>
      <c r="J67" s="10">
        <v>4059.44</v>
      </c>
      <c r="K67" s="10"/>
      <c r="N67" s="18">
        <v>45024</v>
      </c>
      <c r="O67" t="str">
        <v>Aarav</v>
      </c>
      <c r="P67" t="str">
        <v>Karol Bagh</v>
      </c>
      <c r="Q67" t="str">
        <v>Delhi</v>
      </c>
      <c r="R67" t="str">
        <v>North</v>
      </c>
      <c r="S67" t="str">
        <v>Furniture</v>
      </c>
      <c r="T67" t="str">
        <v>Chair</v>
      </c>
      <c r="U67">
        <v>6</v>
      </c>
      <c r="V67">
        <v>1912.36</v>
      </c>
      <c r="W67">
        <v>11474.16</v>
      </c>
    </row>
    <row r="68" spans="1:23">
      <c r="A68" s="19">
        <v>44953</v>
      </c>
      <c r="B68" t="s">
        <v>1269</v>
      </c>
      <c r="C68" t="s">
        <v>1233</v>
      </c>
      <c r="D68" t="s">
        <v>1232</v>
      </c>
      <c r="E68" t="s">
        <v>1231</v>
      </c>
      <c r="F68" t="s">
        <v>1249</v>
      </c>
      <c r="G68" t="s">
        <v>1268</v>
      </c>
      <c r="H68" s="10">
        <v>15</v>
      </c>
      <c r="I68" s="10">
        <v>4945.79</v>
      </c>
      <c r="J68" s="10">
        <v>74186.850000000006</v>
      </c>
      <c r="K68" s="10"/>
      <c r="N68" s="18">
        <v>45008</v>
      </c>
      <c r="O68" t="str">
        <v>Vihaan</v>
      </c>
      <c r="P68" t="str">
        <v>New Delhi</v>
      </c>
      <c r="Q68" t="str">
        <v>Delhi</v>
      </c>
      <c r="R68" t="str">
        <v>North</v>
      </c>
      <c r="S68" t="str">
        <v>Clothing</v>
      </c>
      <c r="T68" t="str">
        <v>Pants</v>
      </c>
      <c r="U68">
        <v>12</v>
      </c>
      <c r="V68">
        <v>957.01</v>
      </c>
      <c r="W68">
        <v>11484.12</v>
      </c>
    </row>
    <row r="69" spans="1:23">
      <c r="A69" s="19">
        <v>44953</v>
      </c>
      <c r="B69" t="s">
        <v>1269</v>
      </c>
      <c r="C69" t="s">
        <v>1236</v>
      </c>
      <c r="D69" t="s">
        <v>1235</v>
      </c>
      <c r="E69" t="s">
        <v>1231</v>
      </c>
      <c r="F69" t="s">
        <v>132</v>
      </c>
      <c r="G69" t="s">
        <v>1271</v>
      </c>
      <c r="H69" s="10">
        <v>16</v>
      </c>
      <c r="I69" s="10">
        <v>4008.72</v>
      </c>
      <c r="J69" s="10">
        <v>64139.519999999997</v>
      </c>
      <c r="K69" s="10"/>
      <c r="N69" s="18">
        <v>45192</v>
      </c>
      <c r="O69" t="str">
        <v>Meera</v>
      </c>
      <c r="P69" t="str">
        <v>Karol Bagh</v>
      </c>
      <c r="Q69" t="str">
        <v>Delhi</v>
      </c>
      <c r="R69" t="str">
        <v>North</v>
      </c>
      <c r="S69" t="str">
        <v>Electronics</v>
      </c>
      <c r="T69" t="str">
        <v>Laptop</v>
      </c>
      <c r="U69">
        <v>20</v>
      </c>
      <c r="V69">
        <v>598.97</v>
      </c>
      <c r="W69">
        <v>11979.4</v>
      </c>
    </row>
    <row r="70" spans="1:23">
      <c r="A70" s="19">
        <v>44953</v>
      </c>
      <c r="B70" t="s">
        <v>1258</v>
      </c>
      <c r="C70" t="s">
        <v>1239</v>
      </c>
      <c r="D70" t="s">
        <v>1237</v>
      </c>
      <c r="E70" t="s">
        <v>1229</v>
      </c>
      <c r="F70" t="s">
        <v>1249</v>
      </c>
      <c r="G70" t="s">
        <v>1259</v>
      </c>
      <c r="H70" s="10">
        <v>10</v>
      </c>
      <c r="I70" s="10">
        <v>2628.56</v>
      </c>
      <c r="J70" s="10">
        <v>26285.599999999999</v>
      </c>
      <c r="K70" s="10"/>
      <c r="N70" s="18">
        <v>45137</v>
      </c>
      <c r="O70" t="str">
        <v>Kabir</v>
      </c>
      <c r="P70" t="str">
        <v>Karol Bagh</v>
      </c>
      <c r="Q70" t="str">
        <v>Delhi</v>
      </c>
      <c r="R70" t="str">
        <v>North</v>
      </c>
      <c r="S70" t="str">
        <v>Furniture</v>
      </c>
      <c r="T70" t="str">
        <v>Sofa</v>
      </c>
      <c r="U70">
        <v>4</v>
      </c>
      <c r="V70">
        <v>3015.93</v>
      </c>
      <c r="W70">
        <v>12063.72</v>
      </c>
    </row>
    <row r="71" spans="1:23">
      <c r="A71" s="19">
        <v>44954</v>
      </c>
      <c r="B71" t="s">
        <v>1254</v>
      </c>
      <c r="C71" t="s">
        <v>1247</v>
      </c>
      <c r="D71" t="s">
        <v>1243</v>
      </c>
      <c r="E71" t="s">
        <v>1242</v>
      </c>
      <c r="F71" t="s">
        <v>145</v>
      </c>
      <c r="G71" t="s">
        <v>1278</v>
      </c>
      <c r="H71" s="10">
        <v>19</v>
      </c>
      <c r="I71" s="10">
        <v>3901.75</v>
      </c>
      <c r="J71" s="10">
        <v>74133.25</v>
      </c>
      <c r="K71" s="10"/>
      <c r="N71" s="18">
        <v>44967</v>
      </c>
      <c r="O71" t="str">
        <v>Vihaan</v>
      </c>
      <c r="P71" t="str">
        <v>Karol Bagh</v>
      </c>
      <c r="Q71" t="str">
        <v>Delhi</v>
      </c>
      <c r="R71" t="str">
        <v>North</v>
      </c>
      <c r="S71" t="str">
        <v>Groceries</v>
      </c>
      <c r="T71" t="str">
        <v>Sugar</v>
      </c>
      <c r="U71">
        <v>12</v>
      </c>
      <c r="V71">
        <v>1020.42</v>
      </c>
      <c r="W71">
        <v>12245.04</v>
      </c>
    </row>
    <row r="72" spans="1:23">
      <c r="A72" s="19">
        <v>44954</v>
      </c>
      <c r="B72" t="s">
        <v>1269</v>
      </c>
      <c r="C72" t="s">
        <v>1244</v>
      </c>
      <c r="D72" t="s">
        <v>1243</v>
      </c>
      <c r="E72" t="s">
        <v>1242</v>
      </c>
      <c r="F72" t="s">
        <v>132</v>
      </c>
      <c r="G72" t="s">
        <v>1277</v>
      </c>
      <c r="H72" s="10">
        <v>8</v>
      </c>
      <c r="I72" s="10">
        <v>4523.4399999999996</v>
      </c>
      <c r="J72" s="10">
        <v>36187.519999999997</v>
      </c>
      <c r="K72" s="10"/>
      <c r="N72" s="18">
        <v>45125</v>
      </c>
      <c r="O72" t="str">
        <v>Nishant</v>
      </c>
      <c r="P72" t="str">
        <v>Dwarka</v>
      </c>
      <c r="Q72" t="str">
        <v>Delhi</v>
      </c>
      <c r="R72" t="str">
        <v>North</v>
      </c>
      <c r="S72" t="str">
        <v>Furniture</v>
      </c>
      <c r="T72" t="str">
        <v>Chair</v>
      </c>
      <c r="U72">
        <v>15</v>
      </c>
      <c r="V72">
        <v>834.13</v>
      </c>
      <c r="W72">
        <v>12511.95</v>
      </c>
    </row>
    <row r="73" spans="1:23">
      <c r="A73" s="19">
        <v>44954</v>
      </c>
      <c r="B73" t="s">
        <v>1262</v>
      </c>
      <c r="C73" t="s">
        <v>1247</v>
      </c>
      <c r="D73" t="s">
        <v>1243</v>
      </c>
      <c r="E73" t="s">
        <v>1242</v>
      </c>
      <c r="F73" t="s">
        <v>132</v>
      </c>
      <c r="G73" t="s">
        <v>1277</v>
      </c>
      <c r="H73" s="10">
        <v>14</v>
      </c>
      <c r="I73" s="10">
        <v>4816.3900000000003</v>
      </c>
      <c r="J73" s="10">
        <v>67429.460000000006</v>
      </c>
      <c r="K73" s="10"/>
      <c r="N73" s="18">
        <v>45163</v>
      </c>
      <c r="O73" t="str">
        <v>Ishita</v>
      </c>
      <c r="P73" t="str">
        <v>Dwarka</v>
      </c>
      <c r="Q73" t="str">
        <v>Delhi</v>
      </c>
      <c r="R73" t="str">
        <v>North</v>
      </c>
      <c r="S73" t="str">
        <v>Furniture</v>
      </c>
      <c r="T73" t="str">
        <v>Bed</v>
      </c>
      <c r="U73">
        <v>5</v>
      </c>
      <c r="V73">
        <v>2536.65</v>
      </c>
      <c r="W73">
        <v>12683.25</v>
      </c>
    </row>
    <row r="74" spans="1:23">
      <c r="A74" s="19">
        <v>44956</v>
      </c>
      <c r="B74" t="s">
        <v>1267</v>
      </c>
      <c r="C74" t="s">
        <v>1239</v>
      </c>
      <c r="D74" t="s">
        <v>1237</v>
      </c>
      <c r="E74" t="s">
        <v>1229</v>
      </c>
      <c r="F74" t="s">
        <v>132</v>
      </c>
      <c r="G74" t="s">
        <v>1279</v>
      </c>
      <c r="H74" s="10">
        <v>20</v>
      </c>
      <c r="I74" s="10">
        <v>3734.44</v>
      </c>
      <c r="J74" s="10">
        <v>74688.800000000003</v>
      </c>
      <c r="K74" s="10"/>
      <c r="N74" s="18">
        <v>45169</v>
      </c>
      <c r="O74" t="str">
        <v>Riya</v>
      </c>
      <c r="P74" t="str">
        <v>Karol Bagh</v>
      </c>
      <c r="Q74" t="str">
        <v>Delhi</v>
      </c>
      <c r="R74" t="str">
        <v>North</v>
      </c>
      <c r="S74" t="str">
        <v>Groceries</v>
      </c>
      <c r="T74" t="str">
        <v>Rice</v>
      </c>
      <c r="U74">
        <v>7</v>
      </c>
      <c r="V74">
        <v>1830.46</v>
      </c>
      <c r="W74">
        <v>12813.22</v>
      </c>
    </row>
    <row r="75" spans="1:23">
      <c r="A75" s="19">
        <v>44956</v>
      </c>
      <c r="B75" t="s">
        <v>1254</v>
      </c>
      <c r="C75" t="s">
        <v>1248</v>
      </c>
      <c r="D75" t="s">
        <v>1230</v>
      </c>
      <c r="E75" t="s">
        <v>1229</v>
      </c>
      <c r="F75" t="s">
        <v>132</v>
      </c>
      <c r="G75" t="s">
        <v>1271</v>
      </c>
      <c r="H75" s="10">
        <v>16</v>
      </c>
      <c r="I75" s="10">
        <v>2714.37</v>
      </c>
      <c r="J75" s="10">
        <v>43429.919999999998</v>
      </c>
      <c r="K75" s="10"/>
      <c r="N75" s="18">
        <v>45079</v>
      </c>
      <c r="O75" t="str">
        <v>Aarav</v>
      </c>
      <c r="P75" t="str">
        <v>Karol Bagh</v>
      </c>
      <c r="Q75" t="str">
        <v>Delhi</v>
      </c>
      <c r="R75" t="str">
        <v>North</v>
      </c>
      <c r="S75" t="str">
        <v>Electronics</v>
      </c>
      <c r="T75" t="str">
        <v>Tablet</v>
      </c>
      <c r="U75">
        <v>20</v>
      </c>
      <c r="V75">
        <v>652.87</v>
      </c>
      <c r="W75">
        <v>13057.4</v>
      </c>
    </row>
    <row r="76" spans="1:23">
      <c r="A76" s="19">
        <v>44956</v>
      </c>
      <c r="B76" t="s">
        <v>1256</v>
      </c>
      <c r="C76" t="s">
        <v>1241</v>
      </c>
      <c r="D76" t="s">
        <v>1235</v>
      </c>
      <c r="E76" t="s">
        <v>1231</v>
      </c>
      <c r="F76" t="s">
        <v>132</v>
      </c>
      <c r="G76" t="s">
        <v>1271</v>
      </c>
      <c r="H76" s="10">
        <v>19</v>
      </c>
      <c r="I76" s="10">
        <v>3575.92</v>
      </c>
      <c r="J76" s="10">
        <v>67942.48</v>
      </c>
      <c r="K76" s="10"/>
      <c r="N76" s="18">
        <v>45110</v>
      </c>
      <c r="O76" t="str">
        <v>Aryan</v>
      </c>
      <c r="P76" t="str">
        <v>Karol Bagh</v>
      </c>
      <c r="Q76" t="str">
        <v>Delhi</v>
      </c>
      <c r="R76" t="str">
        <v>North</v>
      </c>
      <c r="S76" t="str">
        <v>Groceries</v>
      </c>
      <c r="T76" t="str">
        <v>Lentils</v>
      </c>
      <c r="U76">
        <v>3</v>
      </c>
      <c r="V76">
        <v>4637.38</v>
      </c>
      <c r="W76">
        <v>13912.14</v>
      </c>
    </row>
    <row r="77" spans="1:23">
      <c r="A77" s="19">
        <v>44956</v>
      </c>
      <c r="B77" t="s">
        <v>1265</v>
      </c>
      <c r="C77" t="s">
        <v>1248</v>
      </c>
      <c r="D77" t="s">
        <v>1230</v>
      </c>
      <c r="E77" t="s">
        <v>1229</v>
      </c>
      <c r="F77" t="s">
        <v>120</v>
      </c>
      <c r="G77" t="s">
        <v>1275</v>
      </c>
      <c r="H77" s="10">
        <v>18</v>
      </c>
      <c r="I77" s="10">
        <v>3238.98</v>
      </c>
      <c r="J77" s="10">
        <v>58301.64</v>
      </c>
      <c r="K77" s="10"/>
      <c r="N77" s="18">
        <v>44991</v>
      </c>
      <c r="O77" t="str">
        <v>Riya</v>
      </c>
      <c r="P77" t="str">
        <v>New Delhi</v>
      </c>
      <c r="Q77" t="str">
        <v>Delhi</v>
      </c>
      <c r="R77" t="str">
        <v>North</v>
      </c>
      <c r="S77" t="str">
        <v>Furniture</v>
      </c>
      <c r="T77" t="str">
        <v>Chair</v>
      </c>
      <c r="U77">
        <v>5</v>
      </c>
      <c r="V77">
        <v>2849.56</v>
      </c>
      <c r="W77">
        <v>14247.8</v>
      </c>
    </row>
    <row r="78" spans="1:23">
      <c r="A78" s="19">
        <v>44956</v>
      </c>
      <c r="B78" t="s">
        <v>1269</v>
      </c>
      <c r="C78" t="s">
        <v>1245</v>
      </c>
      <c r="D78" t="s">
        <v>1243</v>
      </c>
      <c r="E78" t="s">
        <v>1242</v>
      </c>
      <c r="F78" t="s">
        <v>145</v>
      </c>
      <c r="G78" t="s">
        <v>1274</v>
      </c>
      <c r="H78" s="10">
        <v>14</v>
      </c>
      <c r="I78" s="10">
        <v>569.91</v>
      </c>
      <c r="J78" s="10">
        <v>7978.74</v>
      </c>
      <c r="K78" s="10"/>
      <c r="N78" s="18">
        <v>45045</v>
      </c>
      <c r="O78" t="str">
        <v>Vihaan</v>
      </c>
      <c r="P78" t="str">
        <v>New Delhi</v>
      </c>
      <c r="Q78" t="str">
        <v>Delhi</v>
      </c>
      <c r="R78" t="str">
        <v>North</v>
      </c>
      <c r="S78" t="str">
        <v>Stationery</v>
      </c>
      <c r="T78" t="str">
        <v>Notebook</v>
      </c>
      <c r="U78">
        <v>3</v>
      </c>
      <c r="V78">
        <v>4955.22</v>
      </c>
      <c r="W78">
        <v>14865.66</v>
      </c>
    </row>
    <row r="79" spans="1:23">
      <c r="A79" s="19">
        <v>44956</v>
      </c>
      <c r="B79" t="s">
        <v>1267</v>
      </c>
      <c r="C79" t="s">
        <v>1244</v>
      </c>
      <c r="D79" t="s">
        <v>1243</v>
      </c>
      <c r="E79" t="s">
        <v>1242</v>
      </c>
      <c r="F79" t="s">
        <v>132</v>
      </c>
      <c r="G79" t="s">
        <v>1277</v>
      </c>
      <c r="H79" s="10">
        <v>3</v>
      </c>
      <c r="I79" s="10">
        <v>1105.46</v>
      </c>
      <c r="J79" s="10">
        <v>3316.38</v>
      </c>
      <c r="K79" s="10"/>
      <c r="N79" s="18">
        <v>45015</v>
      </c>
      <c r="O79" t="str">
        <v>Riya</v>
      </c>
      <c r="P79" t="str">
        <v>New Delhi</v>
      </c>
      <c r="Q79" t="str">
        <v>Delhi</v>
      </c>
      <c r="R79" t="str">
        <v>North</v>
      </c>
      <c r="S79" t="str">
        <v>Groceries</v>
      </c>
      <c r="T79" t="str">
        <v>Sugar</v>
      </c>
      <c r="U79">
        <v>18</v>
      </c>
      <c r="V79">
        <v>835.8</v>
      </c>
      <c r="W79">
        <v>15044.4</v>
      </c>
    </row>
    <row r="80" spans="1:23">
      <c r="A80" s="19">
        <v>44956</v>
      </c>
      <c r="B80" t="s">
        <v>1256</v>
      </c>
      <c r="C80" t="s">
        <v>1246</v>
      </c>
      <c r="D80" t="s">
        <v>1230</v>
      </c>
      <c r="E80" t="s">
        <v>1229</v>
      </c>
      <c r="F80" t="s">
        <v>1249</v>
      </c>
      <c r="G80" t="s">
        <v>1268</v>
      </c>
      <c r="H80" s="10">
        <v>10</v>
      </c>
      <c r="I80" s="10">
        <v>4939.99</v>
      </c>
      <c r="J80" s="10">
        <v>49399.9</v>
      </c>
      <c r="K80" s="10"/>
      <c r="N80" s="18">
        <v>45149</v>
      </c>
      <c r="O80" t="str">
        <v>Riya</v>
      </c>
      <c r="P80" t="str">
        <v>New Delhi</v>
      </c>
      <c r="Q80" t="str">
        <v>Delhi</v>
      </c>
      <c r="R80" t="str">
        <v>North</v>
      </c>
      <c r="S80" t="str">
        <v>Electronics</v>
      </c>
      <c r="T80" t="str">
        <v>Smartphone</v>
      </c>
      <c r="U80">
        <v>7</v>
      </c>
      <c r="V80">
        <v>2187.71</v>
      </c>
      <c r="W80">
        <v>15313.97</v>
      </c>
    </row>
    <row r="81" spans="1:23">
      <c r="A81" s="19">
        <v>44956</v>
      </c>
      <c r="B81" t="s">
        <v>1256</v>
      </c>
      <c r="C81" t="s">
        <v>1233</v>
      </c>
      <c r="D81" t="s">
        <v>1232</v>
      </c>
      <c r="E81" t="s">
        <v>1231</v>
      </c>
      <c r="F81" t="s">
        <v>132</v>
      </c>
      <c r="G81" t="s">
        <v>1277</v>
      </c>
      <c r="H81" s="10">
        <v>18</v>
      </c>
      <c r="I81" s="10">
        <v>620.92999999999995</v>
      </c>
      <c r="J81" s="10">
        <v>11176.74</v>
      </c>
      <c r="K81" s="10"/>
      <c r="N81" s="18">
        <v>45157</v>
      </c>
      <c r="O81" t="str">
        <v>Aryan</v>
      </c>
      <c r="P81" t="str">
        <v>Karol Bagh</v>
      </c>
      <c r="Q81" t="str">
        <v>Delhi</v>
      </c>
      <c r="R81" t="str">
        <v>North</v>
      </c>
      <c r="S81" t="str">
        <v>Furniture</v>
      </c>
      <c r="T81" t="str">
        <v>Table</v>
      </c>
      <c r="U81">
        <v>9</v>
      </c>
      <c r="V81">
        <v>1720.47</v>
      </c>
      <c r="W81">
        <v>15484.23</v>
      </c>
    </row>
    <row r="82" spans="1:23">
      <c r="A82" s="19">
        <v>44956</v>
      </c>
      <c r="B82" t="s">
        <v>1252</v>
      </c>
      <c r="C82" t="s">
        <v>1236</v>
      </c>
      <c r="D82" t="s">
        <v>1235</v>
      </c>
      <c r="E82" t="s">
        <v>1231</v>
      </c>
      <c r="F82" t="s">
        <v>120</v>
      </c>
      <c r="G82" t="s">
        <v>1275</v>
      </c>
      <c r="H82" s="10">
        <v>14</v>
      </c>
      <c r="I82" s="10">
        <v>2535.08</v>
      </c>
      <c r="J82" s="10">
        <v>35491.120000000003</v>
      </c>
      <c r="K82" s="10"/>
      <c r="N82" s="18">
        <v>45051</v>
      </c>
      <c r="O82" t="str">
        <v>Aditi</v>
      </c>
      <c r="P82" t="str">
        <v>Karol Bagh</v>
      </c>
      <c r="Q82" t="str">
        <v>Delhi</v>
      </c>
      <c r="R82" t="str">
        <v>North</v>
      </c>
      <c r="S82" t="str">
        <v>Stationery</v>
      </c>
      <c r="T82" t="str">
        <v>Pen</v>
      </c>
      <c r="U82">
        <v>16</v>
      </c>
      <c r="V82">
        <v>981</v>
      </c>
      <c r="W82">
        <v>15696</v>
      </c>
    </row>
    <row r="83" spans="1:23">
      <c r="A83" s="19">
        <v>44957</v>
      </c>
      <c r="B83" t="s">
        <v>1265</v>
      </c>
      <c r="C83" t="s">
        <v>1236</v>
      </c>
      <c r="D83" t="s">
        <v>1235</v>
      </c>
      <c r="E83" t="s">
        <v>1231</v>
      </c>
      <c r="F83" t="s">
        <v>1249</v>
      </c>
      <c r="G83" t="s">
        <v>1272</v>
      </c>
      <c r="H83" s="10">
        <v>5</v>
      </c>
      <c r="I83" s="10">
        <v>417.76</v>
      </c>
      <c r="J83" s="10">
        <v>2088.8000000000002</v>
      </c>
      <c r="K83" s="10"/>
      <c r="N83" s="18">
        <v>45034</v>
      </c>
      <c r="O83" t="str">
        <v>Aarav</v>
      </c>
      <c r="P83" t="str">
        <v>Dwarka</v>
      </c>
      <c r="Q83" t="str">
        <v>Delhi</v>
      </c>
      <c r="R83" t="str">
        <v>North</v>
      </c>
      <c r="S83" t="str">
        <v>Groceries</v>
      </c>
      <c r="T83" t="str">
        <v>Lentils</v>
      </c>
      <c r="U83">
        <v>5</v>
      </c>
      <c r="V83">
        <v>3199.14</v>
      </c>
      <c r="W83">
        <v>15995.7</v>
      </c>
    </row>
    <row r="84" spans="1:23">
      <c r="A84" s="19">
        <v>44957</v>
      </c>
      <c r="B84" t="s">
        <v>1260</v>
      </c>
      <c r="C84" t="s">
        <v>1234</v>
      </c>
      <c r="D84" t="s">
        <v>1232</v>
      </c>
      <c r="E84" t="s">
        <v>1231</v>
      </c>
      <c r="F84" t="s">
        <v>132</v>
      </c>
      <c r="G84" t="s">
        <v>1277</v>
      </c>
      <c r="H84" s="10">
        <v>8</v>
      </c>
      <c r="I84" s="10">
        <v>3402.24</v>
      </c>
      <c r="J84" s="10">
        <v>27217.919999999998</v>
      </c>
      <c r="K84" s="10"/>
      <c r="N84" s="18">
        <v>45181</v>
      </c>
      <c r="O84" t="str">
        <v>Meera</v>
      </c>
      <c r="P84" t="str">
        <v>Karol Bagh</v>
      </c>
      <c r="Q84" t="str">
        <v>Delhi</v>
      </c>
      <c r="R84" t="str">
        <v>North</v>
      </c>
      <c r="S84" t="str">
        <v>Furniture</v>
      </c>
      <c r="T84" t="str">
        <v>Table</v>
      </c>
      <c r="U84">
        <v>7</v>
      </c>
      <c r="V84">
        <v>2286.4</v>
      </c>
      <c r="W84">
        <v>16004.8</v>
      </c>
    </row>
    <row r="85" spans="1:23">
      <c r="A85" s="19">
        <v>44958</v>
      </c>
      <c r="B85" t="s">
        <v>1258</v>
      </c>
      <c r="C85" t="s">
        <v>1248</v>
      </c>
      <c r="D85" t="s">
        <v>1230</v>
      </c>
      <c r="E85" t="s">
        <v>1229</v>
      </c>
      <c r="F85" t="s">
        <v>128</v>
      </c>
      <c r="G85" t="s">
        <v>1257</v>
      </c>
      <c r="H85" s="10">
        <v>17</v>
      </c>
      <c r="I85" s="10">
        <v>4247.5600000000004</v>
      </c>
      <c r="J85" s="10">
        <v>72208.52</v>
      </c>
      <c r="K85" s="10"/>
      <c r="N85" s="18">
        <v>44985</v>
      </c>
      <c r="O85" t="str">
        <v>Aarav</v>
      </c>
      <c r="P85" t="str">
        <v>New Delhi</v>
      </c>
      <c r="Q85" t="str">
        <v>Delhi</v>
      </c>
      <c r="R85" t="str">
        <v>North</v>
      </c>
      <c r="S85" t="str">
        <v>Groceries</v>
      </c>
      <c r="T85" t="str">
        <v>Lentils</v>
      </c>
      <c r="U85">
        <v>13</v>
      </c>
      <c r="V85">
        <v>1246.1400000000001</v>
      </c>
      <c r="W85">
        <v>16199.82</v>
      </c>
    </row>
    <row r="86" spans="1:23">
      <c r="A86" s="19">
        <v>44958</v>
      </c>
      <c r="B86" t="s">
        <v>1256</v>
      </c>
      <c r="C86" t="s">
        <v>1245</v>
      </c>
      <c r="D86" t="s">
        <v>1243</v>
      </c>
      <c r="E86" t="s">
        <v>1242</v>
      </c>
      <c r="F86" t="s">
        <v>132</v>
      </c>
      <c r="G86" t="s">
        <v>1271</v>
      </c>
      <c r="H86" s="10">
        <v>16</v>
      </c>
      <c r="I86" s="10">
        <v>3320.8</v>
      </c>
      <c r="J86" s="10">
        <v>53132.800000000003</v>
      </c>
      <c r="K86" s="10"/>
      <c r="N86" s="18">
        <v>45261</v>
      </c>
      <c r="O86" t="str">
        <v>Aarav</v>
      </c>
      <c r="P86" t="str">
        <v>New Delhi</v>
      </c>
      <c r="Q86" t="str">
        <v>Delhi</v>
      </c>
      <c r="R86" t="str">
        <v>North</v>
      </c>
      <c r="S86" t="str">
        <v>Electronics</v>
      </c>
      <c r="T86" t="str">
        <v>Headphones</v>
      </c>
      <c r="U86">
        <v>5</v>
      </c>
      <c r="V86">
        <v>3289.83</v>
      </c>
      <c r="W86">
        <v>16449.150000000001</v>
      </c>
    </row>
    <row r="87" spans="1:23">
      <c r="A87" s="19">
        <v>44959</v>
      </c>
      <c r="B87" t="s">
        <v>1267</v>
      </c>
      <c r="C87" t="s">
        <v>1241</v>
      </c>
      <c r="D87" t="s">
        <v>1235</v>
      </c>
      <c r="E87" t="s">
        <v>1231</v>
      </c>
      <c r="F87" t="s">
        <v>145</v>
      </c>
      <c r="G87" t="s">
        <v>1255</v>
      </c>
      <c r="H87" s="10">
        <v>5</v>
      </c>
      <c r="I87" s="10">
        <v>3770.1</v>
      </c>
      <c r="J87" s="10">
        <v>18850.5</v>
      </c>
      <c r="K87" s="10"/>
      <c r="N87" s="18">
        <v>45076</v>
      </c>
      <c r="O87" t="str">
        <v>Ishita</v>
      </c>
      <c r="P87" t="str">
        <v>Dwarka</v>
      </c>
      <c r="Q87" t="str">
        <v>Delhi</v>
      </c>
      <c r="R87" t="str">
        <v>North</v>
      </c>
      <c r="S87" t="str">
        <v>Clothing</v>
      </c>
      <c r="T87" t="str">
        <v>Shirt</v>
      </c>
      <c r="U87">
        <v>5</v>
      </c>
      <c r="V87">
        <v>3395.71</v>
      </c>
      <c r="W87">
        <v>16978.55</v>
      </c>
    </row>
    <row r="88" spans="1:23">
      <c r="A88" s="19">
        <v>44960</v>
      </c>
      <c r="B88" t="s">
        <v>1265</v>
      </c>
      <c r="C88" t="s">
        <v>1240</v>
      </c>
      <c r="D88" t="s">
        <v>1232</v>
      </c>
      <c r="E88" t="s">
        <v>1231</v>
      </c>
      <c r="F88" t="s">
        <v>120</v>
      </c>
      <c r="G88" t="s">
        <v>1164</v>
      </c>
      <c r="H88" s="10">
        <v>20</v>
      </c>
      <c r="I88" s="10">
        <v>4397.46</v>
      </c>
      <c r="J88" s="10">
        <v>87949.2</v>
      </c>
      <c r="K88" s="10"/>
      <c r="N88" s="18">
        <v>45036</v>
      </c>
      <c r="O88" t="str">
        <v>Meera</v>
      </c>
      <c r="P88" t="str">
        <v>Dwarka</v>
      </c>
      <c r="Q88" t="str">
        <v>Delhi</v>
      </c>
      <c r="R88" t="str">
        <v>North</v>
      </c>
      <c r="S88" t="str">
        <v>Furniture</v>
      </c>
      <c r="T88" t="str">
        <v>Table</v>
      </c>
      <c r="U88">
        <v>17</v>
      </c>
      <c r="V88">
        <v>1005.44</v>
      </c>
      <c r="W88">
        <v>17092.48</v>
      </c>
    </row>
    <row r="89" spans="1:23">
      <c r="A89" s="19">
        <v>44960</v>
      </c>
      <c r="B89" t="s">
        <v>1269</v>
      </c>
      <c r="C89" t="s">
        <v>1234</v>
      </c>
      <c r="D89" t="s">
        <v>1232</v>
      </c>
      <c r="E89" t="s">
        <v>1231</v>
      </c>
      <c r="F89" t="s">
        <v>1249</v>
      </c>
      <c r="G89" t="s">
        <v>1259</v>
      </c>
      <c r="H89" s="10">
        <v>16</v>
      </c>
      <c r="I89" s="10">
        <v>827.8</v>
      </c>
      <c r="J89" s="10">
        <v>13244.8</v>
      </c>
      <c r="K89" s="10"/>
      <c r="N89" s="18">
        <v>45128</v>
      </c>
      <c r="O89" t="str">
        <v>Aditi</v>
      </c>
      <c r="P89" t="str">
        <v>Karol Bagh</v>
      </c>
      <c r="Q89" t="str">
        <v>Delhi</v>
      </c>
      <c r="R89" t="str">
        <v>North</v>
      </c>
      <c r="S89" t="str">
        <v>Clothing</v>
      </c>
      <c r="T89" t="str">
        <v>Pants</v>
      </c>
      <c r="U89">
        <v>4</v>
      </c>
      <c r="V89">
        <v>4373.75</v>
      </c>
      <c r="W89">
        <v>17495</v>
      </c>
    </row>
    <row r="90" spans="1:23">
      <c r="A90" s="19">
        <v>44960</v>
      </c>
      <c r="B90" t="s">
        <v>1265</v>
      </c>
      <c r="C90" t="s">
        <v>1245</v>
      </c>
      <c r="D90" t="s">
        <v>1243</v>
      </c>
      <c r="E90" t="s">
        <v>1242</v>
      </c>
      <c r="F90" t="s">
        <v>120</v>
      </c>
      <c r="G90" t="s">
        <v>1275</v>
      </c>
      <c r="H90" s="10">
        <v>12</v>
      </c>
      <c r="I90" s="10">
        <v>3696.43</v>
      </c>
      <c r="J90" s="10">
        <v>44357.16</v>
      </c>
      <c r="K90" s="10"/>
      <c r="N90" s="18">
        <v>45105</v>
      </c>
      <c r="O90" t="str">
        <v>Riya</v>
      </c>
      <c r="P90" t="str">
        <v>Dwarka</v>
      </c>
      <c r="Q90" t="str">
        <v>Delhi</v>
      </c>
      <c r="R90" t="str">
        <v>North</v>
      </c>
      <c r="S90" t="str">
        <v>Stationery</v>
      </c>
      <c r="T90" t="str">
        <v>Pen</v>
      </c>
      <c r="U90">
        <v>13</v>
      </c>
      <c r="V90">
        <v>1367.15</v>
      </c>
      <c r="W90">
        <v>17772.95</v>
      </c>
    </row>
    <row r="91" spans="1:23">
      <c r="A91" s="19">
        <v>44961</v>
      </c>
      <c r="B91" t="s">
        <v>1265</v>
      </c>
      <c r="C91" t="s">
        <v>1233</v>
      </c>
      <c r="D91" t="s">
        <v>1232</v>
      </c>
      <c r="E91" t="s">
        <v>1231</v>
      </c>
      <c r="F91" t="s">
        <v>120</v>
      </c>
      <c r="G91" t="s">
        <v>1276</v>
      </c>
      <c r="H91" s="10">
        <v>7</v>
      </c>
      <c r="I91" s="10">
        <v>4988.71</v>
      </c>
      <c r="J91" s="10">
        <v>34920.97</v>
      </c>
      <c r="K91" s="10"/>
      <c r="N91" s="18">
        <v>45258</v>
      </c>
      <c r="O91" t="str">
        <v>Riya</v>
      </c>
      <c r="P91" t="str">
        <v>Karol Bagh</v>
      </c>
      <c r="Q91" t="str">
        <v>Delhi</v>
      </c>
      <c r="R91" t="str">
        <v>North</v>
      </c>
      <c r="S91" t="str">
        <v>Electronics</v>
      </c>
      <c r="T91" t="str">
        <v>Smartphone</v>
      </c>
      <c r="U91">
        <v>5</v>
      </c>
      <c r="V91">
        <v>3572.02</v>
      </c>
      <c r="W91">
        <v>17860.099999999999</v>
      </c>
    </row>
    <row r="92" spans="1:23">
      <c r="A92" s="19">
        <v>44961</v>
      </c>
      <c r="B92" t="s">
        <v>1262</v>
      </c>
      <c r="C92" t="s">
        <v>1246</v>
      </c>
      <c r="D92" t="s">
        <v>1230</v>
      </c>
      <c r="E92" t="s">
        <v>1229</v>
      </c>
      <c r="F92" t="s">
        <v>132</v>
      </c>
      <c r="G92" t="s">
        <v>1253</v>
      </c>
      <c r="H92" s="10">
        <v>2</v>
      </c>
      <c r="I92" s="10">
        <v>1252.3</v>
      </c>
      <c r="J92" s="10">
        <v>2504.6</v>
      </c>
      <c r="K92" s="10"/>
      <c r="N92" s="18">
        <v>45257</v>
      </c>
      <c r="O92" t="str">
        <v>Aditi</v>
      </c>
      <c r="P92" t="str">
        <v>Dwarka</v>
      </c>
      <c r="Q92" t="str">
        <v>Delhi</v>
      </c>
      <c r="R92" t="str">
        <v>North</v>
      </c>
      <c r="S92" t="str">
        <v>Furniture</v>
      </c>
      <c r="T92" t="str">
        <v>Table</v>
      </c>
      <c r="U92">
        <v>4</v>
      </c>
      <c r="V92">
        <v>4553.5200000000004</v>
      </c>
      <c r="W92">
        <v>18214.080000000002</v>
      </c>
    </row>
    <row r="93" spans="1:23">
      <c r="A93" s="19">
        <v>44961</v>
      </c>
      <c r="B93" t="s">
        <v>1252</v>
      </c>
      <c r="C93" t="s">
        <v>1233</v>
      </c>
      <c r="D93" t="s">
        <v>1232</v>
      </c>
      <c r="E93" t="s">
        <v>1231</v>
      </c>
      <c r="F93" t="s">
        <v>145</v>
      </c>
      <c r="G93" t="s">
        <v>1278</v>
      </c>
      <c r="H93" s="10">
        <v>2</v>
      </c>
      <c r="I93" s="10">
        <v>4137.49</v>
      </c>
      <c r="J93" s="10">
        <v>8274.98</v>
      </c>
      <c r="K93" s="10"/>
      <c r="N93" s="18">
        <v>45129</v>
      </c>
      <c r="O93" t="str">
        <v>Kabir</v>
      </c>
      <c r="P93" t="str">
        <v>Karol Bagh</v>
      </c>
      <c r="Q93" t="str">
        <v>Delhi</v>
      </c>
      <c r="R93" t="str">
        <v>North</v>
      </c>
      <c r="S93" t="str">
        <v>Furniture</v>
      </c>
      <c r="T93" t="str">
        <v>Chair</v>
      </c>
      <c r="U93">
        <v>6</v>
      </c>
      <c r="V93">
        <v>3080.25</v>
      </c>
      <c r="W93">
        <v>18481.5</v>
      </c>
    </row>
    <row r="94" spans="1:23">
      <c r="A94" s="19">
        <v>44961</v>
      </c>
      <c r="B94" t="s">
        <v>1269</v>
      </c>
      <c r="C94" t="s">
        <v>1171</v>
      </c>
      <c r="D94" t="s">
        <v>1237</v>
      </c>
      <c r="E94" t="s">
        <v>1229</v>
      </c>
      <c r="F94" t="s">
        <v>128</v>
      </c>
      <c r="G94" t="s">
        <v>1264</v>
      </c>
      <c r="H94" s="10">
        <v>2</v>
      </c>
      <c r="I94" s="10">
        <v>2623.43</v>
      </c>
      <c r="J94" s="10">
        <v>5246.86</v>
      </c>
      <c r="K94" s="10"/>
      <c r="N94" s="18">
        <v>44930</v>
      </c>
      <c r="O94" t="str">
        <v>Kabir</v>
      </c>
      <c r="P94" t="str">
        <v>Dwarka</v>
      </c>
      <c r="Q94" t="str">
        <v>Delhi</v>
      </c>
      <c r="R94" t="str">
        <v>North</v>
      </c>
      <c r="S94" t="str">
        <v>Stationery</v>
      </c>
      <c r="T94" t="str">
        <v>Eraser</v>
      </c>
      <c r="U94">
        <v>18</v>
      </c>
      <c r="V94">
        <v>1042.99</v>
      </c>
      <c r="W94">
        <v>18773.82</v>
      </c>
    </row>
    <row r="95" spans="1:23">
      <c r="A95" s="19">
        <v>44962</v>
      </c>
      <c r="B95" t="s">
        <v>1263</v>
      </c>
      <c r="C95" t="s">
        <v>1240</v>
      </c>
      <c r="D95" t="s">
        <v>1232</v>
      </c>
      <c r="E95" t="s">
        <v>1231</v>
      </c>
      <c r="F95" t="s">
        <v>120</v>
      </c>
      <c r="G95" t="s">
        <v>1164</v>
      </c>
      <c r="H95" s="10">
        <v>10</v>
      </c>
      <c r="I95" s="10">
        <v>2515.54</v>
      </c>
      <c r="J95" s="10">
        <v>25155.4</v>
      </c>
      <c r="K95" s="10"/>
      <c r="N95" s="18">
        <v>45286</v>
      </c>
      <c r="O95" t="str">
        <v>Aarav</v>
      </c>
      <c r="P95" t="str">
        <v>New Delhi</v>
      </c>
      <c r="Q95" t="str">
        <v>Delhi</v>
      </c>
      <c r="R95" t="str">
        <v>North</v>
      </c>
      <c r="S95" t="str">
        <v>Clothing</v>
      </c>
      <c r="T95" t="str">
        <v>Pants</v>
      </c>
      <c r="U95">
        <v>16</v>
      </c>
      <c r="V95">
        <v>1236.8</v>
      </c>
      <c r="W95">
        <v>19788.8</v>
      </c>
    </row>
    <row r="96" spans="1:23">
      <c r="A96" s="19">
        <v>44962</v>
      </c>
      <c r="B96" t="s">
        <v>1269</v>
      </c>
      <c r="C96" t="s">
        <v>1234</v>
      </c>
      <c r="D96" t="s">
        <v>1232</v>
      </c>
      <c r="E96" t="s">
        <v>1231</v>
      </c>
      <c r="F96" t="s">
        <v>132</v>
      </c>
      <c r="G96" t="s">
        <v>1277</v>
      </c>
      <c r="H96" s="10">
        <v>15</v>
      </c>
      <c r="I96" s="10">
        <v>4748.62</v>
      </c>
      <c r="J96" s="10">
        <v>71229.3</v>
      </c>
      <c r="K96" s="10"/>
      <c r="N96" s="18">
        <v>45116</v>
      </c>
      <c r="O96" t="str">
        <v>Nishant</v>
      </c>
      <c r="P96" t="str">
        <v>Dwarka</v>
      </c>
      <c r="Q96" t="str">
        <v>Delhi</v>
      </c>
      <c r="R96" t="str">
        <v>North</v>
      </c>
      <c r="S96" t="str">
        <v>Stationery</v>
      </c>
      <c r="T96" t="str">
        <v>Eraser</v>
      </c>
      <c r="U96">
        <v>7</v>
      </c>
      <c r="V96">
        <v>2861.67</v>
      </c>
      <c r="W96">
        <v>20031.689999999999</v>
      </c>
    </row>
    <row r="97" spans="1:23">
      <c r="A97" s="19">
        <v>44962</v>
      </c>
      <c r="B97" t="s">
        <v>1252</v>
      </c>
      <c r="C97" t="s">
        <v>1244</v>
      </c>
      <c r="D97" t="s">
        <v>1243</v>
      </c>
      <c r="E97" t="s">
        <v>1242</v>
      </c>
      <c r="F97" t="s">
        <v>132</v>
      </c>
      <c r="G97" t="s">
        <v>1253</v>
      </c>
      <c r="H97" s="10">
        <v>13</v>
      </c>
      <c r="I97" s="10">
        <v>2098.65</v>
      </c>
      <c r="J97" s="10">
        <v>27282.45</v>
      </c>
      <c r="K97" s="10"/>
      <c r="N97" s="18">
        <v>45091</v>
      </c>
      <c r="O97" t="str">
        <v>Kabir</v>
      </c>
      <c r="P97" t="str">
        <v>Dwarka</v>
      </c>
      <c r="Q97" t="str">
        <v>Delhi</v>
      </c>
      <c r="R97" t="str">
        <v>North</v>
      </c>
      <c r="S97" t="str">
        <v>Electronics</v>
      </c>
      <c r="T97" t="str">
        <v>Smartphone</v>
      </c>
      <c r="U97">
        <v>19</v>
      </c>
      <c r="V97">
        <v>1067.94</v>
      </c>
      <c r="W97">
        <v>20290.86</v>
      </c>
    </row>
    <row r="98" spans="1:23">
      <c r="A98" s="19">
        <v>44963</v>
      </c>
      <c r="B98" t="s">
        <v>1263</v>
      </c>
      <c r="C98" t="s">
        <v>1241</v>
      </c>
      <c r="D98" t="s">
        <v>1235</v>
      </c>
      <c r="E98" t="s">
        <v>1231</v>
      </c>
      <c r="F98" t="s">
        <v>128</v>
      </c>
      <c r="G98" t="s">
        <v>1266</v>
      </c>
      <c r="H98" s="10">
        <v>3</v>
      </c>
      <c r="I98" s="10">
        <v>2263.4699999999998</v>
      </c>
      <c r="J98" s="10">
        <v>6790.41</v>
      </c>
      <c r="K98" s="10"/>
      <c r="N98" s="18">
        <v>45228</v>
      </c>
      <c r="O98" t="str">
        <v>Kabir</v>
      </c>
      <c r="P98" t="str">
        <v>Dwarka</v>
      </c>
      <c r="Q98" t="str">
        <v>Delhi</v>
      </c>
      <c r="R98" t="str">
        <v>North</v>
      </c>
      <c r="S98" t="str">
        <v>Stationery</v>
      </c>
      <c r="T98" t="str">
        <v>Ruler</v>
      </c>
      <c r="U98">
        <v>9</v>
      </c>
      <c r="V98">
        <v>2304.23</v>
      </c>
      <c r="W98">
        <v>20738.07</v>
      </c>
    </row>
    <row r="99" spans="1:23">
      <c r="A99" s="19">
        <v>44963</v>
      </c>
      <c r="B99" t="s">
        <v>1269</v>
      </c>
      <c r="C99" t="s">
        <v>1234</v>
      </c>
      <c r="D99" t="s">
        <v>1232</v>
      </c>
      <c r="E99" t="s">
        <v>1231</v>
      </c>
      <c r="F99" t="s">
        <v>132</v>
      </c>
      <c r="G99" t="s">
        <v>1277</v>
      </c>
      <c r="H99" s="10">
        <v>10</v>
      </c>
      <c r="I99" s="10">
        <v>1229.56</v>
      </c>
      <c r="J99" s="10">
        <v>12295.6</v>
      </c>
      <c r="K99" s="10"/>
      <c r="N99" s="18">
        <v>44965</v>
      </c>
      <c r="O99" t="str">
        <v>Aditi</v>
      </c>
      <c r="P99" t="str">
        <v>New Delhi</v>
      </c>
      <c r="Q99" t="str">
        <v>Delhi</v>
      </c>
      <c r="R99" t="str">
        <v>North</v>
      </c>
      <c r="S99" t="str">
        <v>Electronics</v>
      </c>
      <c r="T99" t="str">
        <v>Laptop</v>
      </c>
      <c r="U99">
        <v>17</v>
      </c>
      <c r="V99">
        <v>1248.03</v>
      </c>
      <c r="W99">
        <v>21216.51</v>
      </c>
    </row>
    <row r="100" spans="1:23">
      <c r="A100" s="19">
        <v>44963</v>
      </c>
      <c r="B100" t="s">
        <v>1267</v>
      </c>
      <c r="C100" t="s">
        <v>1240</v>
      </c>
      <c r="D100" t="s">
        <v>1232</v>
      </c>
      <c r="E100" t="s">
        <v>1231</v>
      </c>
      <c r="F100" t="s">
        <v>128</v>
      </c>
      <c r="G100" t="s">
        <v>1264</v>
      </c>
      <c r="H100" s="10">
        <v>13</v>
      </c>
      <c r="I100" s="10">
        <v>739.6</v>
      </c>
      <c r="J100" s="10">
        <v>9614.7999999999993</v>
      </c>
      <c r="K100" s="10"/>
      <c r="N100" s="18">
        <v>44964</v>
      </c>
      <c r="O100" t="str">
        <v>Ishita</v>
      </c>
      <c r="P100" t="str">
        <v>New Delhi</v>
      </c>
      <c r="Q100" t="str">
        <v>Delhi</v>
      </c>
      <c r="R100" t="str">
        <v>North</v>
      </c>
      <c r="S100" t="str">
        <v>Clothing</v>
      </c>
      <c r="T100" t="str">
        <v>Jacket</v>
      </c>
      <c r="U100">
        <v>12</v>
      </c>
      <c r="V100">
        <v>1819.46</v>
      </c>
      <c r="W100">
        <v>21833.52</v>
      </c>
    </row>
    <row r="101" spans="1:23">
      <c r="A101" s="19">
        <v>44963</v>
      </c>
      <c r="B101" t="s">
        <v>1265</v>
      </c>
      <c r="C101" t="s">
        <v>1245</v>
      </c>
      <c r="D101" t="s">
        <v>1243</v>
      </c>
      <c r="E101" t="s">
        <v>1242</v>
      </c>
      <c r="F101" t="s">
        <v>120</v>
      </c>
      <c r="G101" t="s">
        <v>1276</v>
      </c>
      <c r="H101" s="10">
        <v>7</v>
      </c>
      <c r="I101" s="10">
        <v>1420.32</v>
      </c>
      <c r="J101" s="10">
        <v>9942.24</v>
      </c>
      <c r="K101" s="10"/>
      <c r="N101" s="18">
        <v>45025</v>
      </c>
      <c r="O101" t="str">
        <v>Meera</v>
      </c>
      <c r="P101" t="str">
        <v>Dwarka</v>
      </c>
      <c r="Q101" t="str">
        <v>Delhi</v>
      </c>
      <c r="R101" t="str">
        <v>North</v>
      </c>
      <c r="S101" t="str">
        <v>Furniture</v>
      </c>
      <c r="T101" t="str">
        <v>Chair</v>
      </c>
      <c r="U101">
        <v>7</v>
      </c>
      <c r="V101">
        <v>3273.61</v>
      </c>
      <c r="W101">
        <v>22915.27</v>
      </c>
    </row>
    <row r="102" spans="1:23">
      <c r="A102" s="19">
        <v>44963</v>
      </c>
      <c r="B102" t="s">
        <v>1256</v>
      </c>
      <c r="C102" t="s">
        <v>1236</v>
      </c>
      <c r="D102" t="s">
        <v>1235</v>
      </c>
      <c r="E102" t="s">
        <v>1231</v>
      </c>
      <c r="F102" t="s">
        <v>128</v>
      </c>
      <c r="G102" t="s">
        <v>1257</v>
      </c>
      <c r="H102" s="10">
        <v>18</v>
      </c>
      <c r="I102" s="10">
        <v>941.19</v>
      </c>
      <c r="J102" s="10">
        <v>16941.419999999998</v>
      </c>
      <c r="K102" s="10"/>
      <c r="N102" s="18">
        <v>45229</v>
      </c>
      <c r="O102" t="str">
        <v>Kabir</v>
      </c>
      <c r="P102" t="str">
        <v>Dwarka</v>
      </c>
      <c r="Q102" t="str">
        <v>Delhi</v>
      </c>
      <c r="R102" t="str">
        <v>North</v>
      </c>
      <c r="S102" t="str">
        <v>Stationery</v>
      </c>
      <c r="T102" t="str">
        <v>Ruler</v>
      </c>
      <c r="U102">
        <v>13</v>
      </c>
      <c r="V102">
        <v>1782.01</v>
      </c>
      <c r="W102">
        <v>23166.13</v>
      </c>
    </row>
    <row r="103" spans="1:23">
      <c r="A103" s="19">
        <v>44963</v>
      </c>
      <c r="B103" t="s">
        <v>1252</v>
      </c>
      <c r="C103" t="s">
        <v>1239</v>
      </c>
      <c r="D103" t="s">
        <v>1237</v>
      </c>
      <c r="E103" t="s">
        <v>1229</v>
      </c>
      <c r="F103" t="s">
        <v>120</v>
      </c>
      <c r="G103" t="s">
        <v>1165</v>
      </c>
      <c r="H103" s="10">
        <v>12</v>
      </c>
      <c r="I103" s="10">
        <v>1410.03</v>
      </c>
      <c r="J103" s="10">
        <v>16920.36</v>
      </c>
      <c r="K103" s="10"/>
      <c r="N103" s="18">
        <v>45151</v>
      </c>
      <c r="O103" t="str">
        <v>Ishita</v>
      </c>
      <c r="P103" t="str">
        <v>New Delhi</v>
      </c>
      <c r="Q103" t="str">
        <v>Delhi</v>
      </c>
      <c r="R103" t="str">
        <v>North</v>
      </c>
      <c r="S103" t="str">
        <v>Electronics</v>
      </c>
      <c r="T103" t="str">
        <v>Headphones</v>
      </c>
      <c r="U103">
        <v>11</v>
      </c>
      <c r="V103">
        <v>2133.36</v>
      </c>
      <c r="W103">
        <v>23466.959999999999</v>
      </c>
    </row>
    <row r="104" spans="1:23">
      <c r="A104" s="19">
        <v>44964</v>
      </c>
      <c r="B104" t="s">
        <v>1258</v>
      </c>
      <c r="C104" t="s">
        <v>1238</v>
      </c>
      <c r="D104" t="s">
        <v>1235</v>
      </c>
      <c r="E104" t="s">
        <v>1231</v>
      </c>
      <c r="F104" t="s">
        <v>132</v>
      </c>
      <c r="G104" t="s">
        <v>1279</v>
      </c>
      <c r="H104" s="10">
        <v>19</v>
      </c>
      <c r="I104" s="10">
        <v>2880.28</v>
      </c>
      <c r="J104" s="10">
        <v>54725.32</v>
      </c>
      <c r="K104" s="10"/>
      <c r="N104" s="18">
        <v>45258</v>
      </c>
      <c r="O104" t="str">
        <v>Aarav</v>
      </c>
      <c r="P104" t="str">
        <v>Dwarka</v>
      </c>
      <c r="Q104" t="str">
        <v>Delhi</v>
      </c>
      <c r="R104" t="str">
        <v>North</v>
      </c>
      <c r="S104" t="str">
        <v>Clothing</v>
      </c>
      <c r="T104" t="str">
        <v>Shirt</v>
      </c>
      <c r="U104">
        <v>12</v>
      </c>
      <c r="V104">
        <v>1958.77</v>
      </c>
      <c r="W104">
        <v>23505.24</v>
      </c>
    </row>
    <row r="105" spans="1:23">
      <c r="A105" s="19">
        <v>44964</v>
      </c>
      <c r="B105" t="s">
        <v>1262</v>
      </c>
      <c r="C105" t="s">
        <v>1238</v>
      </c>
      <c r="D105" t="s">
        <v>1235</v>
      </c>
      <c r="E105" t="s">
        <v>1231</v>
      </c>
      <c r="F105" t="s">
        <v>120</v>
      </c>
      <c r="G105" t="s">
        <v>1276</v>
      </c>
      <c r="H105" s="10">
        <v>6</v>
      </c>
      <c r="I105" s="10">
        <v>1246.5899999999999</v>
      </c>
      <c r="J105" s="10">
        <v>7479.54</v>
      </c>
      <c r="K105" s="10"/>
      <c r="N105" s="18">
        <v>44993</v>
      </c>
      <c r="O105" t="str">
        <v>Aryan</v>
      </c>
      <c r="P105" t="str">
        <v>Karol Bagh</v>
      </c>
      <c r="Q105" t="str">
        <v>Delhi</v>
      </c>
      <c r="R105" t="str">
        <v>North</v>
      </c>
      <c r="S105" t="str">
        <v>Groceries</v>
      </c>
      <c r="T105" t="str">
        <v>Sugar</v>
      </c>
      <c r="U105">
        <v>6</v>
      </c>
      <c r="V105">
        <v>3918.07</v>
      </c>
      <c r="W105">
        <v>23508.42</v>
      </c>
    </row>
    <row r="106" spans="1:23">
      <c r="A106" s="19">
        <v>44964</v>
      </c>
      <c r="B106" t="s">
        <v>1252</v>
      </c>
      <c r="C106" t="s">
        <v>1234</v>
      </c>
      <c r="D106" t="s">
        <v>1232</v>
      </c>
      <c r="E106" t="s">
        <v>1231</v>
      </c>
      <c r="F106" t="s">
        <v>128</v>
      </c>
      <c r="G106" t="s">
        <v>1273</v>
      </c>
      <c r="H106" s="10">
        <v>11</v>
      </c>
      <c r="I106" s="10">
        <v>2471.65</v>
      </c>
      <c r="J106" s="10">
        <v>27188.15</v>
      </c>
      <c r="K106" s="10"/>
      <c r="N106" s="18">
        <v>45059</v>
      </c>
      <c r="O106" t="str">
        <v>Meera</v>
      </c>
      <c r="P106" t="str">
        <v>New Delhi</v>
      </c>
      <c r="Q106" t="str">
        <v>Delhi</v>
      </c>
      <c r="R106" t="str">
        <v>North</v>
      </c>
      <c r="S106" t="str">
        <v>Stationery</v>
      </c>
      <c r="T106" t="str">
        <v>Pen</v>
      </c>
      <c r="U106">
        <v>20</v>
      </c>
      <c r="V106">
        <v>1176.4000000000001</v>
      </c>
      <c r="W106">
        <v>23528</v>
      </c>
    </row>
    <row r="107" spans="1:23">
      <c r="A107" s="19">
        <v>44964</v>
      </c>
      <c r="B107" t="s">
        <v>1256</v>
      </c>
      <c r="C107" t="s">
        <v>1169</v>
      </c>
      <c r="D107" t="s">
        <v>1230</v>
      </c>
      <c r="E107" t="s">
        <v>1229</v>
      </c>
      <c r="F107" t="s">
        <v>128</v>
      </c>
      <c r="G107" t="s">
        <v>1257</v>
      </c>
      <c r="H107" s="10">
        <v>20</v>
      </c>
      <c r="I107" s="10">
        <v>2302.4699999999998</v>
      </c>
      <c r="J107" s="10">
        <v>46049.4</v>
      </c>
      <c r="K107" s="10"/>
      <c r="N107" s="18">
        <v>45258</v>
      </c>
      <c r="O107" t="str">
        <v>Aarav</v>
      </c>
      <c r="P107" t="str">
        <v>Dwarka</v>
      </c>
      <c r="Q107" t="str">
        <v>Delhi</v>
      </c>
      <c r="R107" t="str">
        <v>North</v>
      </c>
      <c r="S107" t="str">
        <v>Clothing</v>
      </c>
      <c r="T107" t="str">
        <v>Shirt</v>
      </c>
      <c r="U107">
        <v>9</v>
      </c>
      <c r="V107">
        <v>2634.14</v>
      </c>
      <c r="W107">
        <v>23707.26</v>
      </c>
    </row>
    <row r="108" spans="1:23">
      <c r="A108" s="19">
        <v>44964</v>
      </c>
      <c r="B108" t="s">
        <v>1265</v>
      </c>
      <c r="C108" t="s">
        <v>1238</v>
      </c>
      <c r="D108" t="s">
        <v>1235</v>
      </c>
      <c r="E108" t="s">
        <v>1231</v>
      </c>
      <c r="F108" t="s">
        <v>145</v>
      </c>
      <c r="G108" t="s">
        <v>1261</v>
      </c>
      <c r="H108" s="10">
        <v>7</v>
      </c>
      <c r="I108" s="10">
        <v>3396.62</v>
      </c>
      <c r="J108" s="10">
        <v>23776.34</v>
      </c>
      <c r="K108" s="10"/>
      <c r="N108" s="18">
        <v>45062</v>
      </c>
      <c r="O108" t="str">
        <v>Nishant</v>
      </c>
      <c r="P108" t="str">
        <v>Dwarka</v>
      </c>
      <c r="Q108" t="str">
        <v>Delhi</v>
      </c>
      <c r="R108" t="str">
        <v>North</v>
      </c>
      <c r="S108" t="str">
        <v>Clothing</v>
      </c>
      <c r="T108" t="str">
        <v>Dress</v>
      </c>
      <c r="U108">
        <v>11</v>
      </c>
      <c r="V108">
        <v>2212.9</v>
      </c>
      <c r="W108">
        <v>24341.9</v>
      </c>
    </row>
    <row r="109" spans="1:23">
      <c r="A109" s="19">
        <v>44964</v>
      </c>
      <c r="B109" t="s">
        <v>1263</v>
      </c>
      <c r="C109" t="s">
        <v>1236</v>
      </c>
      <c r="D109" t="s">
        <v>1235</v>
      </c>
      <c r="E109" t="s">
        <v>1231</v>
      </c>
      <c r="F109" t="s">
        <v>132</v>
      </c>
      <c r="G109" t="s">
        <v>1279</v>
      </c>
      <c r="H109" s="10">
        <v>9</v>
      </c>
      <c r="I109" s="10">
        <v>3425.59</v>
      </c>
      <c r="J109" s="10">
        <v>30830.31</v>
      </c>
      <c r="K109" s="10"/>
      <c r="N109" s="18">
        <v>45159</v>
      </c>
      <c r="O109" t="str">
        <v>Aryan</v>
      </c>
      <c r="P109" t="str">
        <v>New Delhi</v>
      </c>
      <c r="Q109" t="str">
        <v>Delhi</v>
      </c>
      <c r="R109" t="str">
        <v>North</v>
      </c>
      <c r="S109" t="str">
        <v>Electronics</v>
      </c>
      <c r="T109" t="str">
        <v>Smartphone</v>
      </c>
      <c r="U109">
        <v>7</v>
      </c>
      <c r="V109">
        <v>3481</v>
      </c>
      <c r="W109">
        <v>24367</v>
      </c>
    </row>
    <row r="110" spans="1:23">
      <c r="A110" s="19">
        <v>44964</v>
      </c>
      <c r="B110" t="s">
        <v>1260</v>
      </c>
      <c r="C110" t="s">
        <v>1245</v>
      </c>
      <c r="D110" t="s">
        <v>1243</v>
      </c>
      <c r="E110" t="s">
        <v>1242</v>
      </c>
      <c r="F110" t="s">
        <v>128</v>
      </c>
      <c r="G110" t="s">
        <v>1273</v>
      </c>
      <c r="H110" s="10">
        <v>12</v>
      </c>
      <c r="I110" s="10">
        <v>1819.46</v>
      </c>
      <c r="J110" s="10">
        <v>21833.52</v>
      </c>
      <c r="K110" s="10"/>
      <c r="N110" s="18">
        <v>45192</v>
      </c>
      <c r="O110" t="str">
        <v>Ananya</v>
      </c>
      <c r="P110" t="str">
        <v>New Delhi</v>
      </c>
      <c r="Q110" t="str">
        <v>Delhi</v>
      </c>
      <c r="R110" t="str">
        <v>North</v>
      </c>
      <c r="S110" t="str">
        <v>Furniture</v>
      </c>
      <c r="T110" t="str">
        <v>Chair</v>
      </c>
      <c r="U110">
        <v>6</v>
      </c>
      <c r="V110">
        <v>4109.0200000000004</v>
      </c>
      <c r="W110">
        <v>24654.12</v>
      </c>
    </row>
    <row r="111" spans="1:23">
      <c r="A111" s="19">
        <v>44965</v>
      </c>
      <c r="B111" t="s">
        <v>1256</v>
      </c>
      <c r="C111" t="s">
        <v>1241</v>
      </c>
      <c r="D111" t="s">
        <v>1235</v>
      </c>
      <c r="E111" t="s">
        <v>1231</v>
      </c>
      <c r="F111" t="s">
        <v>132</v>
      </c>
      <c r="G111" t="s">
        <v>1253</v>
      </c>
      <c r="H111" s="10">
        <v>12</v>
      </c>
      <c r="I111" s="10">
        <v>3700.23</v>
      </c>
      <c r="J111" s="10">
        <v>44402.76</v>
      </c>
      <c r="K111" s="10"/>
      <c r="N111" s="18">
        <v>45138</v>
      </c>
      <c r="O111" t="str">
        <v>Ishita</v>
      </c>
      <c r="P111" t="str">
        <v>New Delhi</v>
      </c>
      <c r="Q111" t="str">
        <v>Delhi</v>
      </c>
      <c r="R111" t="str">
        <v>North</v>
      </c>
      <c r="S111" t="str">
        <v>Electronics</v>
      </c>
      <c r="T111" t="str">
        <v>Smartphone</v>
      </c>
      <c r="U111">
        <v>6</v>
      </c>
      <c r="V111">
        <v>4197.59</v>
      </c>
      <c r="W111">
        <v>25185.54</v>
      </c>
    </row>
    <row r="112" spans="1:23">
      <c r="A112" s="19">
        <v>44965</v>
      </c>
      <c r="B112" t="s">
        <v>1265</v>
      </c>
      <c r="C112" t="s">
        <v>1246</v>
      </c>
      <c r="D112" t="s">
        <v>1230</v>
      </c>
      <c r="E112" t="s">
        <v>1229</v>
      </c>
      <c r="F112" t="s">
        <v>145</v>
      </c>
      <c r="G112" t="s">
        <v>1261</v>
      </c>
      <c r="H112" s="10">
        <v>3</v>
      </c>
      <c r="I112" s="10">
        <v>2502.81</v>
      </c>
      <c r="J112" s="10">
        <v>7508.43</v>
      </c>
      <c r="K112" s="10"/>
      <c r="N112" s="18">
        <v>45095</v>
      </c>
      <c r="O112" t="str">
        <v>Ishita</v>
      </c>
      <c r="P112" t="str">
        <v>Karol Bagh</v>
      </c>
      <c r="Q112" t="str">
        <v>Delhi</v>
      </c>
      <c r="R112" t="str">
        <v>North</v>
      </c>
      <c r="S112" t="str">
        <v>Groceries</v>
      </c>
      <c r="T112" t="str">
        <v>Rice</v>
      </c>
      <c r="U112">
        <v>9</v>
      </c>
      <c r="V112">
        <v>2819.87</v>
      </c>
      <c r="W112">
        <v>25378.83</v>
      </c>
    </row>
    <row r="113" spans="1:23">
      <c r="A113" s="19">
        <v>44965</v>
      </c>
      <c r="B113" t="s">
        <v>1258</v>
      </c>
      <c r="C113" t="s">
        <v>1234</v>
      </c>
      <c r="D113" t="s">
        <v>1232</v>
      </c>
      <c r="E113" t="s">
        <v>1231</v>
      </c>
      <c r="F113" t="s">
        <v>128</v>
      </c>
      <c r="G113" t="s">
        <v>1273</v>
      </c>
      <c r="H113" s="10">
        <v>14</v>
      </c>
      <c r="I113" s="10">
        <v>2355.56</v>
      </c>
      <c r="J113" s="10">
        <v>32977.839999999997</v>
      </c>
      <c r="K113" s="10"/>
      <c r="N113" s="18">
        <v>45242</v>
      </c>
      <c r="O113" t="str">
        <v>Riya</v>
      </c>
      <c r="P113" t="str">
        <v>Karol Bagh</v>
      </c>
      <c r="Q113" t="str">
        <v>Delhi</v>
      </c>
      <c r="R113" t="str">
        <v>North</v>
      </c>
      <c r="S113" t="str">
        <v>Electronics</v>
      </c>
      <c r="T113" t="str">
        <v>Smartphone</v>
      </c>
      <c r="U113">
        <v>16</v>
      </c>
      <c r="V113">
        <v>1598.06</v>
      </c>
      <c r="W113">
        <v>25568.959999999999</v>
      </c>
    </row>
    <row r="114" spans="1:23">
      <c r="A114" s="19">
        <v>44965</v>
      </c>
      <c r="B114" t="s">
        <v>1258</v>
      </c>
      <c r="C114" t="s">
        <v>1233</v>
      </c>
      <c r="D114" t="s">
        <v>1232</v>
      </c>
      <c r="E114" t="s">
        <v>1231</v>
      </c>
      <c r="F114" t="s">
        <v>145</v>
      </c>
      <c r="G114" t="s">
        <v>1274</v>
      </c>
      <c r="H114" s="10">
        <v>12</v>
      </c>
      <c r="I114" s="10">
        <v>2519.65</v>
      </c>
      <c r="J114" s="10">
        <v>30235.8</v>
      </c>
      <c r="K114" s="10"/>
      <c r="N114" s="18">
        <v>45263</v>
      </c>
      <c r="O114" t="str">
        <v>Kabir</v>
      </c>
      <c r="P114" t="str">
        <v>New Delhi</v>
      </c>
      <c r="Q114" t="str">
        <v>Delhi</v>
      </c>
      <c r="R114" t="str">
        <v>North</v>
      </c>
      <c r="S114" t="str">
        <v>Electronics</v>
      </c>
      <c r="T114" t="str">
        <v>Tablet</v>
      </c>
      <c r="U114">
        <v>19</v>
      </c>
      <c r="V114">
        <v>1359.7</v>
      </c>
      <c r="W114">
        <v>25834.3</v>
      </c>
    </row>
    <row r="115" spans="1:23">
      <c r="A115" s="19">
        <v>44965</v>
      </c>
      <c r="B115" t="s">
        <v>1258</v>
      </c>
      <c r="C115" t="s">
        <v>1245</v>
      </c>
      <c r="D115" t="s">
        <v>1243</v>
      </c>
      <c r="E115" t="s">
        <v>1242</v>
      </c>
      <c r="F115" t="s">
        <v>120</v>
      </c>
      <c r="G115" t="s">
        <v>1165</v>
      </c>
      <c r="H115" s="10">
        <v>17</v>
      </c>
      <c r="I115" s="10">
        <v>1248.03</v>
      </c>
      <c r="J115" s="10">
        <v>21216.51</v>
      </c>
      <c r="K115" s="10"/>
      <c r="N115" s="18">
        <v>45258</v>
      </c>
      <c r="O115" t="str">
        <v>Aryan</v>
      </c>
      <c r="P115" t="str">
        <v>Karol Bagh</v>
      </c>
      <c r="Q115" t="str">
        <v>Delhi</v>
      </c>
      <c r="R115" t="str">
        <v>North</v>
      </c>
      <c r="S115" t="str">
        <v>Furniture</v>
      </c>
      <c r="T115" t="str">
        <v>Table</v>
      </c>
      <c r="U115">
        <v>16</v>
      </c>
      <c r="V115">
        <v>1628.19</v>
      </c>
      <c r="W115">
        <v>26051.040000000001</v>
      </c>
    </row>
    <row r="116" spans="1:23">
      <c r="A116" s="19">
        <v>44966</v>
      </c>
      <c r="B116" t="s">
        <v>1263</v>
      </c>
      <c r="C116" t="s">
        <v>1173</v>
      </c>
      <c r="D116" t="s">
        <v>1237</v>
      </c>
      <c r="E116" t="s">
        <v>1229</v>
      </c>
      <c r="F116" t="s">
        <v>145</v>
      </c>
      <c r="G116" t="s">
        <v>1261</v>
      </c>
      <c r="H116" s="10">
        <v>6</v>
      </c>
      <c r="I116" s="10">
        <v>1610.91</v>
      </c>
      <c r="J116" s="10">
        <v>9665.4599999999991</v>
      </c>
      <c r="K116" s="10"/>
      <c r="N116" s="18">
        <v>45089</v>
      </c>
      <c r="O116" t="str">
        <v>Ishita</v>
      </c>
      <c r="P116" t="str">
        <v>Dwarka</v>
      </c>
      <c r="Q116" t="str">
        <v>Delhi</v>
      </c>
      <c r="R116" t="str">
        <v>North</v>
      </c>
      <c r="S116" t="str">
        <v>Electronics</v>
      </c>
      <c r="T116" t="str">
        <v>Headphones</v>
      </c>
      <c r="U116">
        <v>17</v>
      </c>
      <c r="V116">
        <v>1574.45</v>
      </c>
      <c r="W116">
        <v>26765.65</v>
      </c>
    </row>
    <row r="117" spans="1:23">
      <c r="A117" s="19">
        <v>44967</v>
      </c>
      <c r="B117" t="s">
        <v>1262</v>
      </c>
      <c r="C117" t="s">
        <v>1173</v>
      </c>
      <c r="D117" t="s">
        <v>1237</v>
      </c>
      <c r="E117" t="s">
        <v>1229</v>
      </c>
      <c r="F117" t="s">
        <v>128</v>
      </c>
      <c r="G117" t="s">
        <v>1273</v>
      </c>
      <c r="H117" s="10">
        <v>4</v>
      </c>
      <c r="I117" s="10">
        <v>697.88</v>
      </c>
      <c r="J117" s="10">
        <v>2791.52</v>
      </c>
      <c r="K117" s="10"/>
      <c r="N117" s="18">
        <v>45046</v>
      </c>
      <c r="O117" t="str">
        <v>Kabir</v>
      </c>
      <c r="P117" t="str">
        <v>New Delhi</v>
      </c>
      <c r="Q117" t="str">
        <v>Delhi</v>
      </c>
      <c r="R117" t="str">
        <v>North</v>
      </c>
      <c r="S117" t="str">
        <v>Clothing</v>
      </c>
      <c r="T117" t="str">
        <v>Jacket</v>
      </c>
      <c r="U117">
        <v>10</v>
      </c>
      <c r="V117">
        <v>2682.33</v>
      </c>
      <c r="W117">
        <v>26823.3</v>
      </c>
    </row>
    <row r="118" spans="1:23">
      <c r="A118" s="19">
        <v>44967</v>
      </c>
      <c r="B118" t="s">
        <v>1254</v>
      </c>
      <c r="C118" t="s">
        <v>1247</v>
      </c>
      <c r="D118" t="s">
        <v>1243</v>
      </c>
      <c r="E118" t="s">
        <v>1242</v>
      </c>
      <c r="F118" t="s">
        <v>1249</v>
      </c>
      <c r="G118" t="s">
        <v>1270</v>
      </c>
      <c r="H118" s="10">
        <v>12</v>
      </c>
      <c r="I118" s="10">
        <v>1020.42</v>
      </c>
      <c r="J118" s="10">
        <v>12245.04</v>
      </c>
      <c r="K118" s="10"/>
      <c r="N118" s="18">
        <v>45256</v>
      </c>
      <c r="O118" t="str">
        <v>Ananya</v>
      </c>
      <c r="P118" t="str">
        <v>New Delhi</v>
      </c>
      <c r="Q118" t="str">
        <v>Delhi</v>
      </c>
      <c r="R118" t="str">
        <v>North</v>
      </c>
      <c r="S118" t="str">
        <v>Stationery</v>
      </c>
      <c r="T118" t="str">
        <v>Pen</v>
      </c>
      <c r="U118">
        <v>15</v>
      </c>
      <c r="V118">
        <v>1790.58</v>
      </c>
      <c r="W118">
        <v>26858.7</v>
      </c>
    </row>
    <row r="119" spans="1:23">
      <c r="A119" s="19">
        <v>44967</v>
      </c>
      <c r="B119" t="s">
        <v>1258</v>
      </c>
      <c r="C119" t="s">
        <v>1239</v>
      </c>
      <c r="D119" t="s">
        <v>1237</v>
      </c>
      <c r="E119" t="s">
        <v>1229</v>
      </c>
      <c r="F119" t="s">
        <v>120</v>
      </c>
      <c r="G119" t="s">
        <v>1164</v>
      </c>
      <c r="H119" s="10">
        <v>19</v>
      </c>
      <c r="I119" s="10">
        <v>2174.7600000000002</v>
      </c>
      <c r="J119" s="10">
        <v>41320.44</v>
      </c>
      <c r="K119" s="10"/>
      <c r="N119" s="18">
        <v>44962</v>
      </c>
      <c r="O119" t="str">
        <v>Meera</v>
      </c>
      <c r="P119" t="str">
        <v>Dwarka</v>
      </c>
      <c r="Q119" t="str">
        <v>Delhi</v>
      </c>
      <c r="R119" t="str">
        <v>North</v>
      </c>
      <c r="S119" t="str">
        <v>Furniture</v>
      </c>
      <c r="T119" t="str">
        <v>Table</v>
      </c>
      <c r="U119">
        <v>13</v>
      </c>
      <c r="V119">
        <v>2098.65</v>
      </c>
      <c r="W119">
        <v>27282.45</v>
      </c>
    </row>
    <row r="120" spans="1:23">
      <c r="A120" s="19">
        <v>44968</v>
      </c>
      <c r="B120" t="s">
        <v>1256</v>
      </c>
      <c r="C120" t="s">
        <v>1234</v>
      </c>
      <c r="D120" t="s">
        <v>1232</v>
      </c>
      <c r="E120" t="s">
        <v>1231</v>
      </c>
      <c r="F120" t="s">
        <v>132</v>
      </c>
      <c r="G120" t="s">
        <v>1271</v>
      </c>
      <c r="H120" s="10">
        <v>6</v>
      </c>
      <c r="I120" s="10">
        <v>1750.35</v>
      </c>
      <c r="J120" s="10">
        <v>10502.1</v>
      </c>
      <c r="K120" s="10"/>
      <c r="N120" s="18">
        <v>44988</v>
      </c>
      <c r="O120" t="str">
        <v>Riya</v>
      </c>
      <c r="P120" t="str">
        <v>Dwarka</v>
      </c>
      <c r="Q120" t="str">
        <v>Delhi</v>
      </c>
      <c r="R120" t="str">
        <v>North</v>
      </c>
      <c r="S120" t="str">
        <v>Electronics</v>
      </c>
      <c r="T120" t="str">
        <v>Laptop</v>
      </c>
      <c r="U120">
        <v>9</v>
      </c>
      <c r="V120">
        <v>3122.72</v>
      </c>
      <c r="W120">
        <v>28104.48</v>
      </c>
    </row>
    <row r="121" spans="1:23">
      <c r="A121" s="19">
        <v>44968</v>
      </c>
      <c r="B121" t="s">
        <v>1267</v>
      </c>
      <c r="C121" t="s">
        <v>1248</v>
      </c>
      <c r="D121" t="s">
        <v>1230</v>
      </c>
      <c r="E121" t="s">
        <v>1229</v>
      </c>
      <c r="F121" t="s">
        <v>145</v>
      </c>
      <c r="G121" t="s">
        <v>1255</v>
      </c>
      <c r="H121" s="10">
        <v>4</v>
      </c>
      <c r="I121" s="10">
        <v>1139.74</v>
      </c>
      <c r="J121" s="10">
        <v>4558.96</v>
      </c>
      <c r="K121" s="10"/>
      <c r="N121" s="18">
        <v>45247</v>
      </c>
      <c r="O121" t="str">
        <v>Vihaan</v>
      </c>
      <c r="P121" t="str">
        <v>Karol Bagh</v>
      </c>
      <c r="Q121" t="str">
        <v>Delhi</v>
      </c>
      <c r="R121" t="str">
        <v>North</v>
      </c>
      <c r="S121" t="str">
        <v>Electronics</v>
      </c>
      <c r="T121" t="str">
        <v>Tablet</v>
      </c>
      <c r="U121">
        <v>6</v>
      </c>
      <c r="V121">
        <v>4707.38</v>
      </c>
      <c r="W121">
        <v>28244.28</v>
      </c>
    </row>
    <row r="122" spans="1:23">
      <c r="A122" s="19">
        <v>44968</v>
      </c>
      <c r="B122" t="s">
        <v>1258</v>
      </c>
      <c r="C122" t="s">
        <v>1169</v>
      </c>
      <c r="D122" t="s">
        <v>1230</v>
      </c>
      <c r="E122" t="s">
        <v>1229</v>
      </c>
      <c r="F122" t="s">
        <v>128</v>
      </c>
      <c r="G122" t="s">
        <v>1257</v>
      </c>
      <c r="H122" s="10">
        <v>13</v>
      </c>
      <c r="I122" s="10">
        <v>3495.08</v>
      </c>
      <c r="J122" s="10">
        <v>45436.04</v>
      </c>
      <c r="K122" s="10"/>
      <c r="N122" s="18">
        <v>45275</v>
      </c>
      <c r="O122" t="str">
        <v>Kabir</v>
      </c>
      <c r="P122" t="str">
        <v>Karol Bagh</v>
      </c>
      <c r="Q122" t="str">
        <v>Delhi</v>
      </c>
      <c r="R122" t="str">
        <v>North</v>
      </c>
      <c r="S122" t="str">
        <v>Electronics</v>
      </c>
      <c r="T122" t="str">
        <v>Headphones</v>
      </c>
      <c r="U122">
        <v>6</v>
      </c>
      <c r="V122">
        <v>4751.7700000000004</v>
      </c>
      <c r="W122">
        <v>28510.62</v>
      </c>
    </row>
    <row r="123" spans="1:23">
      <c r="A123" s="19">
        <v>44968</v>
      </c>
      <c r="B123" t="s">
        <v>1265</v>
      </c>
      <c r="C123" t="s">
        <v>1171</v>
      </c>
      <c r="D123" t="s">
        <v>1237</v>
      </c>
      <c r="E123" t="s">
        <v>1229</v>
      </c>
      <c r="F123" t="s">
        <v>128</v>
      </c>
      <c r="G123" t="s">
        <v>1273</v>
      </c>
      <c r="H123" s="10">
        <v>2</v>
      </c>
      <c r="I123" s="10">
        <v>4845.74</v>
      </c>
      <c r="J123" s="10">
        <v>9691.48</v>
      </c>
      <c r="K123" s="10"/>
      <c r="N123" s="18">
        <v>45181</v>
      </c>
      <c r="O123" t="str">
        <v>Aarav</v>
      </c>
      <c r="P123" t="str">
        <v>New Delhi</v>
      </c>
      <c r="Q123" t="str">
        <v>Delhi</v>
      </c>
      <c r="R123" t="str">
        <v>North</v>
      </c>
      <c r="S123" t="str">
        <v>Furniture</v>
      </c>
      <c r="T123" t="str">
        <v>Bed</v>
      </c>
      <c r="U123">
        <v>16</v>
      </c>
      <c r="V123">
        <v>1795.37</v>
      </c>
      <c r="W123">
        <v>28725.919999999998</v>
      </c>
    </row>
    <row r="124" spans="1:23">
      <c r="A124" s="19">
        <v>44969</v>
      </c>
      <c r="B124" t="s">
        <v>1254</v>
      </c>
      <c r="C124" t="s">
        <v>1247</v>
      </c>
      <c r="D124" t="s">
        <v>1243</v>
      </c>
      <c r="E124" t="s">
        <v>1242</v>
      </c>
      <c r="F124" t="s">
        <v>1249</v>
      </c>
      <c r="G124" t="s">
        <v>1268</v>
      </c>
      <c r="H124" s="10">
        <v>18</v>
      </c>
      <c r="I124" s="10">
        <v>2584.0700000000002</v>
      </c>
      <c r="J124" s="10">
        <v>46513.26</v>
      </c>
      <c r="K124" s="10"/>
      <c r="N124" s="18">
        <v>45116</v>
      </c>
      <c r="O124" t="str">
        <v>Ananya</v>
      </c>
      <c r="P124" t="str">
        <v>New Delhi</v>
      </c>
      <c r="Q124" t="str">
        <v>Delhi</v>
      </c>
      <c r="R124" t="str">
        <v>North</v>
      </c>
      <c r="S124" t="str">
        <v>Groceries</v>
      </c>
      <c r="T124" t="str">
        <v>Sugar</v>
      </c>
      <c r="U124">
        <v>13</v>
      </c>
      <c r="V124">
        <v>2225.88</v>
      </c>
      <c r="W124">
        <v>28936.44</v>
      </c>
    </row>
    <row r="125" spans="1:23">
      <c r="A125" s="19">
        <v>44969</v>
      </c>
      <c r="B125" t="s">
        <v>1252</v>
      </c>
      <c r="C125" t="s">
        <v>1171</v>
      </c>
      <c r="D125" t="s">
        <v>1237</v>
      </c>
      <c r="E125" t="s">
        <v>1229</v>
      </c>
      <c r="F125" t="s">
        <v>128</v>
      </c>
      <c r="G125" t="s">
        <v>1266</v>
      </c>
      <c r="H125" s="10">
        <v>10</v>
      </c>
      <c r="I125" s="10">
        <v>3391.5</v>
      </c>
      <c r="J125" s="10">
        <v>33915</v>
      </c>
      <c r="K125" s="10"/>
      <c r="N125" s="18">
        <v>45201</v>
      </c>
      <c r="O125" t="str">
        <v>Ishita</v>
      </c>
      <c r="P125" t="str">
        <v>Dwarka</v>
      </c>
      <c r="Q125" t="str">
        <v>Delhi</v>
      </c>
      <c r="R125" t="str">
        <v>North</v>
      </c>
      <c r="S125" t="str">
        <v>Furniture</v>
      </c>
      <c r="T125" t="str">
        <v>Sofa</v>
      </c>
      <c r="U125">
        <v>14</v>
      </c>
      <c r="V125">
        <v>2145.21</v>
      </c>
      <c r="W125">
        <v>30032.94</v>
      </c>
    </row>
    <row r="126" spans="1:23">
      <c r="A126" s="19">
        <v>44970</v>
      </c>
      <c r="B126" t="s">
        <v>1267</v>
      </c>
      <c r="C126" t="s">
        <v>1236</v>
      </c>
      <c r="D126" t="s">
        <v>1235</v>
      </c>
      <c r="E126" t="s">
        <v>1231</v>
      </c>
      <c r="F126" t="s">
        <v>145</v>
      </c>
      <c r="G126" t="s">
        <v>1278</v>
      </c>
      <c r="H126" s="10">
        <v>11</v>
      </c>
      <c r="I126" s="10">
        <v>1473.35</v>
      </c>
      <c r="J126" s="10">
        <v>16206.85</v>
      </c>
      <c r="K126" s="10"/>
      <c r="N126" s="18">
        <v>45006</v>
      </c>
      <c r="O126" t="str">
        <v>Aryan</v>
      </c>
      <c r="P126" t="str">
        <v>Karol Bagh</v>
      </c>
      <c r="Q126" t="str">
        <v>Delhi</v>
      </c>
      <c r="R126" t="str">
        <v>North</v>
      </c>
      <c r="S126" t="str">
        <v>Electronics</v>
      </c>
      <c r="T126" t="str">
        <v>Smartphone</v>
      </c>
      <c r="U126">
        <v>10</v>
      </c>
      <c r="V126">
        <v>3048.2</v>
      </c>
      <c r="W126">
        <v>30482</v>
      </c>
    </row>
    <row r="127" spans="1:23">
      <c r="A127" s="19">
        <v>44970</v>
      </c>
      <c r="B127" t="s">
        <v>1258</v>
      </c>
      <c r="C127" t="s">
        <v>1248</v>
      </c>
      <c r="D127" t="s">
        <v>1230</v>
      </c>
      <c r="E127" t="s">
        <v>1229</v>
      </c>
      <c r="F127" t="s">
        <v>120</v>
      </c>
      <c r="G127" t="s">
        <v>1165</v>
      </c>
      <c r="H127" s="10">
        <v>11</v>
      </c>
      <c r="I127" s="10">
        <v>490.34</v>
      </c>
      <c r="J127" s="10">
        <v>5393.74</v>
      </c>
      <c r="K127" s="10"/>
      <c r="N127" s="18">
        <v>45280</v>
      </c>
      <c r="O127" t="str">
        <v>Ananya</v>
      </c>
      <c r="P127" t="str">
        <v>Dwarka</v>
      </c>
      <c r="Q127" t="str">
        <v>Delhi</v>
      </c>
      <c r="R127" t="str">
        <v>North</v>
      </c>
      <c r="S127" t="str">
        <v>Stationery</v>
      </c>
      <c r="T127" t="str">
        <v>Eraser</v>
      </c>
      <c r="U127">
        <v>7</v>
      </c>
      <c r="V127">
        <v>4673.3100000000004</v>
      </c>
      <c r="W127">
        <v>32713.17</v>
      </c>
    </row>
    <row r="128" spans="1:23">
      <c r="A128" s="19">
        <v>44971</v>
      </c>
      <c r="B128" t="s">
        <v>1258</v>
      </c>
      <c r="C128" t="s">
        <v>1173</v>
      </c>
      <c r="D128" t="s">
        <v>1237</v>
      </c>
      <c r="E128" t="s">
        <v>1229</v>
      </c>
      <c r="F128" t="s">
        <v>145</v>
      </c>
      <c r="G128" t="s">
        <v>1274</v>
      </c>
      <c r="H128" s="10">
        <v>16</v>
      </c>
      <c r="I128" s="10">
        <v>4507.37</v>
      </c>
      <c r="J128" s="10">
        <v>72117.919999999998</v>
      </c>
      <c r="K128" s="10"/>
      <c r="N128" s="18">
        <v>44998</v>
      </c>
      <c r="O128" t="str">
        <v>Vihaan</v>
      </c>
      <c r="P128" t="str">
        <v>Dwarka</v>
      </c>
      <c r="Q128" t="str">
        <v>Delhi</v>
      </c>
      <c r="R128" t="str">
        <v>North</v>
      </c>
      <c r="S128" t="str">
        <v>Electronics</v>
      </c>
      <c r="T128" t="str">
        <v>Headphones</v>
      </c>
      <c r="U128">
        <v>20</v>
      </c>
      <c r="V128">
        <v>1637.44</v>
      </c>
      <c r="W128">
        <v>32748.799999999999</v>
      </c>
    </row>
    <row r="129" spans="1:23">
      <c r="A129" s="19">
        <v>44971</v>
      </c>
      <c r="B129" t="s">
        <v>1265</v>
      </c>
      <c r="C129" t="s">
        <v>1246</v>
      </c>
      <c r="D129" t="s">
        <v>1230</v>
      </c>
      <c r="E129" t="s">
        <v>1229</v>
      </c>
      <c r="F129" t="s">
        <v>145</v>
      </c>
      <c r="G129" t="s">
        <v>1261</v>
      </c>
      <c r="H129" s="10">
        <v>15</v>
      </c>
      <c r="I129" s="10">
        <v>4093.93</v>
      </c>
      <c r="J129" s="10">
        <v>61408.95</v>
      </c>
      <c r="K129" s="10"/>
      <c r="N129" s="18">
        <v>45240</v>
      </c>
      <c r="O129" t="str">
        <v>Nishant</v>
      </c>
      <c r="P129" t="str">
        <v>New Delhi</v>
      </c>
      <c r="Q129" t="str">
        <v>Delhi</v>
      </c>
      <c r="R129" t="str">
        <v>North</v>
      </c>
      <c r="S129" t="str">
        <v>Furniture</v>
      </c>
      <c r="T129" t="str">
        <v>Sofa</v>
      </c>
      <c r="U129">
        <v>14</v>
      </c>
      <c r="V129">
        <v>2385.9899999999998</v>
      </c>
      <c r="W129">
        <v>33403.86</v>
      </c>
    </row>
    <row r="130" spans="1:23">
      <c r="A130" s="19">
        <v>44971</v>
      </c>
      <c r="B130" t="s">
        <v>1252</v>
      </c>
      <c r="C130" t="s">
        <v>1247</v>
      </c>
      <c r="D130" t="s">
        <v>1243</v>
      </c>
      <c r="E130" t="s">
        <v>1242</v>
      </c>
      <c r="F130" t="s">
        <v>145</v>
      </c>
      <c r="G130" t="s">
        <v>1261</v>
      </c>
      <c r="H130" s="10">
        <v>2</v>
      </c>
      <c r="I130" s="10">
        <v>1189.6500000000001</v>
      </c>
      <c r="J130" s="10">
        <v>2379.3000000000002</v>
      </c>
      <c r="K130" s="10"/>
      <c r="N130" s="18">
        <v>45239</v>
      </c>
      <c r="O130" t="str">
        <v>Aditi</v>
      </c>
      <c r="P130" t="str">
        <v>Karol Bagh</v>
      </c>
      <c r="Q130" t="str">
        <v>Delhi</v>
      </c>
      <c r="R130" t="str">
        <v>North</v>
      </c>
      <c r="S130" t="str">
        <v>Furniture</v>
      </c>
      <c r="T130" t="str">
        <v>Table</v>
      </c>
      <c r="U130">
        <v>8</v>
      </c>
      <c r="V130">
        <v>4175.5600000000004</v>
      </c>
      <c r="W130">
        <v>33404.480000000003</v>
      </c>
    </row>
    <row r="131" spans="1:23">
      <c r="A131" s="19">
        <v>44971</v>
      </c>
      <c r="B131" t="s">
        <v>1256</v>
      </c>
      <c r="C131" t="s">
        <v>1238</v>
      </c>
      <c r="D131" t="s">
        <v>1235</v>
      </c>
      <c r="E131" t="s">
        <v>1231</v>
      </c>
      <c r="F131" t="s">
        <v>145</v>
      </c>
      <c r="G131" t="s">
        <v>1255</v>
      </c>
      <c r="H131" s="10">
        <v>20</v>
      </c>
      <c r="I131" s="10">
        <v>2155.17</v>
      </c>
      <c r="J131" s="10">
        <v>43103.4</v>
      </c>
      <c r="K131" s="10"/>
      <c r="N131" s="18">
        <v>45016</v>
      </c>
      <c r="O131" t="str">
        <v>Aarav</v>
      </c>
      <c r="P131" t="str">
        <v>Karol Bagh</v>
      </c>
      <c r="Q131" t="str">
        <v>Delhi</v>
      </c>
      <c r="R131" t="str">
        <v>North</v>
      </c>
      <c r="S131" t="str">
        <v>Stationery</v>
      </c>
      <c r="T131" t="str">
        <v>Ruler</v>
      </c>
      <c r="U131">
        <v>9</v>
      </c>
      <c r="V131">
        <v>3727.82</v>
      </c>
      <c r="W131">
        <v>33550.379999999997</v>
      </c>
    </row>
    <row r="132" spans="1:23">
      <c r="A132" s="19">
        <v>44971</v>
      </c>
      <c r="B132" t="s">
        <v>1252</v>
      </c>
      <c r="C132" t="s">
        <v>1233</v>
      </c>
      <c r="D132" t="s">
        <v>1232</v>
      </c>
      <c r="E132" t="s">
        <v>1231</v>
      </c>
      <c r="F132" t="s">
        <v>128</v>
      </c>
      <c r="G132" t="s">
        <v>1257</v>
      </c>
      <c r="H132" s="10">
        <v>5</v>
      </c>
      <c r="I132" s="10">
        <v>850.9</v>
      </c>
      <c r="J132" s="10">
        <v>4254.5</v>
      </c>
      <c r="K132" s="10"/>
      <c r="N132" s="18">
        <v>45110</v>
      </c>
      <c r="O132" t="str">
        <v>Ananya</v>
      </c>
      <c r="P132" t="str">
        <v>Karol Bagh</v>
      </c>
      <c r="Q132" t="str">
        <v>Delhi</v>
      </c>
      <c r="R132" t="str">
        <v>North</v>
      </c>
      <c r="S132" t="str">
        <v>Clothing</v>
      </c>
      <c r="T132" t="str">
        <v>Shirt</v>
      </c>
      <c r="U132">
        <v>14</v>
      </c>
      <c r="V132">
        <v>2441.0700000000002</v>
      </c>
      <c r="W132">
        <v>34174.980000000003</v>
      </c>
    </row>
    <row r="133" spans="1:23">
      <c r="A133" s="19">
        <v>44971</v>
      </c>
      <c r="B133" t="s">
        <v>1267</v>
      </c>
      <c r="C133" t="s">
        <v>1240</v>
      </c>
      <c r="D133" t="s">
        <v>1232</v>
      </c>
      <c r="E133" t="s">
        <v>1231</v>
      </c>
      <c r="F133" t="s">
        <v>120</v>
      </c>
      <c r="G133" t="s">
        <v>1276</v>
      </c>
      <c r="H133" s="10">
        <v>9</v>
      </c>
      <c r="I133" s="10">
        <v>4811.76</v>
      </c>
      <c r="J133" s="10">
        <v>43305.84</v>
      </c>
      <c r="K133" s="10"/>
      <c r="N133" s="18">
        <v>45041</v>
      </c>
      <c r="O133" t="str">
        <v>Ishita</v>
      </c>
      <c r="P133" t="str">
        <v>Dwarka</v>
      </c>
      <c r="Q133" t="str">
        <v>Delhi</v>
      </c>
      <c r="R133" t="str">
        <v>North</v>
      </c>
      <c r="S133" t="str">
        <v>Electronics</v>
      </c>
      <c r="T133" t="str">
        <v>Smartphone</v>
      </c>
      <c r="U133">
        <v>7</v>
      </c>
      <c r="V133">
        <v>4933.0600000000004</v>
      </c>
      <c r="W133">
        <v>34531.42</v>
      </c>
    </row>
    <row r="134" spans="1:23">
      <c r="A134" s="19">
        <v>44972</v>
      </c>
      <c r="B134" t="s">
        <v>1254</v>
      </c>
      <c r="C134" t="s">
        <v>1248</v>
      </c>
      <c r="D134" t="s">
        <v>1230</v>
      </c>
      <c r="E134" t="s">
        <v>1229</v>
      </c>
      <c r="F134" t="s">
        <v>120</v>
      </c>
      <c r="G134" t="s">
        <v>1165</v>
      </c>
      <c r="H134" s="10">
        <v>19</v>
      </c>
      <c r="I134" s="10">
        <v>4896.3100000000004</v>
      </c>
      <c r="J134" s="10">
        <v>93029.89</v>
      </c>
      <c r="K134" s="10"/>
      <c r="N134" s="18">
        <v>45198</v>
      </c>
      <c r="O134" t="str">
        <v>Aditi</v>
      </c>
      <c r="P134" t="str">
        <v>New Delhi</v>
      </c>
      <c r="Q134" t="str">
        <v>Delhi</v>
      </c>
      <c r="R134" t="str">
        <v>North</v>
      </c>
      <c r="S134" t="str">
        <v>Furniture</v>
      </c>
      <c r="T134" t="str">
        <v>Bed</v>
      </c>
      <c r="U134">
        <v>17</v>
      </c>
      <c r="V134">
        <v>2042</v>
      </c>
      <c r="W134">
        <v>34714</v>
      </c>
    </row>
    <row r="135" spans="1:23">
      <c r="A135" s="19">
        <v>44972</v>
      </c>
      <c r="B135" t="s">
        <v>1256</v>
      </c>
      <c r="C135" t="s">
        <v>1236</v>
      </c>
      <c r="D135" t="s">
        <v>1235</v>
      </c>
      <c r="E135" t="s">
        <v>1231</v>
      </c>
      <c r="F135" t="s">
        <v>145</v>
      </c>
      <c r="G135" t="s">
        <v>1261</v>
      </c>
      <c r="H135" s="10">
        <v>3</v>
      </c>
      <c r="I135" s="10">
        <v>1133.19</v>
      </c>
      <c r="J135" s="10">
        <v>3399.57</v>
      </c>
      <c r="K135" s="10"/>
      <c r="N135" s="18">
        <v>44954</v>
      </c>
      <c r="O135" t="str">
        <v>Kabir</v>
      </c>
      <c r="P135" t="str">
        <v>Dwarka</v>
      </c>
      <c r="Q135" t="str">
        <v>Delhi</v>
      </c>
      <c r="R135" t="str">
        <v>North</v>
      </c>
      <c r="S135" t="str">
        <v>Furniture</v>
      </c>
      <c r="T135" t="str">
        <v>Sofa</v>
      </c>
      <c r="U135">
        <v>8</v>
      </c>
      <c r="V135">
        <v>4523.4399999999996</v>
      </c>
      <c r="W135">
        <v>36187.519999999997</v>
      </c>
    </row>
    <row r="136" spans="1:23">
      <c r="A136" s="19">
        <v>44972</v>
      </c>
      <c r="B136" t="s">
        <v>1258</v>
      </c>
      <c r="C136" t="s">
        <v>1233</v>
      </c>
      <c r="D136" t="s">
        <v>1232</v>
      </c>
      <c r="E136" t="s">
        <v>1231</v>
      </c>
      <c r="F136" t="s">
        <v>128</v>
      </c>
      <c r="G136" t="s">
        <v>1266</v>
      </c>
      <c r="H136" s="10">
        <v>11</v>
      </c>
      <c r="I136" s="10">
        <v>1634.39</v>
      </c>
      <c r="J136" s="10">
        <v>17978.29</v>
      </c>
      <c r="K136" s="10"/>
      <c r="N136" s="18">
        <v>44977</v>
      </c>
      <c r="O136" t="str">
        <v>Vihaan</v>
      </c>
      <c r="P136" t="str">
        <v>Dwarka</v>
      </c>
      <c r="Q136" t="str">
        <v>Delhi</v>
      </c>
      <c r="R136" t="str">
        <v>North</v>
      </c>
      <c r="S136" t="str">
        <v>Electronics</v>
      </c>
      <c r="T136" t="str">
        <v>Headphones</v>
      </c>
      <c r="U136">
        <v>10</v>
      </c>
      <c r="V136">
        <v>3633.26</v>
      </c>
      <c r="W136">
        <v>36332.6</v>
      </c>
    </row>
    <row r="137" spans="1:23">
      <c r="A137" s="19">
        <v>44972</v>
      </c>
      <c r="B137" t="s">
        <v>1269</v>
      </c>
      <c r="C137" t="s">
        <v>1245</v>
      </c>
      <c r="D137" t="s">
        <v>1243</v>
      </c>
      <c r="E137" t="s">
        <v>1242</v>
      </c>
      <c r="F137" t="s">
        <v>132</v>
      </c>
      <c r="G137" t="s">
        <v>1253</v>
      </c>
      <c r="H137" s="10">
        <v>3</v>
      </c>
      <c r="I137" s="10">
        <v>3814.12</v>
      </c>
      <c r="J137" s="10">
        <v>11442.36</v>
      </c>
      <c r="K137" s="10"/>
      <c r="N137" s="18">
        <v>45291</v>
      </c>
      <c r="O137" t="str">
        <v>Nishant</v>
      </c>
      <c r="P137" t="str">
        <v>New Delhi</v>
      </c>
      <c r="Q137" t="str">
        <v>Delhi</v>
      </c>
      <c r="R137" t="str">
        <v>North</v>
      </c>
      <c r="S137" t="str">
        <v>Groceries</v>
      </c>
      <c r="T137" t="str">
        <v>Sugar</v>
      </c>
      <c r="U137">
        <v>11</v>
      </c>
      <c r="V137">
        <v>3314</v>
      </c>
      <c r="W137">
        <v>36454</v>
      </c>
    </row>
    <row r="138" spans="1:23">
      <c r="A138" s="19">
        <v>44973</v>
      </c>
      <c r="B138" t="s">
        <v>1254</v>
      </c>
      <c r="C138" t="s">
        <v>1245</v>
      </c>
      <c r="D138" t="s">
        <v>1243</v>
      </c>
      <c r="E138" t="s">
        <v>1242</v>
      </c>
      <c r="F138" t="s">
        <v>145</v>
      </c>
      <c r="G138" t="s">
        <v>1274</v>
      </c>
      <c r="H138" s="10">
        <v>1</v>
      </c>
      <c r="I138" s="10">
        <v>3246.08</v>
      </c>
      <c r="J138" s="10">
        <v>3246.08</v>
      </c>
      <c r="K138" s="10"/>
      <c r="N138" s="18">
        <v>45171</v>
      </c>
      <c r="O138" t="str">
        <v>Meera</v>
      </c>
      <c r="P138" t="str">
        <v>Dwarka</v>
      </c>
      <c r="Q138" t="str">
        <v>Delhi</v>
      </c>
      <c r="R138" t="str">
        <v>North</v>
      </c>
      <c r="S138" t="str">
        <v>Stationery</v>
      </c>
      <c r="T138" t="str">
        <v>Ruler</v>
      </c>
      <c r="U138">
        <v>12</v>
      </c>
      <c r="V138">
        <v>3040.08</v>
      </c>
      <c r="W138">
        <v>36480.959999999999</v>
      </c>
    </row>
    <row r="139" spans="1:23">
      <c r="A139" s="19">
        <v>44974</v>
      </c>
      <c r="B139" t="s">
        <v>1260</v>
      </c>
      <c r="C139" t="s">
        <v>1239</v>
      </c>
      <c r="D139" t="s">
        <v>1237</v>
      </c>
      <c r="E139" t="s">
        <v>1229</v>
      </c>
      <c r="F139" t="s">
        <v>128</v>
      </c>
      <c r="G139" t="s">
        <v>1257</v>
      </c>
      <c r="H139" s="10">
        <v>10</v>
      </c>
      <c r="I139" s="10">
        <v>4247.74</v>
      </c>
      <c r="J139" s="10">
        <v>42477.4</v>
      </c>
      <c r="K139" s="10"/>
      <c r="N139" s="18">
        <v>45007</v>
      </c>
      <c r="O139" t="str">
        <v>Nishant</v>
      </c>
      <c r="P139" t="str">
        <v>New Delhi</v>
      </c>
      <c r="Q139" t="str">
        <v>Delhi</v>
      </c>
      <c r="R139" t="str">
        <v>North</v>
      </c>
      <c r="S139" t="str">
        <v>Clothing</v>
      </c>
      <c r="T139" t="str">
        <v>Pants</v>
      </c>
      <c r="U139">
        <v>8</v>
      </c>
      <c r="V139">
        <v>4663.82</v>
      </c>
      <c r="W139">
        <v>37310.559999999998</v>
      </c>
    </row>
    <row r="140" spans="1:23">
      <c r="A140" s="19">
        <v>44975</v>
      </c>
      <c r="B140" t="s">
        <v>1263</v>
      </c>
      <c r="C140" t="s">
        <v>1248</v>
      </c>
      <c r="D140" t="s">
        <v>1230</v>
      </c>
      <c r="E140" t="s">
        <v>1229</v>
      </c>
      <c r="F140" t="s">
        <v>145</v>
      </c>
      <c r="G140" t="s">
        <v>1261</v>
      </c>
      <c r="H140" s="10">
        <v>14</v>
      </c>
      <c r="I140" s="10">
        <v>2452.98</v>
      </c>
      <c r="J140" s="10">
        <v>34341.72</v>
      </c>
      <c r="K140" s="10"/>
      <c r="N140" s="18">
        <v>45205</v>
      </c>
      <c r="O140" t="str">
        <v>Ishita</v>
      </c>
      <c r="P140" t="str">
        <v>Karol Bagh</v>
      </c>
      <c r="Q140" t="str">
        <v>Delhi</v>
      </c>
      <c r="R140" t="str">
        <v>North</v>
      </c>
      <c r="S140" t="str">
        <v>Electronics</v>
      </c>
      <c r="T140" t="str">
        <v>Tablet</v>
      </c>
      <c r="U140">
        <v>11</v>
      </c>
      <c r="V140">
        <v>3424.45</v>
      </c>
      <c r="W140">
        <v>37668.949999999997</v>
      </c>
    </row>
    <row r="141" spans="1:23">
      <c r="A141" s="19">
        <v>44975</v>
      </c>
      <c r="B141" t="s">
        <v>1263</v>
      </c>
      <c r="C141" t="s">
        <v>1173</v>
      </c>
      <c r="D141" t="s">
        <v>1237</v>
      </c>
      <c r="E141" t="s">
        <v>1229</v>
      </c>
      <c r="F141" t="s">
        <v>145</v>
      </c>
      <c r="G141" t="s">
        <v>1255</v>
      </c>
      <c r="H141" s="10">
        <v>12</v>
      </c>
      <c r="I141" s="10">
        <v>528.69000000000005</v>
      </c>
      <c r="J141" s="10">
        <v>6344.28</v>
      </c>
      <c r="K141" s="10"/>
      <c r="N141" s="18">
        <v>45004</v>
      </c>
      <c r="O141" t="str">
        <v>Ishita</v>
      </c>
      <c r="P141" t="str">
        <v>Dwarka</v>
      </c>
      <c r="Q141" t="str">
        <v>Delhi</v>
      </c>
      <c r="R141" t="str">
        <v>North</v>
      </c>
      <c r="S141" t="str">
        <v>Electronics</v>
      </c>
      <c r="T141" t="str">
        <v>Headphones</v>
      </c>
      <c r="U141">
        <v>19</v>
      </c>
      <c r="V141">
        <v>2006.79</v>
      </c>
      <c r="W141">
        <v>38129.01</v>
      </c>
    </row>
    <row r="142" spans="1:23">
      <c r="A142" s="19">
        <v>44975</v>
      </c>
      <c r="B142" t="s">
        <v>1262</v>
      </c>
      <c r="C142" t="s">
        <v>1236</v>
      </c>
      <c r="D142" t="s">
        <v>1235</v>
      </c>
      <c r="E142" t="s">
        <v>1231</v>
      </c>
      <c r="F142" t="s">
        <v>132</v>
      </c>
      <c r="G142" t="s">
        <v>1277</v>
      </c>
      <c r="H142" s="10">
        <v>16</v>
      </c>
      <c r="I142" s="10">
        <v>2288.6799999999998</v>
      </c>
      <c r="J142" s="10">
        <v>36618.879999999997</v>
      </c>
      <c r="K142" s="10"/>
      <c r="N142" s="18">
        <v>44988</v>
      </c>
      <c r="O142" t="str">
        <v>Meera</v>
      </c>
      <c r="P142" t="str">
        <v>New Delhi</v>
      </c>
      <c r="Q142" t="str">
        <v>Delhi</v>
      </c>
      <c r="R142" t="str">
        <v>North</v>
      </c>
      <c r="S142" t="str">
        <v>Furniture</v>
      </c>
      <c r="T142" t="str">
        <v>Chair</v>
      </c>
      <c r="U142">
        <v>12</v>
      </c>
      <c r="V142">
        <v>3229.61</v>
      </c>
      <c r="W142">
        <v>38755.32</v>
      </c>
    </row>
    <row r="143" spans="1:23">
      <c r="A143" s="19">
        <v>44976</v>
      </c>
      <c r="B143" t="s">
        <v>1269</v>
      </c>
      <c r="C143" t="s">
        <v>1247</v>
      </c>
      <c r="D143" t="s">
        <v>1243</v>
      </c>
      <c r="E143" t="s">
        <v>1242</v>
      </c>
      <c r="F143" t="s">
        <v>120</v>
      </c>
      <c r="G143" t="s">
        <v>1165</v>
      </c>
      <c r="H143" s="10">
        <v>6</v>
      </c>
      <c r="I143" s="10">
        <v>623.22</v>
      </c>
      <c r="J143" s="10">
        <v>3739.32</v>
      </c>
      <c r="K143" s="10"/>
      <c r="N143" s="18">
        <v>45121</v>
      </c>
      <c r="O143" t="str">
        <v>Ishita</v>
      </c>
      <c r="P143" t="str">
        <v>Dwarka</v>
      </c>
      <c r="Q143" t="str">
        <v>Delhi</v>
      </c>
      <c r="R143" t="str">
        <v>North</v>
      </c>
      <c r="S143" t="str">
        <v>Clothing</v>
      </c>
      <c r="T143" t="str">
        <v>Pants</v>
      </c>
      <c r="U143">
        <v>8</v>
      </c>
      <c r="V143">
        <v>4930.67</v>
      </c>
      <c r="W143">
        <v>39445.360000000001</v>
      </c>
    </row>
    <row r="144" spans="1:23">
      <c r="A144" s="19">
        <v>44976</v>
      </c>
      <c r="B144" t="s">
        <v>1252</v>
      </c>
      <c r="C144" t="s">
        <v>1234</v>
      </c>
      <c r="D144" t="s">
        <v>1232</v>
      </c>
      <c r="E144" t="s">
        <v>1231</v>
      </c>
      <c r="F144" t="s">
        <v>1249</v>
      </c>
      <c r="G144" t="s">
        <v>1272</v>
      </c>
      <c r="H144" s="10">
        <v>20</v>
      </c>
      <c r="I144" s="10">
        <v>1731.99</v>
      </c>
      <c r="J144" s="10">
        <v>34639.800000000003</v>
      </c>
      <c r="K144" s="10"/>
      <c r="N144" s="18">
        <v>45266</v>
      </c>
      <c r="O144" t="str">
        <v>Riya</v>
      </c>
      <c r="P144" t="str">
        <v>Karol Bagh</v>
      </c>
      <c r="Q144" t="str">
        <v>Delhi</v>
      </c>
      <c r="R144" t="str">
        <v>North</v>
      </c>
      <c r="S144" t="str">
        <v>Electronics</v>
      </c>
      <c r="T144" t="str">
        <v>Laptop</v>
      </c>
      <c r="U144">
        <v>9</v>
      </c>
      <c r="V144">
        <v>4618.59</v>
      </c>
      <c r="W144">
        <v>41567.31</v>
      </c>
    </row>
    <row r="145" spans="1:23">
      <c r="A145" s="19">
        <v>44976</v>
      </c>
      <c r="B145" t="s">
        <v>1254</v>
      </c>
      <c r="C145" t="s">
        <v>1241</v>
      </c>
      <c r="D145" t="s">
        <v>1235</v>
      </c>
      <c r="E145" t="s">
        <v>1231</v>
      </c>
      <c r="F145" t="s">
        <v>128</v>
      </c>
      <c r="G145" t="s">
        <v>1257</v>
      </c>
      <c r="H145" s="10">
        <v>15</v>
      </c>
      <c r="I145" s="10">
        <v>2093.0300000000002</v>
      </c>
      <c r="J145" s="10">
        <v>31395.45</v>
      </c>
      <c r="K145" s="10"/>
      <c r="N145" s="18">
        <v>45083</v>
      </c>
      <c r="O145" t="str">
        <v>Meera</v>
      </c>
      <c r="P145" t="str">
        <v>New Delhi</v>
      </c>
      <c r="Q145" t="str">
        <v>Delhi</v>
      </c>
      <c r="R145" t="str">
        <v>North</v>
      </c>
      <c r="S145" t="str">
        <v>Stationery</v>
      </c>
      <c r="T145" t="str">
        <v>Eraser</v>
      </c>
      <c r="U145">
        <v>10</v>
      </c>
      <c r="V145">
        <v>4210.63</v>
      </c>
      <c r="W145">
        <v>42106.3</v>
      </c>
    </row>
    <row r="146" spans="1:23">
      <c r="A146" s="19">
        <v>44977</v>
      </c>
      <c r="B146" t="s">
        <v>1254</v>
      </c>
      <c r="C146" t="s">
        <v>1244</v>
      </c>
      <c r="D146" t="s">
        <v>1243</v>
      </c>
      <c r="E146" t="s">
        <v>1242</v>
      </c>
      <c r="F146" t="s">
        <v>120</v>
      </c>
      <c r="G146" t="s">
        <v>1164</v>
      </c>
      <c r="H146" s="10">
        <v>10</v>
      </c>
      <c r="I146" s="10">
        <v>3633.26</v>
      </c>
      <c r="J146" s="10">
        <v>36332.6</v>
      </c>
      <c r="K146" s="10"/>
      <c r="N146" s="18">
        <v>45148</v>
      </c>
      <c r="O146" t="str">
        <v>Aarav</v>
      </c>
      <c r="P146" t="str">
        <v>Karol Bagh</v>
      </c>
      <c r="Q146" t="str">
        <v>Delhi</v>
      </c>
      <c r="R146" t="str">
        <v>North</v>
      </c>
      <c r="S146" t="str">
        <v>Electronics</v>
      </c>
      <c r="T146" t="str">
        <v>Tablet</v>
      </c>
      <c r="U146">
        <v>9</v>
      </c>
      <c r="V146">
        <v>4726.68</v>
      </c>
      <c r="W146">
        <v>42540.12</v>
      </c>
    </row>
    <row r="147" spans="1:23">
      <c r="A147" s="19">
        <v>44977</v>
      </c>
      <c r="B147" t="s">
        <v>1260</v>
      </c>
      <c r="C147" t="s">
        <v>1236</v>
      </c>
      <c r="D147" t="s">
        <v>1235</v>
      </c>
      <c r="E147" t="s">
        <v>1231</v>
      </c>
      <c r="F147" t="s">
        <v>128</v>
      </c>
      <c r="G147" t="s">
        <v>1257</v>
      </c>
      <c r="H147" s="10">
        <v>8</v>
      </c>
      <c r="I147" s="10">
        <v>4143.5600000000004</v>
      </c>
      <c r="J147" s="10">
        <v>33148.480000000003</v>
      </c>
      <c r="K147" s="10"/>
      <c r="N147" s="18">
        <v>45033</v>
      </c>
      <c r="O147" t="str">
        <v>Aditi</v>
      </c>
      <c r="P147" t="str">
        <v>Karol Bagh</v>
      </c>
      <c r="Q147" t="str">
        <v>Delhi</v>
      </c>
      <c r="R147" t="str">
        <v>North</v>
      </c>
      <c r="S147" t="str">
        <v>Clothing</v>
      </c>
      <c r="T147" t="str">
        <v>Dress</v>
      </c>
      <c r="U147">
        <v>19</v>
      </c>
      <c r="V147">
        <v>2253.92</v>
      </c>
      <c r="W147">
        <v>42824.480000000003</v>
      </c>
    </row>
    <row r="148" spans="1:23">
      <c r="A148" s="19">
        <v>44977</v>
      </c>
      <c r="B148" t="s">
        <v>1258</v>
      </c>
      <c r="C148" t="s">
        <v>1171</v>
      </c>
      <c r="D148" t="s">
        <v>1237</v>
      </c>
      <c r="E148" t="s">
        <v>1229</v>
      </c>
      <c r="F148" t="s">
        <v>132</v>
      </c>
      <c r="G148" t="s">
        <v>1277</v>
      </c>
      <c r="H148" s="10">
        <v>15</v>
      </c>
      <c r="I148" s="10">
        <v>4642.6899999999996</v>
      </c>
      <c r="J148" s="10">
        <v>69640.350000000006</v>
      </c>
      <c r="K148" s="10"/>
      <c r="N148" s="18">
        <v>45040</v>
      </c>
      <c r="O148" t="str">
        <v>Ananya</v>
      </c>
      <c r="P148" t="str">
        <v>New Delhi</v>
      </c>
      <c r="Q148" t="str">
        <v>Delhi</v>
      </c>
      <c r="R148" t="str">
        <v>North</v>
      </c>
      <c r="S148" t="str">
        <v>Groceries</v>
      </c>
      <c r="T148" t="str">
        <v>Lentils</v>
      </c>
      <c r="U148">
        <v>9</v>
      </c>
      <c r="V148">
        <v>4763.01</v>
      </c>
      <c r="W148">
        <v>42867.09</v>
      </c>
    </row>
    <row r="149" spans="1:23">
      <c r="A149" s="19">
        <v>44977</v>
      </c>
      <c r="B149" t="s">
        <v>1260</v>
      </c>
      <c r="C149" t="s">
        <v>1244</v>
      </c>
      <c r="D149" t="s">
        <v>1243</v>
      </c>
      <c r="E149" t="s">
        <v>1242</v>
      </c>
      <c r="F149" t="s">
        <v>145</v>
      </c>
      <c r="G149" t="s">
        <v>1261</v>
      </c>
      <c r="H149" s="10">
        <v>19</v>
      </c>
      <c r="I149" s="10">
        <v>4528.95</v>
      </c>
      <c r="J149" s="10">
        <v>86050.05</v>
      </c>
      <c r="K149" s="10"/>
      <c r="N149" s="18">
        <v>45184</v>
      </c>
      <c r="O149" t="str">
        <v>Aarav</v>
      </c>
      <c r="P149" t="str">
        <v>New Delhi</v>
      </c>
      <c r="Q149" t="str">
        <v>Delhi</v>
      </c>
      <c r="R149" t="str">
        <v>North</v>
      </c>
      <c r="S149" t="str">
        <v>Groceries</v>
      </c>
      <c r="T149" t="str">
        <v>Lentils</v>
      </c>
      <c r="U149">
        <v>16</v>
      </c>
      <c r="V149">
        <v>2687.77</v>
      </c>
      <c r="W149">
        <v>43004.32</v>
      </c>
    </row>
    <row r="150" spans="1:23">
      <c r="A150" s="19">
        <v>44978</v>
      </c>
      <c r="B150" t="s">
        <v>1263</v>
      </c>
      <c r="C150" t="s">
        <v>1173</v>
      </c>
      <c r="D150" t="s">
        <v>1237</v>
      </c>
      <c r="E150" t="s">
        <v>1229</v>
      </c>
      <c r="F150" t="s">
        <v>145</v>
      </c>
      <c r="G150" t="s">
        <v>1261</v>
      </c>
      <c r="H150" s="10">
        <v>6</v>
      </c>
      <c r="I150" s="10">
        <v>1221.52</v>
      </c>
      <c r="J150" s="10">
        <v>7329.12</v>
      </c>
      <c r="K150" s="10"/>
      <c r="N150" s="18">
        <v>45272</v>
      </c>
      <c r="O150" t="str">
        <v>Vihaan</v>
      </c>
      <c r="P150" t="str">
        <v>Karol Bagh</v>
      </c>
      <c r="Q150" t="str">
        <v>Delhi</v>
      </c>
      <c r="R150" t="str">
        <v>North</v>
      </c>
      <c r="S150" t="str">
        <v>Electronics</v>
      </c>
      <c r="T150" t="str">
        <v>Smartphone</v>
      </c>
      <c r="U150">
        <v>12</v>
      </c>
      <c r="V150">
        <v>3695.68</v>
      </c>
      <c r="W150">
        <v>44348.160000000003</v>
      </c>
    </row>
    <row r="151" spans="1:23">
      <c r="A151" s="19">
        <v>44978</v>
      </c>
      <c r="B151" t="s">
        <v>1269</v>
      </c>
      <c r="C151" t="s">
        <v>1248</v>
      </c>
      <c r="D151" t="s">
        <v>1230</v>
      </c>
      <c r="E151" t="s">
        <v>1229</v>
      </c>
      <c r="F151" t="s">
        <v>132</v>
      </c>
      <c r="G151" t="s">
        <v>1271</v>
      </c>
      <c r="H151" s="10">
        <v>1</v>
      </c>
      <c r="I151" s="10">
        <v>2333.7800000000002</v>
      </c>
      <c r="J151" s="10">
        <v>2333.7800000000002</v>
      </c>
      <c r="K151" s="10"/>
      <c r="N151" s="18">
        <v>44960</v>
      </c>
      <c r="O151" t="str">
        <v>Aryan</v>
      </c>
      <c r="P151" t="str">
        <v>New Delhi</v>
      </c>
      <c r="Q151" t="str">
        <v>Delhi</v>
      </c>
      <c r="R151" t="str">
        <v>North</v>
      </c>
      <c r="S151" t="str">
        <v>Electronics</v>
      </c>
      <c r="T151" t="str">
        <v>Smartphone</v>
      </c>
      <c r="U151">
        <v>12</v>
      </c>
      <c r="V151">
        <v>3696.43</v>
      </c>
      <c r="W151">
        <v>44357.16</v>
      </c>
    </row>
    <row r="152" spans="1:23">
      <c r="A152" s="19">
        <v>44979</v>
      </c>
      <c r="B152" t="s">
        <v>1258</v>
      </c>
      <c r="C152" t="s">
        <v>1248</v>
      </c>
      <c r="D152" t="s">
        <v>1230</v>
      </c>
      <c r="E152" t="s">
        <v>1229</v>
      </c>
      <c r="F152" t="s">
        <v>132</v>
      </c>
      <c r="G152" t="s">
        <v>1271</v>
      </c>
      <c r="H152" s="10">
        <v>11</v>
      </c>
      <c r="I152" s="10">
        <v>575.73</v>
      </c>
      <c r="J152" s="10">
        <v>6333.03</v>
      </c>
      <c r="K152" s="10"/>
      <c r="N152" s="18">
        <v>45258</v>
      </c>
      <c r="O152" t="str">
        <v>Meera</v>
      </c>
      <c r="P152" t="str">
        <v>New Delhi</v>
      </c>
      <c r="Q152" t="str">
        <v>Delhi</v>
      </c>
      <c r="R152" t="str">
        <v>North</v>
      </c>
      <c r="S152" t="str">
        <v>Groceries</v>
      </c>
      <c r="T152" t="str">
        <v>Sugar</v>
      </c>
      <c r="U152">
        <v>13</v>
      </c>
      <c r="V152">
        <v>3417.94</v>
      </c>
      <c r="W152">
        <v>44433.22</v>
      </c>
    </row>
    <row r="153" spans="1:23">
      <c r="A153" s="19">
        <v>44979</v>
      </c>
      <c r="B153" t="s">
        <v>1252</v>
      </c>
      <c r="C153" t="s">
        <v>1169</v>
      </c>
      <c r="D153" t="s">
        <v>1230</v>
      </c>
      <c r="E153" t="s">
        <v>1229</v>
      </c>
      <c r="F153" t="s">
        <v>145</v>
      </c>
      <c r="G153" t="s">
        <v>1278</v>
      </c>
      <c r="H153" s="10">
        <v>19</v>
      </c>
      <c r="I153" s="10">
        <v>2199.3200000000002</v>
      </c>
      <c r="J153" s="10">
        <v>41787.08</v>
      </c>
      <c r="K153" s="10"/>
      <c r="N153" s="18">
        <v>45283</v>
      </c>
      <c r="O153" t="str">
        <v>Ananya</v>
      </c>
      <c r="P153" t="str">
        <v>Karol Bagh</v>
      </c>
      <c r="Q153" t="str">
        <v>Delhi</v>
      </c>
      <c r="R153" t="str">
        <v>North</v>
      </c>
      <c r="S153" t="str">
        <v>Stationery</v>
      </c>
      <c r="T153" t="str">
        <v>Pen</v>
      </c>
      <c r="U153">
        <v>17</v>
      </c>
      <c r="V153">
        <v>2655.23</v>
      </c>
      <c r="W153">
        <v>45138.91</v>
      </c>
    </row>
    <row r="154" spans="1:23">
      <c r="A154" s="19">
        <v>44979</v>
      </c>
      <c r="B154" t="s">
        <v>1263</v>
      </c>
      <c r="C154" t="s">
        <v>1234</v>
      </c>
      <c r="D154" t="s">
        <v>1232</v>
      </c>
      <c r="E154" t="s">
        <v>1231</v>
      </c>
      <c r="F154" t="s">
        <v>1249</v>
      </c>
      <c r="G154" t="s">
        <v>1272</v>
      </c>
      <c r="H154" s="10">
        <v>14</v>
      </c>
      <c r="I154" s="10">
        <v>4532.88</v>
      </c>
      <c r="J154" s="10">
        <v>63460.32</v>
      </c>
      <c r="K154" s="10"/>
      <c r="N154" s="18">
        <v>45269</v>
      </c>
      <c r="O154" t="str">
        <v>Vihaan</v>
      </c>
      <c r="P154" t="str">
        <v>New Delhi</v>
      </c>
      <c r="Q154" t="str">
        <v>Delhi</v>
      </c>
      <c r="R154" t="str">
        <v>North</v>
      </c>
      <c r="S154" t="str">
        <v>Furniture</v>
      </c>
      <c r="T154" t="str">
        <v>Sofa</v>
      </c>
      <c r="U154">
        <v>17</v>
      </c>
      <c r="V154">
        <v>2655.98</v>
      </c>
      <c r="W154">
        <v>45151.66</v>
      </c>
    </row>
    <row r="155" spans="1:23">
      <c r="A155" s="19">
        <v>44980</v>
      </c>
      <c r="B155" t="s">
        <v>1263</v>
      </c>
      <c r="C155" t="s">
        <v>1239</v>
      </c>
      <c r="D155" t="s">
        <v>1237</v>
      </c>
      <c r="E155" t="s">
        <v>1229</v>
      </c>
      <c r="F155" t="s">
        <v>1249</v>
      </c>
      <c r="G155" t="s">
        <v>1268</v>
      </c>
      <c r="H155" s="10">
        <v>4</v>
      </c>
      <c r="I155" s="10">
        <v>3714.59</v>
      </c>
      <c r="J155" s="10">
        <v>14858.36</v>
      </c>
      <c r="K155" s="10"/>
      <c r="N155" s="18">
        <v>44969</v>
      </c>
      <c r="O155" t="str">
        <v>Vihaan</v>
      </c>
      <c r="P155" t="str">
        <v>Karol Bagh</v>
      </c>
      <c r="Q155" t="str">
        <v>Delhi</v>
      </c>
      <c r="R155" t="str">
        <v>North</v>
      </c>
      <c r="S155" t="str">
        <v>Groceries</v>
      </c>
      <c r="T155" t="str">
        <v>Rice</v>
      </c>
      <c r="U155">
        <v>18</v>
      </c>
      <c r="V155">
        <v>2584.0700000000002</v>
      </c>
      <c r="W155">
        <v>46513.26</v>
      </c>
    </row>
    <row r="156" spans="1:23">
      <c r="A156" s="19">
        <v>44980</v>
      </c>
      <c r="B156" t="s">
        <v>1267</v>
      </c>
      <c r="C156" t="s">
        <v>1233</v>
      </c>
      <c r="D156" t="s">
        <v>1232</v>
      </c>
      <c r="E156" t="s">
        <v>1231</v>
      </c>
      <c r="F156" t="s">
        <v>128</v>
      </c>
      <c r="G156" t="s">
        <v>1266</v>
      </c>
      <c r="H156" s="10">
        <v>2</v>
      </c>
      <c r="I156" s="10">
        <v>4277.8999999999996</v>
      </c>
      <c r="J156" s="10">
        <v>8555.7999999999993</v>
      </c>
      <c r="K156" s="10"/>
      <c r="N156" s="18">
        <v>45011</v>
      </c>
      <c r="O156" t="str">
        <v>Kabir</v>
      </c>
      <c r="P156" t="str">
        <v>Karol Bagh</v>
      </c>
      <c r="Q156" t="str">
        <v>Delhi</v>
      </c>
      <c r="R156" t="str">
        <v>North</v>
      </c>
      <c r="S156" t="str">
        <v>Furniture</v>
      </c>
      <c r="T156" t="str">
        <v>Bed</v>
      </c>
      <c r="U156">
        <v>17</v>
      </c>
      <c r="V156">
        <v>2805.45</v>
      </c>
      <c r="W156">
        <v>47692.65</v>
      </c>
    </row>
    <row r="157" spans="1:23">
      <c r="A157" s="19">
        <v>44980</v>
      </c>
      <c r="B157" t="s">
        <v>1267</v>
      </c>
      <c r="C157" t="s">
        <v>1234</v>
      </c>
      <c r="D157" t="s">
        <v>1232</v>
      </c>
      <c r="E157" t="s">
        <v>1231</v>
      </c>
      <c r="F157" t="s">
        <v>128</v>
      </c>
      <c r="G157" t="s">
        <v>1264</v>
      </c>
      <c r="H157" s="10">
        <v>18</v>
      </c>
      <c r="I157" s="10">
        <v>809.24</v>
      </c>
      <c r="J157" s="10">
        <v>14566.32</v>
      </c>
      <c r="K157" s="10"/>
      <c r="N157" s="18">
        <v>44940</v>
      </c>
      <c r="O157" t="str">
        <v>Ishita</v>
      </c>
      <c r="P157" t="str">
        <v>Karol Bagh</v>
      </c>
      <c r="Q157" t="str">
        <v>Delhi</v>
      </c>
      <c r="R157" t="str">
        <v>North</v>
      </c>
      <c r="S157" t="str">
        <v>Clothing</v>
      </c>
      <c r="T157" t="str">
        <v>Jacket</v>
      </c>
      <c r="U157">
        <v>16</v>
      </c>
      <c r="V157">
        <v>2995.01</v>
      </c>
      <c r="W157">
        <v>47920.160000000003</v>
      </c>
    </row>
    <row r="158" spans="1:23">
      <c r="A158" s="19">
        <v>44981</v>
      </c>
      <c r="B158" t="s">
        <v>1260</v>
      </c>
      <c r="C158" t="s">
        <v>1169</v>
      </c>
      <c r="D158" t="s">
        <v>1230</v>
      </c>
      <c r="E158" t="s">
        <v>1229</v>
      </c>
      <c r="F158" t="s">
        <v>1249</v>
      </c>
      <c r="G158" t="s">
        <v>1268</v>
      </c>
      <c r="H158" s="10">
        <v>3</v>
      </c>
      <c r="I158" s="10">
        <v>2738.83</v>
      </c>
      <c r="J158" s="10">
        <v>8216.49</v>
      </c>
      <c r="K158" s="10"/>
      <c r="N158" s="18">
        <v>45043</v>
      </c>
      <c r="O158" t="str">
        <v>Kabir</v>
      </c>
      <c r="P158" t="str">
        <v>Dwarka</v>
      </c>
      <c r="Q158" t="str">
        <v>Delhi</v>
      </c>
      <c r="R158" t="str">
        <v>North</v>
      </c>
      <c r="S158" t="str">
        <v>Stationery</v>
      </c>
      <c r="T158" t="str">
        <v>Ruler</v>
      </c>
      <c r="U158">
        <v>12</v>
      </c>
      <c r="V158">
        <v>4298</v>
      </c>
      <c r="W158">
        <v>51576</v>
      </c>
    </row>
    <row r="159" spans="1:23">
      <c r="A159" s="19">
        <v>44981</v>
      </c>
      <c r="B159" t="s">
        <v>1263</v>
      </c>
      <c r="C159" t="s">
        <v>1169</v>
      </c>
      <c r="D159" t="s">
        <v>1230</v>
      </c>
      <c r="E159" t="s">
        <v>1229</v>
      </c>
      <c r="F159" t="s">
        <v>128</v>
      </c>
      <c r="G159" t="s">
        <v>1264</v>
      </c>
      <c r="H159" s="10">
        <v>3</v>
      </c>
      <c r="I159" s="10">
        <v>4157.17</v>
      </c>
      <c r="J159" s="10">
        <v>12471.51</v>
      </c>
      <c r="K159" s="10"/>
      <c r="N159" s="18">
        <v>45051</v>
      </c>
      <c r="O159" t="str">
        <v>Aryan</v>
      </c>
      <c r="P159" t="str">
        <v>New Delhi</v>
      </c>
      <c r="Q159" t="str">
        <v>Delhi</v>
      </c>
      <c r="R159" t="str">
        <v>North</v>
      </c>
      <c r="S159" t="str">
        <v>Clothing</v>
      </c>
      <c r="T159" t="str">
        <v>Jacket</v>
      </c>
      <c r="U159">
        <v>11</v>
      </c>
      <c r="V159">
        <v>4740.79</v>
      </c>
      <c r="W159">
        <v>52148.69</v>
      </c>
    </row>
    <row r="160" spans="1:23">
      <c r="A160" s="19">
        <v>44981</v>
      </c>
      <c r="B160" t="s">
        <v>1263</v>
      </c>
      <c r="C160" t="s">
        <v>1241</v>
      </c>
      <c r="D160" t="s">
        <v>1235</v>
      </c>
      <c r="E160" t="s">
        <v>1231</v>
      </c>
      <c r="F160" t="s">
        <v>132</v>
      </c>
      <c r="G160" t="s">
        <v>1271</v>
      </c>
      <c r="H160" s="10">
        <v>2</v>
      </c>
      <c r="I160" s="10">
        <v>1927.02</v>
      </c>
      <c r="J160" s="10">
        <v>3854.04</v>
      </c>
      <c r="K160" s="10"/>
      <c r="N160" s="18">
        <v>45037</v>
      </c>
      <c r="O160" t="str">
        <v>Kabir</v>
      </c>
      <c r="P160" t="str">
        <v>Karol Bagh</v>
      </c>
      <c r="Q160" t="str">
        <v>Delhi</v>
      </c>
      <c r="R160" t="str">
        <v>North</v>
      </c>
      <c r="S160" t="str">
        <v>Groceries</v>
      </c>
      <c r="T160" t="str">
        <v>Lentils</v>
      </c>
      <c r="U160">
        <v>16</v>
      </c>
      <c r="V160">
        <v>3263.65</v>
      </c>
      <c r="W160">
        <v>52218.400000000001</v>
      </c>
    </row>
    <row r="161" spans="1:23">
      <c r="A161" s="19">
        <v>44983</v>
      </c>
      <c r="B161" t="s">
        <v>1269</v>
      </c>
      <c r="C161" t="s">
        <v>1239</v>
      </c>
      <c r="D161" t="s">
        <v>1237</v>
      </c>
      <c r="E161" t="s">
        <v>1229</v>
      </c>
      <c r="F161" t="s">
        <v>132</v>
      </c>
      <c r="G161" t="s">
        <v>1271</v>
      </c>
      <c r="H161" s="10">
        <v>6</v>
      </c>
      <c r="I161" s="10">
        <v>112.76</v>
      </c>
      <c r="J161" s="10">
        <v>676.56</v>
      </c>
      <c r="K161" s="10"/>
      <c r="N161" s="18">
        <v>45206</v>
      </c>
      <c r="O161" t="str">
        <v>Riya</v>
      </c>
      <c r="P161" t="str">
        <v>Dwarka</v>
      </c>
      <c r="Q161" t="str">
        <v>Delhi</v>
      </c>
      <c r="R161" t="str">
        <v>North</v>
      </c>
      <c r="S161" t="str">
        <v>Furniture</v>
      </c>
      <c r="T161" t="str">
        <v>Sofa</v>
      </c>
      <c r="U161">
        <v>16</v>
      </c>
      <c r="V161">
        <v>3296.61</v>
      </c>
      <c r="W161">
        <v>52745.760000000002</v>
      </c>
    </row>
    <row r="162" spans="1:23">
      <c r="A162" s="19">
        <v>44983</v>
      </c>
      <c r="B162" t="s">
        <v>1269</v>
      </c>
      <c r="C162" t="s">
        <v>1240</v>
      </c>
      <c r="D162" t="s">
        <v>1232</v>
      </c>
      <c r="E162" t="s">
        <v>1231</v>
      </c>
      <c r="F162" t="s">
        <v>145</v>
      </c>
      <c r="G162" t="s">
        <v>1255</v>
      </c>
      <c r="H162" s="10">
        <v>19</v>
      </c>
      <c r="I162" s="10">
        <v>2357.62</v>
      </c>
      <c r="J162" s="10">
        <v>44794.78</v>
      </c>
      <c r="K162" s="10"/>
      <c r="N162" s="18">
        <v>44958</v>
      </c>
      <c r="O162" t="str">
        <v>Nishant</v>
      </c>
      <c r="P162" t="str">
        <v>New Delhi</v>
      </c>
      <c r="Q162" t="str">
        <v>Delhi</v>
      </c>
      <c r="R162" t="str">
        <v>North</v>
      </c>
      <c r="S162" t="str">
        <v>Furniture</v>
      </c>
      <c r="T162" t="str">
        <v>Bed</v>
      </c>
      <c r="U162">
        <v>16</v>
      </c>
      <c r="V162">
        <v>3320.8</v>
      </c>
      <c r="W162">
        <v>53132.800000000003</v>
      </c>
    </row>
    <row r="163" spans="1:23">
      <c r="A163" s="19">
        <v>44983</v>
      </c>
      <c r="B163" t="s">
        <v>1265</v>
      </c>
      <c r="C163" t="s">
        <v>1246</v>
      </c>
      <c r="D163" t="s">
        <v>1230</v>
      </c>
      <c r="E163" t="s">
        <v>1229</v>
      </c>
      <c r="F163" t="s">
        <v>145</v>
      </c>
      <c r="G163" t="s">
        <v>1255</v>
      </c>
      <c r="H163" s="10">
        <v>7</v>
      </c>
      <c r="I163" s="10">
        <v>500.63</v>
      </c>
      <c r="J163" s="10">
        <v>3504.41</v>
      </c>
      <c r="K163" s="10"/>
      <c r="N163" s="18">
        <v>45223</v>
      </c>
      <c r="O163" t="str">
        <v>Aarav</v>
      </c>
      <c r="P163" t="str">
        <v>Dwarka</v>
      </c>
      <c r="Q163" t="str">
        <v>Delhi</v>
      </c>
      <c r="R163" t="str">
        <v>North</v>
      </c>
      <c r="S163" t="str">
        <v>Electronics</v>
      </c>
      <c r="T163" t="str">
        <v>Smartphone</v>
      </c>
      <c r="U163">
        <v>16</v>
      </c>
      <c r="V163">
        <v>3337.15</v>
      </c>
      <c r="W163">
        <v>53394.400000000001</v>
      </c>
    </row>
    <row r="164" spans="1:23">
      <c r="A164" s="19">
        <v>44984</v>
      </c>
      <c r="B164" t="s">
        <v>1267</v>
      </c>
      <c r="C164" t="s">
        <v>1240</v>
      </c>
      <c r="D164" t="s">
        <v>1232</v>
      </c>
      <c r="E164" t="s">
        <v>1231</v>
      </c>
      <c r="F164" t="s">
        <v>120</v>
      </c>
      <c r="G164" t="s">
        <v>1276</v>
      </c>
      <c r="H164" s="10">
        <v>8</v>
      </c>
      <c r="I164" s="10">
        <v>2784.08</v>
      </c>
      <c r="J164" s="10">
        <v>22272.639999999999</v>
      </c>
      <c r="K164" s="10"/>
      <c r="N164" s="18">
        <v>45043</v>
      </c>
      <c r="O164" t="str">
        <v>Meera</v>
      </c>
      <c r="P164" t="str">
        <v>Dwarka</v>
      </c>
      <c r="Q164" t="str">
        <v>Delhi</v>
      </c>
      <c r="R164" t="str">
        <v>North</v>
      </c>
      <c r="S164" t="str">
        <v>Stationery</v>
      </c>
      <c r="T164" t="str">
        <v>Notebook</v>
      </c>
      <c r="U164">
        <v>19</v>
      </c>
      <c r="V164">
        <v>2816.52</v>
      </c>
      <c r="W164">
        <v>53513.88</v>
      </c>
    </row>
    <row r="165" spans="1:23">
      <c r="A165" s="19">
        <v>44985</v>
      </c>
      <c r="B165" t="s">
        <v>1258</v>
      </c>
      <c r="C165" t="s">
        <v>1169</v>
      </c>
      <c r="D165" t="s">
        <v>1230</v>
      </c>
      <c r="E165" t="s">
        <v>1229</v>
      </c>
      <c r="F165" t="s">
        <v>145</v>
      </c>
      <c r="G165" t="s">
        <v>1255</v>
      </c>
      <c r="H165" s="10">
        <v>7</v>
      </c>
      <c r="I165" s="10">
        <v>146.52000000000001</v>
      </c>
      <c r="J165" s="10">
        <v>1025.6400000000001</v>
      </c>
      <c r="K165" s="10"/>
      <c r="N165" s="18">
        <v>45192</v>
      </c>
      <c r="O165" t="str">
        <v>Aryan</v>
      </c>
      <c r="P165" t="str">
        <v>Karol Bagh</v>
      </c>
      <c r="Q165" t="str">
        <v>Delhi</v>
      </c>
      <c r="R165" t="str">
        <v>North</v>
      </c>
      <c r="S165" t="str">
        <v>Electronics</v>
      </c>
      <c r="T165" t="str">
        <v>Tablet</v>
      </c>
      <c r="U165">
        <v>13</v>
      </c>
      <c r="V165">
        <v>4121.8</v>
      </c>
      <c r="W165">
        <v>53583.4</v>
      </c>
    </row>
    <row r="166" spans="1:23">
      <c r="A166" s="19">
        <v>44985</v>
      </c>
      <c r="B166" t="s">
        <v>1262</v>
      </c>
      <c r="C166" t="s">
        <v>1245</v>
      </c>
      <c r="D166" t="s">
        <v>1243</v>
      </c>
      <c r="E166" t="s">
        <v>1242</v>
      </c>
      <c r="F166" t="s">
        <v>1249</v>
      </c>
      <c r="G166" t="s">
        <v>1259</v>
      </c>
      <c r="H166" s="10">
        <v>13</v>
      </c>
      <c r="I166" s="10">
        <v>1246.1400000000001</v>
      </c>
      <c r="J166" s="10">
        <v>16199.82</v>
      </c>
      <c r="K166" s="10"/>
      <c r="N166" s="18">
        <v>45103</v>
      </c>
      <c r="O166" t="str">
        <v>Ananya</v>
      </c>
      <c r="P166" t="str">
        <v>Dwarka</v>
      </c>
      <c r="Q166" t="str">
        <v>Delhi</v>
      </c>
      <c r="R166" t="str">
        <v>North</v>
      </c>
      <c r="S166" t="str">
        <v>Groceries</v>
      </c>
      <c r="T166" t="str">
        <v>Oil</v>
      </c>
      <c r="U166">
        <v>14</v>
      </c>
      <c r="V166">
        <v>3829.68</v>
      </c>
      <c r="W166">
        <v>53615.519999999997</v>
      </c>
    </row>
    <row r="167" spans="1:23">
      <c r="A167" s="19">
        <v>44985</v>
      </c>
      <c r="B167" t="s">
        <v>1254</v>
      </c>
      <c r="C167" t="s">
        <v>1234</v>
      </c>
      <c r="D167" t="s">
        <v>1232</v>
      </c>
      <c r="E167" t="s">
        <v>1231</v>
      </c>
      <c r="F167" t="s">
        <v>128</v>
      </c>
      <c r="G167" t="s">
        <v>1264</v>
      </c>
      <c r="H167" s="10">
        <v>16</v>
      </c>
      <c r="I167" s="10">
        <v>4090.26</v>
      </c>
      <c r="J167" s="10">
        <v>65444.160000000003</v>
      </c>
      <c r="K167" s="10"/>
      <c r="N167" s="18">
        <v>45104</v>
      </c>
      <c r="O167" t="str">
        <v>Nishant</v>
      </c>
      <c r="P167" t="str">
        <v>New Delhi</v>
      </c>
      <c r="Q167" t="str">
        <v>Delhi</v>
      </c>
      <c r="R167" t="str">
        <v>North</v>
      </c>
      <c r="S167" t="str">
        <v>Groceries</v>
      </c>
      <c r="T167" t="str">
        <v>Rice</v>
      </c>
      <c r="U167">
        <v>11</v>
      </c>
      <c r="V167">
        <v>4896.83</v>
      </c>
      <c r="W167">
        <v>53865.13</v>
      </c>
    </row>
    <row r="168" spans="1:23">
      <c r="A168" s="19">
        <v>44985</v>
      </c>
      <c r="B168" t="s">
        <v>1254</v>
      </c>
      <c r="C168" t="s">
        <v>1238</v>
      </c>
      <c r="D168" t="s">
        <v>1235</v>
      </c>
      <c r="E168" t="s">
        <v>1231</v>
      </c>
      <c r="F168" t="s">
        <v>132</v>
      </c>
      <c r="G168" t="s">
        <v>1277</v>
      </c>
      <c r="H168" s="10">
        <v>1</v>
      </c>
      <c r="I168" s="10">
        <v>2498.7399999999998</v>
      </c>
      <c r="J168" s="10">
        <v>2498.7399999999998</v>
      </c>
      <c r="K168" s="10"/>
      <c r="N168" s="18">
        <v>45207</v>
      </c>
      <c r="O168" t="str">
        <v>Nishant</v>
      </c>
      <c r="P168" t="str">
        <v>Karol Bagh</v>
      </c>
      <c r="Q168" t="str">
        <v>Delhi</v>
      </c>
      <c r="R168" t="str">
        <v>North</v>
      </c>
      <c r="S168" t="str">
        <v>Clothing</v>
      </c>
      <c r="T168" t="str">
        <v>Dress</v>
      </c>
      <c r="U168">
        <v>19</v>
      </c>
      <c r="V168">
        <v>2862.47</v>
      </c>
      <c r="W168">
        <v>54386.93</v>
      </c>
    </row>
    <row r="169" spans="1:23">
      <c r="A169" s="19">
        <v>44986</v>
      </c>
      <c r="B169" t="s">
        <v>1258</v>
      </c>
      <c r="C169" t="s">
        <v>1248</v>
      </c>
      <c r="D169" t="s">
        <v>1230</v>
      </c>
      <c r="E169" t="s">
        <v>1229</v>
      </c>
      <c r="F169" t="s">
        <v>120</v>
      </c>
      <c r="G169" t="s">
        <v>1275</v>
      </c>
      <c r="H169" s="10">
        <v>1</v>
      </c>
      <c r="I169" s="10">
        <v>1979.54</v>
      </c>
      <c r="J169" s="10">
        <v>1979.54</v>
      </c>
      <c r="K169" s="10"/>
      <c r="N169" s="18">
        <v>45087</v>
      </c>
      <c r="O169" t="str">
        <v>Ananya</v>
      </c>
      <c r="P169" t="str">
        <v>Karol Bagh</v>
      </c>
      <c r="Q169" t="str">
        <v>Delhi</v>
      </c>
      <c r="R169" t="str">
        <v>North</v>
      </c>
      <c r="S169" t="str">
        <v>Clothing</v>
      </c>
      <c r="T169" t="str">
        <v>Shirt</v>
      </c>
      <c r="U169">
        <v>20</v>
      </c>
      <c r="V169">
        <v>2721.24</v>
      </c>
      <c r="W169">
        <v>54424.800000000003</v>
      </c>
    </row>
    <row r="170" spans="1:23">
      <c r="A170" s="19">
        <v>44986</v>
      </c>
      <c r="B170" t="s">
        <v>1254</v>
      </c>
      <c r="C170" t="s">
        <v>1238</v>
      </c>
      <c r="D170" t="s">
        <v>1235</v>
      </c>
      <c r="E170" t="s">
        <v>1231</v>
      </c>
      <c r="F170" t="s">
        <v>120</v>
      </c>
      <c r="G170" t="s">
        <v>1165</v>
      </c>
      <c r="H170" s="10">
        <v>8</v>
      </c>
      <c r="I170" s="10">
        <v>4105.17</v>
      </c>
      <c r="J170" s="10">
        <v>32841.360000000001</v>
      </c>
      <c r="K170" s="10"/>
      <c r="N170" s="18">
        <v>45050</v>
      </c>
      <c r="O170" t="str">
        <v>Kabir</v>
      </c>
      <c r="P170" t="str">
        <v>Karol Bagh</v>
      </c>
      <c r="Q170" t="str">
        <v>Delhi</v>
      </c>
      <c r="R170" t="str">
        <v>North</v>
      </c>
      <c r="S170" t="str">
        <v>Electronics</v>
      </c>
      <c r="T170" t="str">
        <v>Smartphone</v>
      </c>
      <c r="U170">
        <v>17</v>
      </c>
      <c r="V170">
        <v>3259.21</v>
      </c>
      <c r="W170">
        <v>55406.57</v>
      </c>
    </row>
    <row r="171" spans="1:23">
      <c r="A171" s="19">
        <v>44986</v>
      </c>
      <c r="B171" t="s">
        <v>1269</v>
      </c>
      <c r="C171" t="s">
        <v>1239</v>
      </c>
      <c r="D171" t="s">
        <v>1237</v>
      </c>
      <c r="E171" t="s">
        <v>1229</v>
      </c>
      <c r="F171" t="s">
        <v>128</v>
      </c>
      <c r="G171" t="s">
        <v>1257</v>
      </c>
      <c r="H171" s="10">
        <v>8</v>
      </c>
      <c r="I171" s="10">
        <v>3075.58</v>
      </c>
      <c r="J171" s="10">
        <v>24604.639999999999</v>
      </c>
      <c r="K171" s="10"/>
      <c r="N171" s="18">
        <v>45055</v>
      </c>
      <c r="O171" t="str">
        <v>Nishant</v>
      </c>
      <c r="P171" t="str">
        <v>Dwarka</v>
      </c>
      <c r="Q171" t="str">
        <v>Delhi</v>
      </c>
      <c r="R171" t="str">
        <v>North</v>
      </c>
      <c r="S171" t="str">
        <v>Stationery</v>
      </c>
      <c r="T171" t="str">
        <v>Eraser</v>
      </c>
      <c r="U171">
        <v>18</v>
      </c>
      <c r="V171">
        <v>3093.44</v>
      </c>
      <c r="W171">
        <v>55681.919999999998</v>
      </c>
    </row>
    <row r="172" spans="1:23">
      <c r="A172" s="19">
        <v>44986</v>
      </c>
      <c r="B172" t="s">
        <v>1256</v>
      </c>
      <c r="C172" t="s">
        <v>1234</v>
      </c>
      <c r="D172" t="s">
        <v>1232</v>
      </c>
      <c r="E172" t="s">
        <v>1231</v>
      </c>
      <c r="F172" t="s">
        <v>145</v>
      </c>
      <c r="G172" t="s">
        <v>1278</v>
      </c>
      <c r="H172" s="10">
        <v>19</v>
      </c>
      <c r="I172" s="10">
        <v>3990.16</v>
      </c>
      <c r="J172" s="10">
        <v>75813.039999999994</v>
      </c>
      <c r="K172" s="10"/>
      <c r="N172" s="18">
        <v>44947</v>
      </c>
      <c r="O172" t="str">
        <v>Kabir</v>
      </c>
      <c r="P172" t="str">
        <v>Dwarka</v>
      </c>
      <c r="Q172" t="str">
        <v>Delhi</v>
      </c>
      <c r="R172" t="str">
        <v>North</v>
      </c>
      <c r="S172" t="str">
        <v>Clothing</v>
      </c>
      <c r="T172" t="str">
        <v>Pants</v>
      </c>
      <c r="U172">
        <v>15</v>
      </c>
      <c r="V172">
        <v>3765.36</v>
      </c>
      <c r="W172">
        <v>56480.4</v>
      </c>
    </row>
    <row r="173" spans="1:23">
      <c r="A173" s="19">
        <v>44987</v>
      </c>
      <c r="B173" t="s">
        <v>1262</v>
      </c>
      <c r="C173" t="s">
        <v>1240</v>
      </c>
      <c r="D173" t="s">
        <v>1232</v>
      </c>
      <c r="E173" t="s">
        <v>1231</v>
      </c>
      <c r="F173" t="s">
        <v>128</v>
      </c>
      <c r="G173" t="s">
        <v>1257</v>
      </c>
      <c r="H173" s="10">
        <v>15</v>
      </c>
      <c r="I173" s="10">
        <v>2194.7199999999998</v>
      </c>
      <c r="J173" s="10">
        <v>32920.800000000003</v>
      </c>
      <c r="K173" s="10"/>
      <c r="N173" s="18">
        <v>45279</v>
      </c>
      <c r="O173" t="str">
        <v>Vihaan</v>
      </c>
      <c r="P173" t="str">
        <v>Karol Bagh</v>
      </c>
      <c r="Q173" t="str">
        <v>Delhi</v>
      </c>
      <c r="R173" t="str">
        <v>North</v>
      </c>
      <c r="S173" t="str">
        <v>Groceries</v>
      </c>
      <c r="T173" t="str">
        <v>Rice</v>
      </c>
      <c r="U173">
        <v>15</v>
      </c>
      <c r="V173">
        <v>3875.6</v>
      </c>
      <c r="W173">
        <v>58134</v>
      </c>
    </row>
    <row r="174" spans="1:23">
      <c r="A174" s="19">
        <v>44987</v>
      </c>
      <c r="B174" t="s">
        <v>1258</v>
      </c>
      <c r="C174" t="s">
        <v>1244</v>
      </c>
      <c r="D174" t="s">
        <v>1243</v>
      </c>
      <c r="E174" t="s">
        <v>1242</v>
      </c>
      <c r="F174" t="s">
        <v>132</v>
      </c>
      <c r="G174" t="s">
        <v>1253</v>
      </c>
      <c r="H174" s="10">
        <v>17</v>
      </c>
      <c r="I174" s="10">
        <v>578.66999999999996</v>
      </c>
      <c r="J174" s="10">
        <v>9837.39</v>
      </c>
      <c r="K174" s="10"/>
      <c r="N174" s="18">
        <v>44996</v>
      </c>
      <c r="O174" t="str">
        <v>Vihaan</v>
      </c>
      <c r="P174" t="str">
        <v>New Delhi</v>
      </c>
      <c r="Q174" t="str">
        <v>Delhi</v>
      </c>
      <c r="R174" t="str">
        <v>North</v>
      </c>
      <c r="S174" t="str">
        <v>Clothing</v>
      </c>
      <c r="T174" t="str">
        <v>Jacket</v>
      </c>
      <c r="U174">
        <v>15</v>
      </c>
      <c r="V174">
        <v>3946.23</v>
      </c>
      <c r="W174">
        <v>59193.45</v>
      </c>
    </row>
    <row r="175" spans="1:23">
      <c r="A175" s="19">
        <v>44988</v>
      </c>
      <c r="B175" t="s">
        <v>1263</v>
      </c>
      <c r="C175" t="s">
        <v>1244</v>
      </c>
      <c r="D175" t="s">
        <v>1243</v>
      </c>
      <c r="E175" t="s">
        <v>1242</v>
      </c>
      <c r="F175" t="s">
        <v>120</v>
      </c>
      <c r="G175" t="s">
        <v>1165</v>
      </c>
      <c r="H175" s="10">
        <v>9</v>
      </c>
      <c r="I175" s="10">
        <v>3122.72</v>
      </c>
      <c r="J175" s="10">
        <v>28104.48</v>
      </c>
      <c r="K175" s="10"/>
      <c r="N175" s="18">
        <v>45201</v>
      </c>
      <c r="O175" t="str">
        <v>Aryan</v>
      </c>
      <c r="P175" t="str">
        <v>New Delhi</v>
      </c>
      <c r="Q175" t="str">
        <v>Delhi</v>
      </c>
      <c r="R175" t="str">
        <v>North</v>
      </c>
      <c r="S175" t="str">
        <v>Groceries</v>
      </c>
      <c r="T175" t="str">
        <v>Oil</v>
      </c>
      <c r="U175">
        <v>14</v>
      </c>
      <c r="V175">
        <v>4235.22</v>
      </c>
      <c r="W175">
        <v>59293.08</v>
      </c>
    </row>
    <row r="176" spans="1:23">
      <c r="A176" s="19">
        <v>44988</v>
      </c>
      <c r="B176" t="s">
        <v>1267</v>
      </c>
      <c r="C176" t="s">
        <v>1169</v>
      </c>
      <c r="D176" t="s">
        <v>1230</v>
      </c>
      <c r="E176" t="s">
        <v>1229</v>
      </c>
      <c r="F176" t="s">
        <v>120</v>
      </c>
      <c r="G176" t="s">
        <v>1275</v>
      </c>
      <c r="H176" s="10">
        <v>18</v>
      </c>
      <c r="I176" s="10">
        <v>3916.11</v>
      </c>
      <c r="J176" s="10">
        <v>70489.98</v>
      </c>
      <c r="K176" s="10"/>
      <c r="N176" s="18">
        <v>44943</v>
      </c>
      <c r="O176" t="str">
        <v>Aryan</v>
      </c>
      <c r="P176" t="str">
        <v>Dwarka</v>
      </c>
      <c r="Q176" t="str">
        <v>Delhi</v>
      </c>
      <c r="R176" t="str">
        <v>North</v>
      </c>
      <c r="S176" t="str">
        <v>Clothing</v>
      </c>
      <c r="T176" t="str">
        <v>Jacket</v>
      </c>
      <c r="U176">
        <v>15</v>
      </c>
      <c r="V176">
        <v>4060.63</v>
      </c>
      <c r="W176">
        <v>60909.45</v>
      </c>
    </row>
    <row r="177" spans="1:23">
      <c r="A177" s="19">
        <v>44988</v>
      </c>
      <c r="B177" t="s">
        <v>1263</v>
      </c>
      <c r="C177" t="s">
        <v>1246</v>
      </c>
      <c r="D177" t="s">
        <v>1230</v>
      </c>
      <c r="E177" t="s">
        <v>1229</v>
      </c>
      <c r="F177" t="s">
        <v>132</v>
      </c>
      <c r="G177" t="s">
        <v>1253</v>
      </c>
      <c r="H177" s="10">
        <v>14</v>
      </c>
      <c r="I177" s="10">
        <v>3352.19</v>
      </c>
      <c r="J177" s="10">
        <v>46930.66</v>
      </c>
      <c r="K177" s="10"/>
      <c r="N177" s="18">
        <v>45244</v>
      </c>
      <c r="O177" t="str">
        <v>Ananya</v>
      </c>
      <c r="P177" t="str">
        <v>New Delhi</v>
      </c>
      <c r="Q177" t="str">
        <v>Delhi</v>
      </c>
      <c r="R177" t="str">
        <v>North</v>
      </c>
      <c r="S177" t="str">
        <v>Electronics</v>
      </c>
      <c r="T177" t="str">
        <v>Smartphone</v>
      </c>
      <c r="U177">
        <v>14</v>
      </c>
      <c r="V177">
        <v>4406.29</v>
      </c>
      <c r="W177">
        <v>61688.06</v>
      </c>
    </row>
    <row r="178" spans="1:23">
      <c r="A178" s="19">
        <v>44988</v>
      </c>
      <c r="B178" t="s">
        <v>1252</v>
      </c>
      <c r="C178" t="s">
        <v>1245</v>
      </c>
      <c r="D178" t="s">
        <v>1243</v>
      </c>
      <c r="E178" t="s">
        <v>1242</v>
      </c>
      <c r="F178" t="s">
        <v>132</v>
      </c>
      <c r="G178" t="s">
        <v>1279</v>
      </c>
      <c r="H178" s="10">
        <v>12</v>
      </c>
      <c r="I178" s="10">
        <v>3229.61</v>
      </c>
      <c r="J178" s="10">
        <v>38755.32</v>
      </c>
      <c r="K178" s="10"/>
      <c r="N178" s="18">
        <v>44939</v>
      </c>
      <c r="O178" t="str">
        <v>Aditi</v>
      </c>
      <c r="P178" t="str">
        <v>New Delhi</v>
      </c>
      <c r="Q178" t="str">
        <v>Delhi</v>
      </c>
      <c r="R178" t="str">
        <v>North</v>
      </c>
      <c r="S178" t="str">
        <v>Furniture</v>
      </c>
      <c r="T178" t="str">
        <v>Sofa</v>
      </c>
      <c r="U178">
        <v>15</v>
      </c>
      <c r="V178">
        <v>4188.84</v>
      </c>
      <c r="W178">
        <v>62832.6</v>
      </c>
    </row>
    <row r="179" spans="1:23">
      <c r="A179" s="19">
        <v>44989</v>
      </c>
      <c r="B179" t="s">
        <v>1260</v>
      </c>
      <c r="C179" t="s">
        <v>1171</v>
      </c>
      <c r="D179" t="s">
        <v>1237</v>
      </c>
      <c r="E179" t="s">
        <v>1229</v>
      </c>
      <c r="F179" t="s">
        <v>145</v>
      </c>
      <c r="G179" t="s">
        <v>1261</v>
      </c>
      <c r="H179" s="10">
        <v>1</v>
      </c>
      <c r="I179" s="10">
        <v>4192.3900000000003</v>
      </c>
      <c r="J179" s="10">
        <v>4192.3900000000003</v>
      </c>
      <c r="K179" s="10"/>
      <c r="N179" s="18">
        <v>45051</v>
      </c>
      <c r="O179" t="str">
        <v>Kabir</v>
      </c>
      <c r="P179" t="str">
        <v>Karol Bagh</v>
      </c>
      <c r="Q179" t="str">
        <v>Delhi</v>
      </c>
      <c r="R179" t="str">
        <v>North</v>
      </c>
      <c r="S179" t="str">
        <v>Groceries</v>
      </c>
      <c r="T179" t="str">
        <v>Rice</v>
      </c>
      <c r="U179">
        <v>14</v>
      </c>
      <c r="V179">
        <v>4728.4399999999996</v>
      </c>
      <c r="W179">
        <v>66198.16</v>
      </c>
    </row>
    <row r="180" spans="1:23">
      <c r="A180" s="19">
        <v>44989</v>
      </c>
      <c r="B180" t="s">
        <v>1260</v>
      </c>
      <c r="C180" t="s">
        <v>1234</v>
      </c>
      <c r="D180" t="s">
        <v>1232</v>
      </c>
      <c r="E180" t="s">
        <v>1231</v>
      </c>
      <c r="F180" t="s">
        <v>132</v>
      </c>
      <c r="G180" t="s">
        <v>1277</v>
      </c>
      <c r="H180" s="10">
        <v>17</v>
      </c>
      <c r="I180" s="10">
        <v>4415.8500000000004</v>
      </c>
      <c r="J180" s="10">
        <v>75069.45</v>
      </c>
      <c r="K180" s="10"/>
      <c r="N180" s="18">
        <v>45068</v>
      </c>
      <c r="O180" t="str">
        <v>Aryan</v>
      </c>
      <c r="P180" t="str">
        <v>Karol Bagh</v>
      </c>
      <c r="Q180" t="str">
        <v>Delhi</v>
      </c>
      <c r="R180" t="str">
        <v>North</v>
      </c>
      <c r="S180" t="str">
        <v>Clothing</v>
      </c>
      <c r="T180" t="str">
        <v>Pants</v>
      </c>
      <c r="U180">
        <v>19</v>
      </c>
      <c r="V180">
        <v>3485.85</v>
      </c>
      <c r="W180">
        <v>66231.149999999994</v>
      </c>
    </row>
    <row r="181" spans="1:23">
      <c r="A181" s="19">
        <v>44989</v>
      </c>
      <c r="B181" t="s">
        <v>1265</v>
      </c>
      <c r="C181" t="s">
        <v>1233</v>
      </c>
      <c r="D181" t="s">
        <v>1232</v>
      </c>
      <c r="E181" t="s">
        <v>1231</v>
      </c>
      <c r="F181" t="s">
        <v>132</v>
      </c>
      <c r="G181" t="s">
        <v>1279</v>
      </c>
      <c r="H181" s="10">
        <v>16</v>
      </c>
      <c r="I181" s="10">
        <v>4817.63</v>
      </c>
      <c r="J181" s="10">
        <v>77082.080000000002</v>
      </c>
      <c r="K181" s="10"/>
      <c r="N181" s="18">
        <v>44954</v>
      </c>
      <c r="O181" t="str">
        <v>Aarav</v>
      </c>
      <c r="P181" t="str">
        <v>Karol Bagh</v>
      </c>
      <c r="Q181" t="str">
        <v>Delhi</v>
      </c>
      <c r="R181" t="str">
        <v>North</v>
      </c>
      <c r="S181" t="str">
        <v>Furniture</v>
      </c>
      <c r="T181" t="str">
        <v>Sofa</v>
      </c>
      <c r="U181">
        <v>14</v>
      </c>
      <c r="V181">
        <v>4816.3900000000003</v>
      </c>
      <c r="W181">
        <v>67429.460000000006</v>
      </c>
    </row>
    <row r="182" spans="1:23">
      <c r="A182" s="19">
        <v>44989</v>
      </c>
      <c r="B182" t="s">
        <v>1256</v>
      </c>
      <c r="C182" t="s">
        <v>1247</v>
      </c>
      <c r="D182" t="s">
        <v>1243</v>
      </c>
      <c r="E182" t="s">
        <v>1242</v>
      </c>
      <c r="F182" t="s">
        <v>1249</v>
      </c>
      <c r="G182" t="s">
        <v>1268</v>
      </c>
      <c r="H182" s="10">
        <v>7</v>
      </c>
      <c r="I182" s="10">
        <v>217.04</v>
      </c>
      <c r="J182" s="10">
        <v>1519.28</v>
      </c>
      <c r="K182" s="10"/>
      <c r="N182" s="18">
        <v>45071</v>
      </c>
      <c r="O182" t="str">
        <v>Meera</v>
      </c>
      <c r="P182" t="str">
        <v>Dwarka</v>
      </c>
      <c r="Q182" t="str">
        <v>Delhi</v>
      </c>
      <c r="R182" t="str">
        <v>North</v>
      </c>
      <c r="S182" t="str">
        <v>Stationery</v>
      </c>
      <c r="T182" t="str">
        <v>Pen</v>
      </c>
      <c r="U182">
        <v>20</v>
      </c>
      <c r="V182">
        <v>3393.01</v>
      </c>
      <c r="W182">
        <v>67860.2</v>
      </c>
    </row>
    <row r="183" spans="1:23">
      <c r="A183" s="19">
        <v>44991</v>
      </c>
      <c r="B183" t="s">
        <v>1269</v>
      </c>
      <c r="C183" t="s">
        <v>1239</v>
      </c>
      <c r="D183" t="s">
        <v>1237</v>
      </c>
      <c r="E183" t="s">
        <v>1229</v>
      </c>
      <c r="F183" t="s">
        <v>120</v>
      </c>
      <c r="G183" t="s">
        <v>1276</v>
      </c>
      <c r="H183" s="10">
        <v>7</v>
      </c>
      <c r="I183" s="10">
        <v>2083.7800000000002</v>
      </c>
      <c r="J183" s="10">
        <v>14586.46</v>
      </c>
      <c r="K183" s="10"/>
      <c r="N183" s="18">
        <v>45090</v>
      </c>
      <c r="O183" t="str">
        <v>Kabir</v>
      </c>
      <c r="P183" t="str">
        <v>Dwarka</v>
      </c>
      <c r="Q183" t="str">
        <v>Delhi</v>
      </c>
      <c r="R183" t="str">
        <v>North</v>
      </c>
      <c r="S183" t="str">
        <v>Electronics</v>
      </c>
      <c r="T183" t="str">
        <v>Laptop</v>
      </c>
      <c r="U183">
        <v>15</v>
      </c>
      <c r="V183">
        <v>4554.78</v>
      </c>
      <c r="W183">
        <v>68321.7</v>
      </c>
    </row>
    <row r="184" spans="1:23">
      <c r="A184" s="19">
        <v>44991</v>
      </c>
      <c r="B184" t="s">
        <v>1263</v>
      </c>
      <c r="C184" t="s">
        <v>1245</v>
      </c>
      <c r="D184" t="s">
        <v>1243</v>
      </c>
      <c r="E184" t="s">
        <v>1242</v>
      </c>
      <c r="F184" t="s">
        <v>132</v>
      </c>
      <c r="G184" t="s">
        <v>1279</v>
      </c>
      <c r="H184" s="10">
        <v>5</v>
      </c>
      <c r="I184" s="10">
        <v>2849.56</v>
      </c>
      <c r="J184" s="10">
        <v>14247.8</v>
      </c>
      <c r="K184" s="10"/>
      <c r="N184" s="18">
        <v>44929</v>
      </c>
      <c r="O184" t="str">
        <v>Aarav</v>
      </c>
      <c r="P184" t="str">
        <v>New Delhi</v>
      </c>
      <c r="Q184" t="str">
        <v>Delhi</v>
      </c>
      <c r="R184" t="str">
        <v>North</v>
      </c>
      <c r="S184" t="str">
        <v>Clothing</v>
      </c>
      <c r="T184" t="str">
        <v>Shirt</v>
      </c>
      <c r="U184">
        <v>20</v>
      </c>
      <c r="V184">
        <v>3463.6</v>
      </c>
      <c r="W184">
        <v>69272</v>
      </c>
    </row>
    <row r="185" spans="1:23">
      <c r="A185" s="19">
        <v>44992</v>
      </c>
      <c r="B185" t="s">
        <v>1260</v>
      </c>
      <c r="C185" t="s">
        <v>1241</v>
      </c>
      <c r="D185" t="s">
        <v>1235</v>
      </c>
      <c r="E185" t="s">
        <v>1231</v>
      </c>
      <c r="F185" t="s">
        <v>120</v>
      </c>
      <c r="G185" t="s">
        <v>1275</v>
      </c>
      <c r="H185" s="10">
        <v>17</v>
      </c>
      <c r="I185" s="10">
        <v>2460.73</v>
      </c>
      <c r="J185" s="10">
        <v>41832.410000000003</v>
      </c>
      <c r="K185" s="10"/>
      <c r="N185" s="18">
        <v>45000</v>
      </c>
      <c r="O185" t="str">
        <v>Meera</v>
      </c>
      <c r="P185" t="str">
        <v>New Delhi</v>
      </c>
      <c r="Q185" t="str">
        <v>Delhi</v>
      </c>
      <c r="R185" t="str">
        <v>North</v>
      </c>
      <c r="S185" t="str">
        <v>Stationery</v>
      </c>
      <c r="T185" t="str">
        <v>Pen</v>
      </c>
      <c r="U185">
        <v>19</v>
      </c>
      <c r="V185">
        <v>3800.55</v>
      </c>
      <c r="W185">
        <v>72210.45</v>
      </c>
    </row>
    <row r="186" spans="1:23">
      <c r="A186" s="19">
        <v>44993</v>
      </c>
      <c r="B186" t="s">
        <v>1269</v>
      </c>
      <c r="C186" t="s">
        <v>1169</v>
      </c>
      <c r="D186" t="s">
        <v>1230</v>
      </c>
      <c r="E186" t="s">
        <v>1229</v>
      </c>
      <c r="F186" t="s">
        <v>145</v>
      </c>
      <c r="G186" t="s">
        <v>1278</v>
      </c>
      <c r="H186" s="10">
        <v>11</v>
      </c>
      <c r="I186" s="10">
        <v>4890.92</v>
      </c>
      <c r="J186" s="10">
        <v>53800.12</v>
      </c>
      <c r="K186" s="10"/>
      <c r="N186" s="18">
        <v>45153</v>
      </c>
      <c r="O186" t="str">
        <v>Vihaan</v>
      </c>
      <c r="P186" t="str">
        <v>New Delhi</v>
      </c>
      <c r="Q186" t="str">
        <v>Delhi</v>
      </c>
      <c r="R186" t="str">
        <v>North</v>
      </c>
      <c r="S186" t="str">
        <v>Clothing</v>
      </c>
      <c r="T186" t="str">
        <v>Shirt</v>
      </c>
      <c r="U186">
        <v>19</v>
      </c>
      <c r="V186">
        <v>3822.54</v>
      </c>
      <c r="W186">
        <v>72628.259999999995</v>
      </c>
    </row>
    <row r="187" spans="1:23">
      <c r="A187" s="19">
        <v>44993</v>
      </c>
      <c r="B187" t="s">
        <v>1265</v>
      </c>
      <c r="C187" t="s">
        <v>1238</v>
      </c>
      <c r="D187" t="s">
        <v>1235</v>
      </c>
      <c r="E187" t="s">
        <v>1231</v>
      </c>
      <c r="F187" t="s">
        <v>120</v>
      </c>
      <c r="G187" t="s">
        <v>1276</v>
      </c>
      <c r="H187" s="10">
        <v>4</v>
      </c>
      <c r="I187" s="10">
        <v>3022.21</v>
      </c>
      <c r="J187" s="10">
        <v>12088.84</v>
      </c>
      <c r="K187" s="10"/>
      <c r="N187" s="18">
        <v>44954</v>
      </c>
      <c r="O187" t="str">
        <v>Vihaan</v>
      </c>
      <c r="P187" t="str">
        <v>Karol Bagh</v>
      </c>
      <c r="Q187" t="str">
        <v>Delhi</v>
      </c>
      <c r="R187" t="str">
        <v>North</v>
      </c>
      <c r="S187" t="str">
        <v>Stationery</v>
      </c>
      <c r="T187" t="str">
        <v>Notebook</v>
      </c>
      <c r="U187">
        <v>19</v>
      </c>
      <c r="V187">
        <v>3901.75</v>
      </c>
      <c r="W187">
        <v>74133.25</v>
      </c>
    </row>
    <row r="188" spans="1:23">
      <c r="A188" s="19">
        <v>44993</v>
      </c>
      <c r="B188" t="s">
        <v>1256</v>
      </c>
      <c r="C188" t="s">
        <v>1244</v>
      </c>
      <c r="D188" t="s">
        <v>1243</v>
      </c>
      <c r="E188" t="s">
        <v>1242</v>
      </c>
      <c r="F188" t="s">
        <v>128</v>
      </c>
      <c r="G188" t="s">
        <v>1257</v>
      </c>
      <c r="H188" s="10">
        <v>14</v>
      </c>
      <c r="I188" s="10">
        <v>271.27</v>
      </c>
      <c r="J188" s="10">
        <v>3797.78</v>
      </c>
      <c r="K188" s="10"/>
      <c r="N188" s="18">
        <v>45229</v>
      </c>
      <c r="O188" t="str">
        <v>Aarav</v>
      </c>
      <c r="P188" t="str">
        <v>New Delhi</v>
      </c>
      <c r="Q188" t="str">
        <v>Delhi</v>
      </c>
      <c r="R188" t="str">
        <v>North</v>
      </c>
      <c r="S188" t="str">
        <v>Groceries</v>
      </c>
      <c r="T188" t="str">
        <v>Sugar</v>
      </c>
      <c r="U188">
        <v>19</v>
      </c>
      <c r="V188">
        <v>3968.42</v>
      </c>
      <c r="W188">
        <v>75399.98</v>
      </c>
    </row>
    <row r="189" spans="1:23">
      <c r="A189" s="19">
        <v>44993</v>
      </c>
      <c r="B189" t="s">
        <v>1265</v>
      </c>
      <c r="C189" t="s">
        <v>1247</v>
      </c>
      <c r="D189" t="s">
        <v>1243</v>
      </c>
      <c r="E189" t="s">
        <v>1242</v>
      </c>
      <c r="F189" t="s">
        <v>1249</v>
      </c>
      <c r="G189" t="s">
        <v>1270</v>
      </c>
      <c r="H189" s="10">
        <v>6</v>
      </c>
      <c r="I189" s="10">
        <v>3918.07</v>
      </c>
      <c r="J189" s="10">
        <v>23508.42</v>
      </c>
      <c r="K189" s="10"/>
      <c r="N189" s="18">
        <v>45181</v>
      </c>
      <c r="O189" t="str">
        <v>Vihaan</v>
      </c>
      <c r="P189" t="str">
        <v>Karol Bagh</v>
      </c>
      <c r="Q189" t="str">
        <v>Delhi</v>
      </c>
      <c r="R189" t="str">
        <v>North</v>
      </c>
      <c r="S189" t="str">
        <v>Groceries</v>
      </c>
      <c r="T189" t="str">
        <v>Lentils</v>
      </c>
      <c r="U189">
        <v>16</v>
      </c>
      <c r="V189">
        <v>4826.2</v>
      </c>
      <c r="W189">
        <v>77219.199999999997</v>
      </c>
    </row>
    <row r="190" spans="1:23">
      <c r="A190" s="19">
        <v>44994</v>
      </c>
      <c r="B190" t="s">
        <v>1262</v>
      </c>
      <c r="C190" t="s">
        <v>1248</v>
      </c>
      <c r="D190" t="s">
        <v>1230</v>
      </c>
      <c r="E190" t="s">
        <v>1229</v>
      </c>
      <c r="F190" t="s">
        <v>1249</v>
      </c>
      <c r="G190" t="s">
        <v>1272</v>
      </c>
      <c r="H190" s="10">
        <v>11</v>
      </c>
      <c r="I190" s="10">
        <v>4209.66</v>
      </c>
      <c r="J190" s="10">
        <v>46306.26</v>
      </c>
      <c r="K190" s="10"/>
      <c r="N190" s="18">
        <v>45206</v>
      </c>
      <c r="O190" t="str">
        <v>Aarav</v>
      </c>
      <c r="P190" t="str">
        <v>Dwarka</v>
      </c>
      <c r="Q190" t="str">
        <v>Delhi</v>
      </c>
      <c r="R190" t="str">
        <v>North</v>
      </c>
      <c r="S190" t="str">
        <v>Furniture</v>
      </c>
      <c r="T190" t="str">
        <v>Sofa</v>
      </c>
      <c r="U190">
        <v>19</v>
      </c>
      <c r="V190">
        <v>4089.21</v>
      </c>
      <c r="W190">
        <v>77694.990000000005</v>
      </c>
    </row>
    <row r="191" spans="1:23">
      <c r="A191" s="19">
        <v>44994</v>
      </c>
      <c r="B191" t="s">
        <v>1258</v>
      </c>
      <c r="C191" t="s">
        <v>1173</v>
      </c>
      <c r="D191" t="s">
        <v>1237</v>
      </c>
      <c r="E191" t="s">
        <v>1229</v>
      </c>
      <c r="F191" t="s">
        <v>1249</v>
      </c>
      <c r="G191" t="s">
        <v>1270</v>
      </c>
      <c r="H191" s="10">
        <v>15</v>
      </c>
      <c r="I191" s="10">
        <v>2540.06</v>
      </c>
      <c r="J191" s="10">
        <v>38100.9</v>
      </c>
      <c r="K191" s="10"/>
      <c r="N191" s="18">
        <v>44942</v>
      </c>
      <c r="O191" t="str">
        <v>Ananya</v>
      </c>
      <c r="P191" t="str">
        <v>New Delhi</v>
      </c>
      <c r="Q191" t="str">
        <v>Delhi</v>
      </c>
      <c r="R191" t="str">
        <v>North</v>
      </c>
      <c r="S191" t="str">
        <v>Electronics</v>
      </c>
      <c r="T191" t="str">
        <v>Headphones</v>
      </c>
      <c r="U191">
        <v>20</v>
      </c>
      <c r="V191">
        <v>3925.65</v>
      </c>
      <c r="W191">
        <v>78513</v>
      </c>
    </row>
    <row r="192" spans="1:23">
      <c r="A192" s="19">
        <v>44995</v>
      </c>
      <c r="B192" t="s">
        <v>1258</v>
      </c>
      <c r="C192" t="s">
        <v>1173</v>
      </c>
      <c r="D192" t="s">
        <v>1237</v>
      </c>
      <c r="E192" t="s">
        <v>1229</v>
      </c>
      <c r="F192" t="s">
        <v>120</v>
      </c>
      <c r="G192" t="s">
        <v>1276</v>
      </c>
      <c r="H192" s="10">
        <v>13</v>
      </c>
      <c r="I192" s="10">
        <v>4196.33</v>
      </c>
      <c r="J192" s="10">
        <v>54552.29</v>
      </c>
      <c r="K192" s="10"/>
      <c r="N192" s="18">
        <v>45211</v>
      </c>
      <c r="O192" t="str">
        <v>Meera</v>
      </c>
      <c r="P192" t="str">
        <v>Dwarka</v>
      </c>
      <c r="Q192" t="str">
        <v>Delhi</v>
      </c>
      <c r="R192" t="str">
        <v>North</v>
      </c>
      <c r="S192" t="str">
        <v>Electronics</v>
      </c>
      <c r="T192" t="str">
        <v>Tablet</v>
      </c>
      <c r="U192">
        <v>20</v>
      </c>
      <c r="V192">
        <v>4049.4</v>
      </c>
      <c r="W192">
        <v>80988</v>
      </c>
    </row>
    <row r="193" spans="1:23">
      <c r="A193" s="19">
        <v>44995</v>
      </c>
      <c r="B193" t="s">
        <v>1252</v>
      </c>
      <c r="C193" t="s">
        <v>1173</v>
      </c>
      <c r="D193" t="s">
        <v>1237</v>
      </c>
      <c r="E193" t="s">
        <v>1229</v>
      </c>
      <c r="F193" t="s">
        <v>120</v>
      </c>
      <c r="G193" t="s">
        <v>1165</v>
      </c>
      <c r="H193" s="10">
        <v>15</v>
      </c>
      <c r="I193" s="10">
        <v>4310.01</v>
      </c>
      <c r="J193" s="10">
        <v>64650.15</v>
      </c>
      <c r="K193" s="10"/>
      <c r="N193" s="18">
        <v>44977</v>
      </c>
      <c r="O193" t="str">
        <v>Ishita</v>
      </c>
      <c r="P193" t="str">
        <v>Dwarka</v>
      </c>
      <c r="Q193" t="str">
        <v>Delhi</v>
      </c>
      <c r="R193" t="str">
        <v>North</v>
      </c>
      <c r="S193" t="str">
        <v>Stationery</v>
      </c>
      <c r="T193" t="str">
        <v>Eraser</v>
      </c>
      <c r="U193">
        <v>19</v>
      </c>
      <c r="V193">
        <v>4528.95</v>
      </c>
      <c r="W193">
        <v>86050.05</v>
      </c>
    </row>
    <row r="194" spans="1:23">
      <c r="A194" s="19">
        <v>44995</v>
      </c>
      <c r="B194" t="s">
        <v>1254</v>
      </c>
      <c r="C194" t="s">
        <v>1233</v>
      </c>
      <c r="D194" t="s">
        <v>1232</v>
      </c>
      <c r="E194" t="s">
        <v>1231</v>
      </c>
      <c r="F194" t="s">
        <v>1249</v>
      </c>
      <c r="G194" t="s">
        <v>1272</v>
      </c>
      <c r="H194" s="10">
        <v>18</v>
      </c>
      <c r="I194" s="10">
        <v>2299.9299999999998</v>
      </c>
      <c r="J194" s="10">
        <v>41398.74</v>
      </c>
      <c r="K194" s="10"/>
      <c r="N194" s="18">
        <v>45122</v>
      </c>
      <c r="O194" t="str">
        <v>Aarav</v>
      </c>
      <c r="P194" t="str">
        <v>Dwarka</v>
      </c>
      <c r="Q194" t="str">
        <v>Delhi</v>
      </c>
      <c r="R194" t="str">
        <v>North</v>
      </c>
      <c r="S194" t="str">
        <v>Groceries</v>
      </c>
      <c r="T194" t="str">
        <v>Sugar</v>
      </c>
      <c r="U194">
        <v>20</v>
      </c>
      <c r="V194">
        <v>4711.51</v>
      </c>
      <c r="W194">
        <v>94230.2</v>
      </c>
    </row>
    <row r="195" spans="1:23">
      <c r="A195" s="19">
        <v>44996</v>
      </c>
      <c r="B195" t="s">
        <v>1267</v>
      </c>
      <c r="C195" t="s">
        <v>1248</v>
      </c>
      <c r="D195" t="s">
        <v>1230</v>
      </c>
      <c r="E195" t="s">
        <v>1229</v>
      </c>
      <c r="F195" t="s">
        <v>128</v>
      </c>
      <c r="G195" t="s">
        <v>1257</v>
      </c>
      <c r="H195" s="10">
        <v>20</v>
      </c>
      <c r="I195" s="10">
        <v>1690.56</v>
      </c>
      <c r="J195" s="10">
        <v>33811.199999999997</v>
      </c>
      <c r="K195" s="10"/>
    </row>
    <row r="196" spans="1:23">
      <c r="A196" s="19">
        <v>44996</v>
      </c>
      <c r="B196" t="s">
        <v>1269</v>
      </c>
      <c r="C196" t="s">
        <v>1245</v>
      </c>
      <c r="D196" t="s">
        <v>1243</v>
      </c>
      <c r="E196" t="s">
        <v>1242</v>
      </c>
      <c r="F196" t="s">
        <v>145</v>
      </c>
      <c r="G196" t="s">
        <v>1278</v>
      </c>
      <c r="H196" s="10">
        <v>1</v>
      </c>
      <c r="I196" s="10">
        <v>936.56</v>
      </c>
      <c r="J196" s="10">
        <v>936.56</v>
      </c>
      <c r="K196" s="10"/>
    </row>
    <row r="197" spans="1:23">
      <c r="A197" s="19">
        <v>44996</v>
      </c>
      <c r="B197" t="s">
        <v>1269</v>
      </c>
      <c r="C197" t="s">
        <v>1173</v>
      </c>
      <c r="D197" t="s">
        <v>1237</v>
      </c>
      <c r="E197" t="s">
        <v>1229</v>
      </c>
      <c r="F197" t="s">
        <v>120</v>
      </c>
      <c r="G197" t="s">
        <v>1164</v>
      </c>
      <c r="H197" s="10">
        <v>13</v>
      </c>
      <c r="I197" s="10">
        <v>4090.9</v>
      </c>
      <c r="J197" s="10">
        <v>53181.7</v>
      </c>
      <c r="K197" s="10"/>
    </row>
    <row r="198" spans="1:23">
      <c r="A198" s="19">
        <v>44996</v>
      </c>
      <c r="B198" t="s">
        <v>1258</v>
      </c>
      <c r="C198" t="s">
        <v>1171</v>
      </c>
      <c r="D198" t="s">
        <v>1237</v>
      </c>
      <c r="E198" t="s">
        <v>1229</v>
      </c>
      <c r="F198" t="s">
        <v>1249</v>
      </c>
      <c r="G198" t="s">
        <v>1270</v>
      </c>
      <c r="H198" s="10">
        <v>7</v>
      </c>
      <c r="I198" s="10">
        <v>1640.58</v>
      </c>
      <c r="J198" s="10">
        <v>11484.06</v>
      </c>
      <c r="K198" s="10"/>
    </row>
    <row r="199" spans="1:23">
      <c r="A199" s="19">
        <v>44996</v>
      </c>
      <c r="B199" t="s">
        <v>1254</v>
      </c>
      <c r="C199" t="s">
        <v>1236</v>
      </c>
      <c r="D199" t="s">
        <v>1235</v>
      </c>
      <c r="E199" t="s">
        <v>1231</v>
      </c>
      <c r="F199" t="s">
        <v>132</v>
      </c>
      <c r="G199" t="s">
        <v>1277</v>
      </c>
      <c r="H199" s="10">
        <v>18</v>
      </c>
      <c r="I199" s="10">
        <v>2231.56</v>
      </c>
      <c r="J199" s="10">
        <v>40168.080000000002</v>
      </c>
      <c r="K199" s="10"/>
    </row>
    <row r="200" spans="1:23">
      <c r="A200" s="19">
        <v>44996</v>
      </c>
      <c r="B200" t="s">
        <v>1254</v>
      </c>
      <c r="C200" t="s">
        <v>1245</v>
      </c>
      <c r="D200" t="s">
        <v>1243</v>
      </c>
      <c r="E200" t="s">
        <v>1242</v>
      </c>
      <c r="F200" t="s">
        <v>128</v>
      </c>
      <c r="G200" t="s">
        <v>1273</v>
      </c>
      <c r="H200" s="10">
        <v>15</v>
      </c>
      <c r="I200" s="10">
        <v>3946.23</v>
      </c>
      <c r="J200" s="10">
        <v>59193.45</v>
      </c>
      <c r="K200" s="10"/>
    </row>
    <row r="201" spans="1:23">
      <c r="A201" s="19">
        <v>44997</v>
      </c>
      <c r="B201" t="s">
        <v>1263</v>
      </c>
      <c r="C201" t="s">
        <v>1239</v>
      </c>
      <c r="D201" t="s">
        <v>1237</v>
      </c>
      <c r="E201" t="s">
        <v>1229</v>
      </c>
      <c r="F201" t="s">
        <v>120</v>
      </c>
      <c r="G201" t="s">
        <v>1164</v>
      </c>
      <c r="H201" s="10">
        <v>1</v>
      </c>
      <c r="I201" s="10">
        <v>1598.87</v>
      </c>
      <c r="J201" s="10">
        <v>1598.87</v>
      </c>
      <c r="K201" s="10"/>
    </row>
    <row r="202" spans="1:23">
      <c r="A202" s="19">
        <v>44997</v>
      </c>
      <c r="B202" t="s">
        <v>1263</v>
      </c>
      <c r="C202" t="s">
        <v>1171</v>
      </c>
      <c r="D202" t="s">
        <v>1237</v>
      </c>
      <c r="E202" t="s">
        <v>1229</v>
      </c>
      <c r="F202" t="s">
        <v>1249</v>
      </c>
      <c r="G202" t="s">
        <v>1272</v>
      </c>
      <c r="H202" s="10">
        <v>2</v>
      </c>
      <c r="I202" s="10">
        <v>1269.81</v>
      </c>
      <c r="J202" s="10">
        <v>2539.62</v>
      </c>
      <c r="K202" s="10"/>
    </row>
    <row r="203" spans="1:23">
      <c r="A203" s="19">
        <v>44998</v>
      </c>
      <c r="B203" t="s">
        <v>1262</v>
      </c>
      <c r="C203" t="s">
        <v>1246</v>
      </c>
      <c r="D203" t="s">
        <v>1230</v>
      </c>
      <c r="E203" t="s">
        <v>1229</v>
      </c>
      <c r="F203" t="s">
        <v>120</v>
      </c>
      <c r="G203" t="s">
        <v>1275</v>
      </c>
      <c r="H203" s="10">
        <v>20</v>
      </c>
      <c r="I203" s="10">
        <v>2446.21</v>
      </c>
      <c r="J203" s="10">
        <v>48924.2</v>
      </c>
      <c r="K203" s="10"/>
    </row>
    <row r="204" spans="1:23">
      <c r="A204" s="19">
        <v>44998</v>
      </c>
      <c r="B204" t="s">
        <v>1254</v>
      </c>
      <c r="C204" t="s">
        <v>1244</v>
      </c>
      <c r="D204" t="s">
        <v>1243</v>
      </c>
      <c r="E204" t="s">
        <v>1242</v>
      </c>
      <c r="F204" t="s">
        <v>120</v>
      </c>
      <c r="G204" t="s">
        <v>1164</v>
      </c>
      <c r="H204" s="10">
        <v>20</v>
      </c>
      <c r="I204" s="10">
        <v>1637.44</v>
      </c>
      <c r="J204" s="10">
        <v>32748.799999999999</v>
      </c>
      <c r="K204" s="10"/>
    </row>
    <row r="205" spans="1:23">
      <c r="A205" s="19">
        <v>44999</v>
      </c>
      <c r="B205" t="s">
        <v>1263</v>
      </c>
      <c r="C205" t="s">
        <v>1246</v>
      </c>
      <c r="D205" t="s">
        <v>1230</v>
      </c>
      <c r="E205" t="s">
        <v>1229</v>
      </c>
      <c r="F205" t="s">
        <v>128</v>
      </c>
      <c r="G205" t="s">
        <v>1264</v>
      </c>
      <c r="H205" s="10">
        <v>6</v>
      </c>
      <c r="I205" s="10">
        <v>194.62</v>
      </c>
      <c r="J205" s="10">
        <v>1167.72</v>
      </c>
      <c r="K205" s="10"/>
    </row>
    <row r="206" spans="1:23">
      <c r="A206" s="19">
        <v>44999</v>
      </c>
      <c r="B206" t="s">
        <v>1258</v>
      </c>
      <c r="C206" t="s">
        <v>1248</v>
      </c>
      <c r="D206" t="s">
        <v>1230</v>
      </c>
      <c r="E206" t="s">
        <v>1229</v>
      </c>
      <c r="F206" t="s">
        <v>128</v>
      </c>
      <c r="G206" t="s">
        <v>1257</v>
      </c>
      <c r="H206" s="10">
        <v>5</v>
      </c>
      <c r="I206" s="10">
        <v>4686.67</v>
      </c>
      <c r="J206" s="10">
        <v>23433.35</v>
      </c>
      <c r="K206" s="10"/>
    </row>
    <row r="207" spans="1:23">
      <c r="A207" s="19">
        <v>45000</v>
      </c>
      <c r="B207" t="s">
        <v>1252</v>
      </c>
      <c r="C207" t="s">
        <v>1245</v>
      </c>
      <c r="D207" t="s">
        <v>1243</v>
      </c>
      <c r="E207" t="s">
        <v>1242</v>
      </c>
      <c r="F207" t="s">
        <v>145</v>
      </c>
      <c r="G207" t="s">
        <v>1274</v>
      </c>
      <c r="H207" s="10">
        <v>19</v>
      </c>
      <c r="I207" s="10">
        <v>3800.55</v>
      </c>
      <c r="J207" s="10">
        <v>72210.45</v>
      </c>
      <c r="K207" s="10"/>
    </row>
    <row r="208" spans="1:23">
      <c r="A208" s="19">
        <v>45000</v>
      </c>
      <c r="B208" t="s">
        <v>1258</v>
      </c>
      <c r="C208" t="s">
        <v>1241</v>
      </c>
      <c r="D208" t="s">
        <v>1235</v>
      </c>
      <c r="E208" t="s">
        <v>1231</v>
      </c>
      <c r="F208" t="s">
        <v>1249</v>
      </c>
      <c r="G208" t="s">
        <v>1270</v>
      </c>
      <c r="H208" s="10">
        <v>20</v>
      </c>
      <c r="I208" s="10">
        <v>2409.6799999999998</v>
      </c>
      <c r="J208" s="10">
        <v>48193.599999999999</v>
      </c>
      <c r="K208" s="10"/>
    </row>
    <row r="209" spans="1:11">
      <c r="A209" s="19">
        <v>45000</v>
      </c>
      <c r="B209" t="s">
        <v>1252</v>
      </c>
      <c r="C209" t="s">
        <v>1238</v>
      </c>
      <c r="D209" t="s">
        <v>1235</v>
      </c>
      <c r="E209" t="s">
        <v>1231</v>
      </c>
      <c r="F209" t="s">
        <v>1249</v>
      </c>
      <c r="G209" t="s">
        <v>1259</v>
      </c>
      <c r="H209" s="10">
        <v>3</v>
      </c>
      <c r="I209" s="10">
        <v>1810.87</v>
      </c>
      <c r="J209" s="10">
        <v>5432.61</v>
      </c>
      <c r="K209" s="10"/>
    </row>
    <row r="210" spans="1:11">
      <c r="A210" s="19">
        <v>45000</v>
      </c>
      <c r="B210" t="s">
        <v>1260</v>
      </c>
      <c r="C210" t="s">
        <v>1241</v>
      </c>
      <c r="D210" t="s">
        <v>1235</v>
      </c>
      <c r="E210" t="s">
        <v>1231</v>
      </c>
      <c r="F210" t="s">
        <v>128</v>
      </c>
      <c r="G210" t="s">
        <v>1266</v>
      </c>
      <c r="H210" s="10">
        <v>4</v>
      </c>
      <c r="I210" s="10">
        <v>2563.65</v>
      </c>
      <c r="J210" s="10">
        <v>10254.6</v>
      </c>
      <c r="K210" s="10"/>
    </row>
    <row r="211" spans="1:11">
      <c r="A211" s="19">
        <v>45000</v>
      </c>
      <c r="B211" t="s">
        <v>1254</v>
      </c>
      <c r="C211" t="s">
        <v>1240</v>
      </c>
      <c r="D211" t="s">
        <v>1232</v>
      </c>
      <c r="E211" t="s">
        <v>1231</v>
      </c>
      <c r="F211" t="s">
        <v>145</v>
      </c>
      <c r="G211" t="s">
        <v>1278</v>
      </c>
      <c r="H211" s="10">
        <v>20</v>
      </c>
      <c r="I211" s="10">
        <v>827.08</v>
      </c>
      <c r="J211" s="10">
        <v>16541.599999999999</v>
      </c>
      <c r="K211" s="10"/>
    </row>
    <row r="212" spans="1:11">
      <c r="A212" s="19">
        <v>45001</v>
      </c>
      <c r="B212" t="s">
        <v>1256</v>
      </c>
      <c r="C212" t="s">
        <v>1234</v>
      </c>
      <c r="D212" t="s">
        <v>1232</v>
      </c>
      <c r="E212" t="s">
        <v>1231</v>
      </c>
      <c r="F212" t="s">
        <v>120</v>
      </c>
      <c r="G212" t="s">
        <v>1275</v>
      </c>
      <c r="H212" s="10">
        <v>19</v>
      </c>
      <c r="I212" s="10">
        <v>2240.89</v>
      </c>
      <c r="J212" s="10">
        <v>42576.91</v>
      </c>
      <c r="K212" s="10"/>
    </row>
    <row r="213" spans="1:11">
      <c r="A213" s="19">
        <v>45002</v>
      </c>
      <c r="B213" t="s">
        <v>1256</v>
      </c>
      <c r="C213" t="s">
        <v>1248</v>
      </c>
      <c r="D213" t="s">
        <v>1230</v>
      </c>
      <c r="E213" t="s">
        <v>1229</v>
      </c>
      <c r="F213" t="s">
        <v>132</v>
      </c>
      <c r="G213" t="s">
        <v>1277</v>
      </c>
      <c r="H213" s="10">
        <v>16</v>
      </c>
      <c r="I213" s="10">
        <v>4624.91</v>
      </c>
      <c r="J213" s="10">
        <v>73998.559999999998</v>
      </c>
      <c r="K213" s="10"/>
    </row>
    <row r="214" spans="1:11">
      <c r="A214" s="19">
        <v>45002</v>
      </c>
      <c r="B214" t="s">
        <v>1256</v>
      </c>
      <c r="C214" t="s">
        <v>1171</v>
      </c>
      <c r="D214" t="s">
        <v>1237</v>
      </c>
      <c r="E214" t="s">
        <v>1229</v>
      </c>
      <c r="F214" t="s">
        <v>1249</v>
      </c>
      <c r="G214" t="s">
        <v>1272</v>
      </c>
      <c r="H214" s="10">
        <v>5</v>
      </c>
      <c r="I214" s="10">
        <v>3775.72</v>
      </c>
      <c r="J214" s="10">
        <v>18878.599999999999</v>
      </c>
      <c r="K214" s="10"/>
    </row>
    <row r="215" spans="1:11">
      <c r="A215" s="19">
        <v>45002</v>
      </c>
      <c r="B215" t="s">
        <v>1262</v>
      </c>
      <c r="C215" t="s">
        <v>1241</v>
      </c>
      <c r="D215" t="s">
        <v>1235</v>
      </c>
      <c r="E215" t="s">
        <v>1231</v>
      </c>
      <c r="F215" t="s">
        <v>132</v>
      </c>
      <c r="G215" t="s">
        <v>1279</v>
      </c>
      <c r="H215" s="10">
        <v>8</v>
      </c>
      <c r="I215" s="10">
        <v>3628.65</v>
      </c>
      <c r="J215" s="10">
        <v>29029.200000000001</v>
      </c>
      <c r="K215" s="10"/>
    </row>
    <row r="216" spans="1:11">
      <c r="A216" s="19">
        <v>45002</v>
      </c>
      <c r="B216" t="s">
        <v>1265</v>
      </c>
      <c r="C216" t="s">
        <v>1233</v>
      </c>
      <c r="D216" t="s">
        <v>1232</v>
      </c>
      <c r="E216" t="s">
        <v>1231</v>
      </c>
      <c r="F216" t="s">
        <v>128</v>
      </c>
      <c r="G216" t="s">
        <v>1266</v>
      </c>
      <c r="H216" s="10">
        <v>8</v>
      </c>
      <c r="I216" s="10">
        <v>2240.2199999999998</v>
      </c>
      <c r="J216" s="10">
        <v>17921.759999999998</v>
      </c>
      <c r="K216" s="10"/>
    </row>
    <row r="217" spans="1:11">
      <c r="A217" s="19">
        <v>45002</v>
      </c>
      <c r="B217" t="s">
        <v>1260</v>
      </c>
      <c r="C217" t="s">
        <v>1238</v>
      </c>
      <c r="D217" t="s">
        <v>1235</v>
      </c>
      <c r="E217" t="s">
        <v>1231</v>
      </c>
      <c r="F217" t="s">
        <v>145</v>
      </c>
      <c r="G217" t="s">
        <v>1261</v>
      </c>
      <c r="H217" s="10">
        <v>6</v>
      </c>
      <c r="I217" s="10">
        <v>1919.03</v>
      </c>
      <c r="J217" s="10">
        <v>11514.18</v>
      </c>
      <c r="K217" s="10"/>
    </row>
    <row r="218" spans="1:11">
      <c r="A218" s="19">
        <v>45003</v>
      </c>
      <c r="B218" t="s">
        <v>1260</v>
      </c>
      <c r="C218" t="s">
        <v>1236</v>
      </c>
      <c r="D218" t="s">
        <v>1235</v>
      </c>
      <c r="E218" t="s">
        <v>1231</v>
      </c>
      <c r="F218" t="s">
        <v>120</v>
      </c>
      <c r="G218" t="s">
        <v>1275</v>
      </c>
      <c r="H218" s="10">
        <v>5</v>
      </c>
      <c r="I218" s="10">
        <v>3058.74</v>
      </c>
      <c r="J218" s="10">
        <v>15293.7</v>
      </c>
      <c r="K218" s="10"/>
    </row>
    <row r="219" spans="1:11">
      <c r="A219" s="19">
        <v>45003</v>
      </c>
      <c r="B219" t="s">
        <v>1267</v>
      </c>
      <c r="C219" t="s">
        <v>1240</v>
      </c>
      <c r="D219" t="s">
        <v>1232</v>
      </c>
      <c r="E219" t="s">
        <v>1231</v>
      </c>
      <c r="F219" t="s">
        <v>120</v>
      </c>
      <c r="G219" t="s">
        <v>1164</v>
      </c>
      <c r="H219" s="10">
        <v>8</v>
      </c>
      <c r="I219" s="10">
        <v>827.02</v>
      </c>
      <c r="J219" s="10">
        <v>6616.16</v>
      </c>
      <c r="K219" s="10"/>
    </row>
    <row r="220" spans="1:11">
      <c r="A220" s="19">
        <v>45003</v>
      </c>
      <c r="B220" t="s">
        <v>1267</v>
      </c>
      <c r="C220" t="s">
        <v>1239</v>
      </c>
      <c r="D220" t="s">
        <v>1237</v>
      </c>
      <c r="E220" t="s">
        <v>1229</v>
      </c>
      <c r="F220" t="s">
        <v>128</v>
      </c>
      <c r="G220" t="s">
        <v>1264</v>
      </c>
      <c r="H220" s="10">
        <v>4</v>
      </c>
      <c r="I220" s="10">
        <v>2985.48</v>
      </c>
      <c r="J220" s="10">
        <v>11941.92</v>
      </c>
      <c r="K220" s="10"/>
    </row>
    <row r="221" spans="1:11">
      <c r="A221" s="19">
        <v>45003</v>
      </c>
      <c r="B221" t="s">
        <v>1256</v>
      </c>
      <c r="C221" t="s">
        <v>1240</v>
      </c>
      <c r="D221" t="s">
        <v>1232</v>
      </c>
      <c r="E221" t="s">
        <v>1231</v>
      </c>
      <c r="F221" t="s">
        <v>120</v>
      </c>
      <c r="G221" t="s">
        <v>1276</v>
      </c>
      <c r="H221" s="10">
        <v>6</v>
      </c>
      <c r="I221" s="10">
        <v>1047.72</v>
      </c>
      <c r="J221" s="10">
        <v>6286.32</v>
      </c>
      <c r="K221" s="10"/>
    </row>
    <row r="222" spans="1:11">
      <c r="A222" s="19">
        <v>45004</v>
      </c>
      <c r="B222" t="s">
        <v>1260</v>
      </c>
      <c r="C222" t="s">
        <v>1244</v>
      </c>
      <c r="D222" t="s">
        <v>1243</v>
      </c>
      <c r="E222" t="s">
        <v>1242</v>
      </c>
      <c r="F222" t="s">
        <v>120</v>
      </c>
      <c r="G222" t="s">
        <v>1164</v>
      </c>
      <c r="H222" s="10">
        <v>19</v>
      </c>
      <c r="I222" s="10">
        <v>2006.79</v>
      </c>
      <c r="J222" s="10">
        <v>38129.01</v>
      </c>
      <c r="K222" s="10"/>
    </row>
    <row r="223" spans="1:11">
      <c r="A223" s="19">
        <v>45004</v>
      </c>
      <c r="B223" t="s">
        <v>1260</v>
      </c>
      <c r="C223" t="s">
        <v>1169</v>
      </c>
      <c r="D223" t="s">
        <v>1230</v>
      </c>
      <c r="E223" t="s">
        <v>1229</v>
      </c>
      <c r="F223" t="s">
        <v>128</v>
      </c>
      <c r="G223" t="s">
        <v>1264</v>
      </c>
      <c r="H223" s="10">
        <v>17</v>
      </c>
      <c r="I223" s="10">
        <v>3203.04</v>
      </c>
      <c r="J223" s="10">
        <v>54451.68</v>
      </c>
      <c r="K223" s="10"/>
    </row>
    <row r="224" spans="1:11">
      <c r="A224" s="19">
        <v>45004</v>
      </c>
      <c r="B224" t="s">
        <v>1265</v>
      </c>
      <c r="C224" t="s">
        <v>1236</v>
      </c>
      <c r="D224" t="s">
        <v>1235</v>
      </c>
      <c r="E224" t="s">
        <v>1231</v>
      </c>
      <c r="F224" t="s">
        <v>120</v>
      </c>
      <c r="G224" t="s">
        <v>1165</v>
      </c>
      <c r="H224" s="10">
        <v>2</v>
      </c>
      <c r="I224" s="10">
        <v>3830.39</v>
      </c>
      <c r="J224" s="10">
        <v>7660.78</v>
      </c>
      <c r="K224" s="10"/>
    </row>
    <row r="225" spans="1:11">
      <c r="A225" s="19">
        <v>45005</v>
      </c>
      <c r="B225" t="s">
        <v>1269</v>
      </c>
      <c r="C225" t="s">
        <v>1241</v>
      </c>
      <c r="D225" t="s">
        <v>1235</v>
      </c>
      <c r="E225" t="s">
        <v>1231</v>
      </c>
      <c r="F225" t="s">
        <v>128</v>
      </c>
      <c r="G225" t="s">
        <v>1257</v>
      </c>
      <c r="H225" s="10">
        <v>20</v>
      </c>
      <c r="I225" s="10">
        <v>239.35</v>
      </c>
      <c r="J225" s="10">
        <v>4787</v>
      </c>
      <c r="K225" s="10"/>
    </row>
    <row r="226" spans="1:11">
      <c r="A226" s="19">
        <v>45005</v>
      </c>
      <c r="B226" t="s">
        <v>1262</v>
      </c>
      <c r="C226" t="s">
        <v>1171</v>
      </c>
      <c r="D226" t="s">
        <v>1237</v>
      </c>
      <c r="E226" t="s">
        <v>1229</v>
      </c>
      <c r="F226" t="s">
        <v>145</v>
      </c>
      <c r="G226" t="s">
        <v>1274</v>
      </c>
      <c r="H226" s="10">
        <v>9</v>
      </c>
      <c r="I226" s="10">
        <v>4198.92</v>
      </c>
      <c r="J226" s="10">
        <v>37790.28</v>
      </c>
      <c r="K226" s="10"/>
    </row>
    <row r="227" spans="1:11">
      <c r="A227" s="19">
        <v>45005</v>
      </c>
      <c r="B227" t="s">
        <v>1258</v>
      </c>
      <c r="C227" t="s">
        <v>1173</v>
      </c>
      <c r="D227" t="s">
        <v>1237</v>
      </c>
      <c r="E227" t="s">
        <v>1229</v>
      </c>
      <c r="F227" t="s">
        <v>1249</v>
      </c>
      <c r="G227" t="s">
        <v>1268</v>
      </c>
      <c r="H227" s="10">
        <v>10</v>
      </c>
      <c r="I227" s="10">
        <v>2976.69</v>
      </c>
      <c r="J227" s="10">
        <v>29766.9</v>
      </c>
      <c r="K227" s="10"/>
    </row>
    <row r="228" spans="1:11">
      <c r="A228" s="19">
        <v>45005</v>
      </c>
      <c r="B228" t="s">
        <v>1260</v>
      </c>
      <c r="C228" t="s">
        <v>1248</v>
      </c>
      <c r="D228" t="s">
        <v>1230</v>
      </c>
      <c r="E228" t="s">
        <v>1229</v>
      </c>
      <c r="F228" t="s">
        <v>132</v>
      </c>
      <c r="G228" t="s">
        <v>1271</v>
      </c>
      <c r="H228" s="10">
        <v>16</v>
      </c>
      <c r="I228" s="10">
        <v>1018.83</v>
      </c>
      <c r="J228" s="10">
        <v>16301.28</v>
      </c>
      <c r="K228" s="10"/>
    </row>
    <row r="229" spans="1:11">
      <c r="A229" s="19">
        <v>45006</v>
      </c>
      <c r="B229" t="s">
        <v>1265</v>
      </c>
      <c r="C229" t="s">
        <v>1247</v>
      </c>
      <c r="D229" t="s">
        <v>1243</v>
      </c>
      <c r="E229" t="s">
        <v>1242</v>
      </c>
      <c r="F229" t="s">
        <v>120</v>
      </c>
      <c r="G229" t="s">
        <v>1275</v>
      </c>
      <c r="H229" s="10">
        <v>10</v>
      </c>
      <c r="I229" s="10">
        <v>3048.2</v>
      </c>
      <c r="J229" s="10">
        <v>30482</v>
      </c>
      <c r="K229" s="10"/>
    </row>
    <row r="230" spans="1:11">
      <c r="A230" s="19">
        <v>45006</v>
      </c>
      <c r="B230" t="s">
        <v>1269</v>
      </c>
      <c r="C230" t="s">
        <v>1233</v>
      </c>
      <c r="D230" t="s">
        <v>1232</v>
      </c>
      <c r="E230" t="s">
        <v>1231</v>
      </c>
      <c r="F230" t="s">
        <v>128</v>
      </c>
      <c r="G230" t="s">
        <v>1257</v>
      </c>
      <c r="H230" s="10">
        <v>18</v>
      </c>
      <c r="I230" s="10">
        <v>2971.68</v>
      </c>
      <c r="J230" s="10">
        <v>53490.239999999998</v>
      </c>
      <c r="K230" s="10"/>
    </row>
    <row r="231" spans="1:11">
      <c r="A231" s="19">
        <v>45007</v>
      </c>
      <c r="B231" t="s">
        <v>1258</v>
      </c>
      <c r="C231" t="s">
        <v>1241</v>
      </c>
      <c r="D231" t="s">
        <v>1235</v>
      </c>
      <c r="E231" t="s">
        <v>1231</v>
      </c>
      <c r="F231" t="s">
        <v>128</v>
      </c>
      <c r="G231" t="s">
        <v>1257</v>
      </c>
      <c r="H231" s="10">
        <v>15</v>
      </c>
      <c r="I231" s="10">
        <v>211.9</v>
      </c>
      <c r="J231" s="10">
        <v>3178.5</v>
      </c>
      <c r="K231" s="10"/>
    </row>
    <row r="232" spans="1:11">
      <c r="A232" s="19">
        <v>45007</v>
      </c>
      <c r="B232" t="s">
        <v>1256</v>
      </c>
      <c r="C232" t="s">
        <v>1245</v>
      </c>
      <c r="D232" t="s">
        <v>1243</v>
      </c>
      <c r="E232" t="s">
        <v>1242</v>
      </c>
      <c r="F232" t="s">
        <v>128</v>
      </c>
      <c r="G232" t="s">
        <v>1264</v>
      </c>
      <c r="H232" s="10">
        <v>8</v>
      </c>
      <c r="I232" s="10">
        <v>4663.82</v>
      </c>
      <c r="J232" s="10">
        <v>37310.559999999998</v>
      </c>
      <c r="K232" s="10"/>
    </row>
    <row r="233" spans="1:11">
      <c r="A233" s="19">
        <v>45008</v>
      </c>
      <c r="B233" t="s">
        <v>1254</v>
      </c>
      <c r="C233" t="s">
        <v>1245</v>
      </c>
      <c r="D233" t="s">
        <v>1243</v>
      </c>
      <c r="E233" t="s">
        <v>1242</v>
      </c>
      <c r="F233" t="s">
        <v>128</v>
      </c>
      <c r="G233" t="s">
        <v>1264</v>
      </c>
      <c r="H233" s="10">
        <v>12</v>
      </c>
      <c r="I233" s="10">
        <v>957.01</v>
      </c>
      <c r="J233" s="10">
        <v>11484.12</v>
      </c>
      <c r="K233" s="10"/>
    </row>
    <row r="234" spans="1:11">
      <c r="A234" s="19">
        <v>45009</v>
      </c>
      <c r="B234" t="s">
        <v>1254</v>
      </c>
      <c r="C234" t="s">
        <v>1240</v>
      </c>
      <c r="D234" t="s">
        <v>1232</v>
      </c>
      <c r="E234" t="s">
        <v>1231</v>
      </c>
      <c r="F234" t="s">
        <v>132</v>
      </c>
      <c r="G234" t="s">
        <v>1279</v>
      </c>
      <c r="H234" s="10">
        <v>3</v>
      </c>
      <c r="I234" s="10">
        <v>4027.17</v>
      </c>
      <c r="J234" s="10">
        <v>12081.51</v>
      </c>
      <c r="K234" s="10"/>
    </row>
    <row r="235" spans="1:11">
      <c r="A235" s="19">
        <v>45009</v>
      </c>
      <c r="B235" t="s">
        <v>1260</v>
      </c>
      <c r="C235" t="s">
        <v>1241</v>
      </c>
      <c r="D235" t="s">
        <v>1235</v>
      </c>
      <c r="E235" t="s">
        <v>1231</v>
      </c>
      <c r="F235" t="s">
        <v>132</v>
      </c>
      <c r="G235" t="s">
        <v>1279</v>
      </c>
      <c r="H235" s="10">
        <v>5</v>
      </c>
      <c r="I235" s="10">
        <v>2411.33</v>
      </c>
      <c r="J235" s="10">
        <v>12056.65</v>
      </c>
      <c r="K235" s="10"/>
    </row>
    <row r="236" spans="1:11">
      <c r="A236" s="19">
        <v>45009</v>
      </c>
      <c r="B236" t="s">
        <v>1265</v>
      </c>
      <c r="C236" t="s">
        <v>1234</v>
      </c>
      <c r="D236" t="s">
        <v>1232</v>
      </c>
      <c r="E236" t="s">
        <v>1231</v>
      </c>
      <c r="F236" t="s">
        <v>145</v>
      </c>
      <c r="G236" t="s">
        <v>1278</v>
      </c>
      <c r="H236" s="10">
        <v>11</v>
      </c>
      <c r="I236" s="10">
        <v>4382.91</v>
      </c>
      <c r="J236" s="10">
        <v>48212.01</v>
      </c>
      <c r="K236" s="10"/>
    </row>
    <row r="237" spans="1:11">
      <c r="A237" s="19">
        <v>45010</v>
      </c>
      <c r="B237" t="s">
        <v>1269</v>
      </c>
      <c r="C237" t="s">
        <v>1238</v>
      </c>
      <c r="D237" t="s">
        <v>1235</v>
      </c>
      <c r="E237" t="s">
        <v>1231</v>
      </c>
      <c r="F237" t="s">
        <v>1249</v>
      </c>
      <c r="G237" t="s">
        <v>1272</v>
      </c>
      <c r="H237" s="10">
        <v>18</v>
      </c>
      <c r="I237" s="10">
        <v>2773.93</v>
      </c>
      <c r="J237" s="10">
        <v>49930.74</v>
      </c>
      <c r="K237" s="10"/>
    </row>
    <row r="238" spans="1:11">
      <c r="A238" s="19">
        <v>45011</v>
      </c>
      <c r="B238" t="s">
        <v>1263</v>
      </c>
      <c r="C238" t="s">
        <v>1234</v>
      </c>
      <c r="D238" t="s">
        <v>1232</v>
      </c>
      <c r="E238" t="s">
        <v>1231</v>
      </c>
      <c r="F238" t="s">
        <v>132</v>
      </c>
      <c r="G238" t="s">
        <v>1253</v>
      </c>
      <c r="H238" s="10">
        <v>17</v>
      </c>
      <c r="I238" s="10">
        <v>1801.69</v>
      </c>
      <c r="J238" s="10">
        <v>30628.73</v>
      </c>
      <c r="K238" s="10"/>
    </row>
    <row r="239" spans="1:11">
      <c r="A239" s="19">
        <v>45011</v>
      </c>
      <c r="B239" t="s">
        <v>1265</v>
      </c>
      <c r="C239" t="s">
        <v>1244</v>
      </c>
      <c r="D239" t="s">
        <v>1243</v>
      </c>
      <c r="E239" t="s">
        <v>1242</v>
      </c>
      <c r="F239" t="s">
        <v>145</v>
      </c>
      <c r="G239" t="s">
        <v>1274</v>
      </c>
      <c r="H239" s="10">
        <v>5</v>
      </c>
      <c r="I239" s="10">
        <v>355.6</v>
      </c>
      <c r="J239" s="10">
        <v>1778</v>
      </c>
      <c r="K239" s="10"/>
    </row>
    <row r="240" spans="1:11">
      <c r="A240" s="19">
        <v>45011</v>
      </c>
      <c r="B240" t="s">
        <v>1254</v>
      </c>
      <c r="C240" t="s">
        <v>1171</v>
      </c>
      <c r="D240" t="s">
        <v>1237</v>
      </c>
      <c r="E240" t="s">
        <v>1229</v>
      </c>
      <c r="F240" t="s">
        <v>145</v>
      </c>
      <c r="G240" t="s">
        <v>1255</v>
      </c>
      <c r="H240" s="10">
        <v>19</v>
      </c>
      <c r="I240" s="10">
        <v>4786.8900000000003</v>
      </c>
      <c r="J240" s="10">
        <v>90950.91</v>
      </c>
      <c r="K240" s="10"/>
    </row>
    <row r="241" spans="1:11">
      <c r="A241" s="19">
        <v>45011</v>
      </c>
      <c r="B241" t="s">
        <v>1263</v>
      </c>
      <c r="C241" t="s">
        <v>1245</v>
      </c>
      <c r="D241" t="s">
        <v>1243</v>
      </c>
      <c r="E241" t="s">
        <v>1242</v>
      </c>
      <c r="F241" t="s">
        <v>145</v>
      </c>
      <c r="G241" t="s">
        <v>1261</v>
      </c>
      <c r="H241" s="10">
        <v>4</v>
      </c>
      <c r="I241" s="10">
        <v>810.38</v>
      </c>
      <c r="J241" s="10">
        <v>3241.52</v>
      </c>
      <c r="K241" s="10"/>
    </row>
    <row r="242" spans="1:11">
      <c r="A242" s="19">
        <v>45011</v>
      </c>
      <c r="B242" t="s">
        <v>1269</v>
      </c>
      <c r="C242" t="s">
        <v>1247</v>
      </c>
      <c r="D242" t="s">
        <v>1243</v>
      </c>
      <c r="E242" t="s">
        <v>1242</v>
      </c>
      <c r="F242" t="s">
        <v>132</v>
      </c>
      <c r="G242" t="s">
        <v>1271</v>
      </c>
      <c r="H242" s="10">
        <v>17</v>
      </c>
      <c r="I242" s="10">
        <v>2805.45</v>
      </c>
      <c r="J242" s="10">
        <v>47692.65</v>
      </c>
      <c r="K242" s="10"/>
    </row>
    <row r="243" spans="1:11">
      <c r="A243" s="19">
        <v>45012</v>
      </c>
      <c r="B243" t="s">
        <v>1256</v>
      </c>
      <c r="C243" t="s">
        <v>1236</v>
      </c>
      <c r="D243" t="s">
        <v>1235</v>
      </c>
      <c r="E243" t="s">
        <v>1231</v>
      </c>
      <c r="F243" t="s">
        <v>132</v>
      </c>
      <c r="G243" t="s">
        <v>1271</v>
      </c>
      <c r="H243" s="10">
        <v>2</v>
      </c>
      <c r="I243" s="10">
        <v>962.28</v>
      </c>
      <c r="J243" s="10">
        <v>1924.56</v>
      </c>
      <c r="K243" s="10"/>
    </row>
    <row r="244" spans="1:11">
      <c r="A244" s="19">
        <v>45012</v>
      </c>
      <c r="B244" t="s">
        <v>1263</v>
      </c>
      <c r="C244" t="s">
        <v>1236</v>
      </c>
      <c r="D244" t="s">
        <v>1235</v>
      </c>
      <c r="E244" t="s">
        <v>1231</v>
      </c>
      <c r="F244" t="s">
        <v>128</v>
      </c>
      <c r="G244" t="s">
        <v>1273</v>
      </c>
      <c r="H244" s="10">
        <v>16</v>
      </c>
      <c r="I244" s="10">
        <v>3158.66</v>
      </c>
      <c r="J244" s="10">
        <v>50538.559999999998</v>
      </c>
      <c r="K244" s="10"/>
    </row>
    <row r="245" spans="1:11">
      <c r="A245" s="19">
        <v>45012</v>
      </c>
      <c r="B245" t="s">
        <v>1265</v>
      </c>
      <c r="C245" t="s">
        <v>1241</v>
      </c>
      <c r="D245" t="s">
        <v>1235</v>
      </c>
      <c r="E245" t="s">
        <v>1231</v>
      </c>
      <c r="F245" t="s">
        <v>132</v>
      </c>
      <c r="G245" t="s">
        <v>1253</v>
      </c>
      <c r="H245" s="10">
        <v>7</v>
      </c>
      <c r="I245" s="10">
        <v>3836.77</v>
      </c>
      <c r="J245" s="10">
        <v>26857.39</v>
      </c>
      <c r="K245" s="10"/>
    </row>
    <row r="246" spans="1:11">
      <c r="A246" s="19">
        <v>45012</v>
      </c>
      <c r="B246" t="s">
        <v>1269</v>
      </c>
      <c r="C246" t="s">
        <v>1173</v>
      </c>
      <c r="D246" t="s">
        <v>1237</v>
      </c>
      <c r="E246" t="s">
        <v>1229</v>
      </c>
      <c r="F246" t="s">
        <v>145</v>
      </c>
      <c r="G246" t="s">
        <v>1255</v>
      </c>
      <c r="H246" s="10">
        <v>7</v>
      </c>
      <c r="I246" s="10">
        <v>2253.94</v>
      </c>
      <c r="J246" s="10">
        <v>15777.58</v>
      </c>
      <c r="K246" s="10"/>
    </row>
    <row r="247" spans="1:11">
      <c r="A247" s="19">
        <v>45013</v>
      </c>
      <c r="B247" t="s">
        <v>1260</v>
      </c>
      <c r="C247" t="s">
        <v>1233</v>
      </c>
      <c r="D247" t="s">
        <v>1232</v>
      </c>
      <c r="E247" t="s">
        <v>1231</v>
      </c>
      <c r="F247" t="s">
        <v>120</v>
      </c>
      <c r="G247" t="s">
        <v>1165</v>
      </c>
      <c r="H247" s="10">
        <v>1</v>
      </c>
      <c r="I247" s="10">
        <v>2918.29</v>
      </c>
      <c r="J247" s="10">
        <v>2918.29</v>
      </c>
      <c r="K247" s="10"/>
    </row>
    <row r="248" spans="1:11">
      <c r="A248" s="19">
        <v>45014</v>
      </c>
      <c r="B248" t="s">
        <v>1263</v>
      </c>
      <c r="C248" t="s">
        <v>1171</v>
      </c>
      <c r="D248" t="s">
        <v>1237</v>
      </c>
      <c r="E248" t="s">
        <v>1229</v>
      </c>
      <c r="F248" t="s">
        <v>1249</v>
      </c>
      <c r="G248" t="s">
        <v>1270</v>
      </c>
      <c r="H248" s="10">
        <v>6</v>
      </c>
      <c r="I248" s="10">
        <v>549.79999999999995</v>
      </c>
      <c r="J248" s="10">
        <v>3298.8</v>
      </c>
      <c r="K248" s="10"/>
    </row>
    <row r="249" spans="1:11">
      <c r="A249" s="19">
        <v>45014</v>
      </c>
      <c r="B249" t="s">
        <v>1254</v>
      </c>
      <c r="C249" t="s">
        <v>1241</v>
      </c>
      <c r="D249" t="s">
        <v>1235</v>
      </c>
      <c r="E249" t="s">
        <v>1231</v>
      </c>
      <c r="F249" t="s">
        <v>120</v>
      </c>
      <c r="G249" t="s">
        <v>1275</v>
      </c>
      <c r="H249" s="10">
        <v>5</v>
      </c>
      <c r="I249" s="10">
        <v>568.87</v>
      </c>
      <c r="J249" s="10">
        <v>2844.35</v>
      </c>
      <c r="K249" s="10"/>
    </row>
    <row r="250" spans="1:11">
      <c r="A250" s="19">
        <v>45014</v>
      </c>
      <c r="B250" t="s">
        <v>1260</v>
      </c>
      <c r="C250" t="s">
        <v>1171</v>
      </c>
      <c r="D250" t="s">
        <v>1237</v>
      </c>
      <c r="E250" t="s">
        <v>1229</v>
      </c>
      <c r="F250" t="s">
        <v>145</v>
      </c>
      <c r="G250" t="s">
        <v>1274</v>
      </c>
      <c r="H250" s="10">
        <v>4</v>
      </c>
      <c r="I250" s="10">
        <v>942.96</v>
      </c>
      <c r="J250" s="10">
        <v>3771.84</v>
      </c>
      <c r="K250" s="10"/>
    </row>
    <row r="251" spans="1:11">
      <c r="A251" s="19">
        <v>45014</v>
      </c>
      <c r="B251" t="s">
        <v>1254</v>
      </c>
      <c r="C251" t="s">
        <v>1234</v>
      </c>
      <c r="D251" t="s">
        <v>1232</v>
      </c>
      <c r="E251" t="s">
        <v>1231</v>
      </c>
      <c r="F251" t="s">
        <v>132</v>
      </c>
      <c r="G251" t="s">
        <v>1271</v>
      </c>
      <c r="H251" s="10">
        <v>8</v>
      </c>
      <c r="I251" s="10">
        <v>1807.67</v>
      </c>
      <c r="J251" s="10">
        <v>14461.36</v>
      </c>
      <c r="K251" s="10"/>
    </row>
    <row r="252" spans="1:11">
      <c r="A252" s="19">
        <v>45015</v>
      </c>
      <c r="B252" t="s">
        <v>1263</v>
      </c>
      <c r="C252" t="s">
        <v>1245</v>
      </c>
      <c r="D252" t="s">
        <v>1243</v>
      </c>
      <c r="E252" t="s">
        <v>1242</v>
      </c>
      <c r="F252" t="s">
        <v>1249</v>
      </c>
      <c r="G252" t="s">
        <v>1270</v>
      </c>
      <c r="H252" s="10">
        <v>18</v>
      </c>
      <c r="I252" s="10">
        <v>835.8</v>
      </c>
      <c r="J252" s="10">
        <v>15044.4</v>
      </c>
      <c r="K252" s="10"/>
    </row>
    <row r="253" spans="1:11">
      <c r="A253" s="19">
        <v>45015</v>
      </c>
      <c r="B253" t="s">
        <v>1258</v>
      </c>
      <c r="C253" t="s">
        <v>1240</v>
      </c>
      <c r="D253" t="s">
        <v>1232</v>
      </c>
      <c r="E253" t="s">
        <v>1231</v>
      </c>
      <c r="F253" t="s">
        <v>132</v>
      </c>
      <c r="G253" t="s">
        <v>1279</v>
      </c>
      <c r="H253" s="10">
        <v>5</v>
      </c>
      <c r="I253" s="10">
        <v>221.41</v>
      </c>
      <c r="J253" s="10">
        <v>1107.05</v>
      </c>
      <c r="K253" s="10"/>
    </row>
    <row r="254" spans="1:11">
      <c r="A254" s="19">
        <v>45015</v>
      </c>
      <c r="B254" t="s">
        <v>1252</v>
      </c>
      <c r="C254" t="s">
        <v>1239</v>
      </c>
      <c r="D254" t="s">
        <v>1237</v>
      </c>
      <c r="E254" t="s">
        <v>1229</v>
      </c>
      <c r="F254" t="s">
        <v>120</v>
      </c>
      <c r="G254" t="s">
        <v>1165</v>
      </c>
      <c r="H254" s="10">
        <v>13</v>
      </c>
      <c r="I254" s="10">
        <v>4843.21</v>
      </c>
      <c r="J254" s="10">
        <v>62961.73</v>
      </c>
      <c r="K254" s="10"/>
    </row>
    <row r="255" spans="1:11">
      <c r="A255" s="19">
        <v>45016</v>
      </c>
      <c r="B255" t="s">
        <v>1262</v>
      </c>
      <c r="C255" t="s">
        <v>1247</v>
      </c>
      <c r="D255" t="s">
        <v>1243</v>
      </c>
      <c r="E255" t="s">
        <v>1242</v>
      </c>
      <c r="F255" t="s">
        <v>145</v>
      </c>
      <c r="G255" t="s">
        <v>1255</v>
      </c>
      <c r="H255" s="10">
        <v>9</v>
      </c>
      <c r="I255" s="10">
        <v>3727.82</v>
      </c>
      <c r="J255" s="10">
        <v>33550.379999999997</v>
      </c>
      <c r="K255" s="10"/>
    </row>
    <row r="256" spans="1:11">
      <c r="A256" s="19">
        <v>45016</v>
      </c>
      <c r="B256" t="s">
        <v>1262</v>
      </c>
      <c r="C256" t="s">
        <v>1238</v>
      </c>
      <c r="D256" t="s">
        <v>1235</v>
      </c>
      <c r="E256" t="s">
        <v>1231</v>
      </c>
      <c r="F256" t="s">
        <v>145</v>
      </c>
      <c r="G256" t="s">
        <v>1278</v>
      </c>
      <c r="H256" s="10">
        <v>4</v>
      </c>
      <c r="I256" s="10">
        <v>4965.34</v>
      </c>
      <c r="J256" s="10">
        <v>19861.36</v>
      </c>
      <c r="K256" s="10"/>
    </row>
    <row r="257" spans="1:11">
      <c r="A257" s="19">
        <v>45016</v>
      </c>
      <c r="B257" t="s">
        <v>1256</v>
      </c>
      <c r="C257" t="s">
        <v>1248</v>
      </c>
      <c r="D257" t="s">
        <v>1230</v>
      </c>
      <c r="E257" t="s">
        <v>1229</v>
      </c>
      <c r="F257" t="s">
        <v>145</v>
      </c>
      <c r="G257" t="s">
        <v>1274</v>
      </c>
      <c r="H257" s="10">
        <v>17</v>
      </c>
      <c r="I257" s="10">
        <v>3844.7</v>
      </c>
      <c r="J257" s="10">
        <v>65359.9</v>
      </c>
      <c r="K257" s="10"/>
    </row>
    <row r="258" spans="1:11">
      <c r="A258" s="19">
        <v>45017</v>
      </c>
      <c r="B258" t="s">
        <v>1269</v>
      </c>
      <c r="C258" t="s">
        <v>1173</v>
      </c>
      <c r="D258" t="s">
        <v>1237</v>
      </c>
      <c r="E258" t="s">
        <v>1229</v>
      </c>
      <c r="F258" t="s">
        <v>128</v>
      </c>
      <c r="G258" t="s">
        <v>1266</v>
      </c>
      <c r="H258" s="10">
        <v>19</v>
      </c>
      <c r="I258" s="10">
        <v>1065.27</v>
      </c>
      <c r="J258" s="10">
        <v>20240.13</v>
      </c>
      <c r="K258" s="10"/>
    </row>
    <row r="259" spans="1:11">
      <c r="A259" s="19">
        <v>45017</v>
      </c>
      <c r="B259" t="s">
        <v>1269</v>
      </c>
      <c r="C259" t="s">
        <v>1244</v>
      </c>
      <c r="D259" t="s">
        <v>1243</v>
      </c>
      <c r="E259" t="s">
        <v>1242</v>
      </c>
      <c r="F259" t="s">
        <v>120</v>
      </c>
      <c r="G259" t="s">
        <v>1275</v>
      </c>
      <c r="H259" s="10">
        <v>3</v>
      </c>
      <c r="I259" s="10">
        <v>3754.7</v>
      </c>
      <c r="J259" s="10">
        <v>11264.1</v>
      </c>
      <c r="K259" s="10"/>
    </row>
    <row r="260" spans="1:11">
      <c r="A260" s="19">
        <v>45017</v>
      </c>
      <c r="B260" t="s">
        <v>1256</v>
      </c>
      <c r="C260" t="s">
        <v>1241</v>
      </c>
      <c r="D260" t="s">
        <v>1235</v>
      </c>
      <c r="E260" t="s">
        <v>1231</v>
      </c>
      <c r="F260" t="s">
        <v>145</v>
      </c>
      <c r="G260" t="s">
        <v>1278</v>
      </c>
      <c r="H260" s="10">
        <v>13</v>
      </c>
      <c r="I260" s="10">
        <v>513.05999999999995</v>
      </c>
      <c r="J260" s="10">
        <v>6669.78</v>
      </c>
      <c r="K260" s="10"/>
    </row>
    <row r="261" spans="1:11">
      <c r="A261" s="19">
        <v>45018</v>
      </c>
      <c r="B261" t="s">
        <v>1254</v>
      </c>
      <c r="C261" t="s">
        <v>1241</v>
      </c>
      <c r="D261" t="s">
        <v>1235</v>
      </c>
      <c r="E261" t="s">
        <v>1231</v>
      </c>
      <c r="F261" t="s">
        <v>1249</v>
      </c>
      <c r="G261" t="s">
        <v>1270</v>
      </c>
      <c r="H261" s="10">
        <v>3</v>
      </c>
      <c r="I261" s="10">
        <v>1435.01</v>
      </c>
      <c r="J261" s="10">
        <v>4305.03</v>
      </c>
      <c r="K261" s="10"/>
    </row>
    <row r="262" spans="1:11">
      <c r="A262" s="19">
        <v>45018</v>
      </c>
      <c r="B262" t="s">
        <v>1258</v>
      </c>
      <c r="C262" t="s">
        <v>1244</v>
      </c>
      <c r="D262" t="s">
        <v>1243</v>
      </c>
      <c r="E262" t="s">
        <v>1242</v>
      </c>
      <c r="F262" t="s">
        <v>120</v>
      </c>
      <c r="G262" t="s">
        <v>1164</v>
      </c>
      <c r="H262" s="10">
        <v>1</v>
      </c>
      <c r="I262" s="10">
        <v>3187.31</v>
      </c>
      <c r="J262" s="10">
        <v>3187.31</v>
      </c>
      <c r="K262" s="10"/>
    </row>
    <row r="263" spans="1:11">
      <c r="A263" s="19">
        <v>45018</v>
      </c>
      <c r="B263" t="s">
        <v>1265</v>
      </c>
      <c r="C263" t="s">
        <v>1236</v>
      </c>
      <c r="D263" t="s">
        <v>1235</v>
      </c>
      <c r="E263" t="s">
        <v>1231</v>
      </c>
      <c r="F263" t="s">
        <v>120</v>
      </c>
      <c r="G263" t="s">
        <v>1164</v>
      </c>
      <c r="H263" s="10">
        <v>14</v>
      </c>
      <c r="I263" s="10">
        <v>1247.48</v>
      </c>
      <c r="J263" s="10">
        <v>17464.72</v>
      </c>
      <c r="K263" s="10"/>
    </row>
    <row r="264" spans="1:11">
      <c r="A264" s="19">
        <v>45020</v>
      </c>
      <c r="B264" t="s">
        <v>1260</v>
      </c>
      <c r="C264" t="s">
        <v>1247</v>
      </c>
      <c r="D264" t="s">
        <v>1243</v>
      </c>
      <c r="E264" t="s">
        <v>1242</v>
      </c>
      <c r="F264" t="s">
        <v>120</v>
      </c>
      <c r="G264" t="s">
        <v>1275</v>
      </c>
      <c r="H264" s="10">
        <v>7</v>
      </c>
      <c r="I264" s="10">
        <v>1160.3499999999999</v>
      </c>
      <c r="J264" s="10">
        <v>8122.45</v>
      </c>
      <c r="K264" s="10"/>
    </row>
    <row r="265" spans="1:11">
      <c r="A265" s="19">
        <v>45021</v>
      </c>
      <c r="B265" t="s">
        <v>1267</v>
      </c>
      <c r="C265" t="s">
        <v>1173</v>
      </c>
      <c r="D265" t="s">
        <v>1237</v>
      </c>
      <c r="E265" t="s">
        <v>1229</v>
      </c>
      <c r="F265" t="s">
        <v>1249</v>
      </c>
      <c r="G265" t="s">
        <v>1270</v>
      </c>
      <c r="H265" s="10">
        <v>4</v>
      </c>
      <c r="I265" s="10">
        <v>1208.42</v>
      </c>
      <c r="J265" s="10">
        <v>4833.68</v>
      </c>
      <c r="K265" s="10"/>
    </row>
    <row r="266" spans="1:11">
      <c r="A266" s="19">
        <v>45021</v>
      </c>
      <c r="B266" t="s">
        <v>1252</v>
      </c>
      <c r="C266" t="s">
        <v>1248</v>
      </c>
      <c r="D266" t="s">
        <v>1230</v>
      </c>
      <c r="E266" t="s">
        <v>1229</v>
      </c>
      <c r="F266" t="s">
        <v>128</v>
      </c>
      <c r="G266" t="s">
        <v>1264</v>
      </c>
      <c r="H266" s="10">
        <v>4</v>
      </c>
      <c r="I266" s="10">
        <v>3300.36</v>
      </c>
      <c r="J266" s="10">
        <v>13201.44</v>
      </c>
      <c r="K266" s="10"/>
    </row>
    <row r="267" spans="1:11">
      <c r="A267" s="19">
        <v>45022</v>
      </c>
      <c r="B267" t="s">
        <v>1256</v>
      </c>
      <c r="C267" t="s">
        <v>1241</v>
      </c>
      <c r="D267" t="s">
        <v>1235</v>
      </c>
      <c r="E267" t="s">
        <v>1231</v>
      </c>
      <c r="F267" t="s">
        <v>145</v>
      </c>
      <c r="G267" t="s">
        <v>1255</v>
      </c>
      <c r="H267" s="10">
        <v>11</v>
      </c>
      <c r="I267" s="10">
        <v>3594.07</v>
      </c>
      <c r="J267" s="10">
        <v>39534.769999999997</v>
      </c>
      <c r="K267" s="10"/>
    </row>
    <row r="268" spans="1:11">
      <c r="A268" s="19">
        <v>45022</v>
      </c>
      <c r="B268" t="s">
        <v>1260</v>
      </c>
      <c r="C268" t="s">
        <v>1238</v>
      </c>
      <c r="D268" t="s">
        <v>1235</v>
      </c>
      <c r="E268" t="s">
        <v>1231</v>
      </c>
      <c r="F268" t="s">
        <v>145</v>
      </c>
      <c r="G268" t="s">
        <v>1274</v>
      </c>
      <c r="H268" s="10">
        <v>18</v>
      </c>
      <c r="I268" s="10">
        <v>2722.99</v>
      </c>
      <c r="J268" s="10">
        <v>49013.82</v>
      </c>
      <c r="K268" s="10"/>
    </row>
    <row r="269" spans="1:11">
      <c r="A269" s="19">
        <v>45024</v>
      </c>
      <c r="B269" t="s">
        <v>1262</v>
      </c>
      <c r="C269" t="s">
        <v>1247</v>
      </c>
      <c r="D269" t="s">
        <v>1243</v>
      </c>
      <c r="E269" t="s">
        <v>1242</v>
      </c>
      <c r="F269" t="s">
        <v>132</v>
      </c>
      <c r="G269" t="s">
        <v>1279</v>
      </c>
      <c r="H269" s="10">
        <v>6</v>
      </c>
      <c r="I269" s="10">
        <v>1912.36</v>
      </c>
      <c r="J269" s="10">
        <v>11474.16</v>
      </c>
      <c r="K269" s="10"/>
    </row>
    <row r="270" spans="1:11">
      <c r="A270" s="19">
        <v>45025</v>
      </c>
      <c r="B270" t="s">
        <v>1269</v>
      </c>
      <c r="C270" t="s">
        <v>1169</v>
      </c>
      <c r="D270" t="s">
        <v>1230</v>
      </c>
      <c r="E270" t="s">
        <v>1229</v>
      </c>
      <c r="F270" t="s">
        <v>1249</v>
      </c>
      <c r="G270" t="s">
        <v>1272</v>
      </c>
      <c r="H270" s="10">
        <v>8</v>
      </c>
      <c r="I270" s="10">
        <v>2519.3000000000002</v>
      </c>
      <c r="J270" s="10">
        <v>20154.400000000001</v>
      </c>
      <c r="K270" s="10"/>
    </row>
    <row r="271" spans="1:11">
      <c r="A271" s="19">
        <v>45025</v>
      </c>
      <c r="B271" t="s">
        <v>1254</v>
      </c>
      <c r="C271" t="s">
        <v>1236</v>
      </c>
      <c r="D271" t="s">
        <v>1235</v>
      </c>
      <c r="E271" t="s">
        <v>1231</v>
      </c>
      <c r="F271" t="s">
        <v>145</v>
      </c>
      <c r="G271" t="s">
        <v>1261</v>
      </c>
      <c r="H271" s="10">
        <v>9</v>
      </c>
      <c r="I271" s="10">
        <v>3441.09</v>
      </c>
      <c r="J271" s="10">
        <v>30969.81</v>
      </c>
      <c r="K271" s="10"/>
    </row>
    <row r="272" spans="1:11">
      <c r="A272" s="19">
        <v>45025</v>
      </c>
      <c r="B272" t="s">
        <v>1252</v>
      </c>
      <c r="C272" t="s">
        <v>1244</v>
      </c>
      <c r="D272" t="s">
        <v>1243</v>
      </c>
      <c r="E272" t="s">
        <v>1242</v>
      </c>
      <c r="F272" t="s">
        <v>132</v>
      </c>
      <c r="G272" t="s">
        <v>1279</v>
      </c>
      <c r="H272" s="10">
        <v>7</v>
      </c>
      <c r="I272" s="10">
        <v>3273.61</v>
      </c>
      <c r="J272" s="10">
        <v>22915.27</v>
      </c>
      <c r="K272" s="10"/>
    </row>
    <row r="273" spans="1:11">
      <c r="A273" s="19">
        <v>45026</v>
      </c>
      <c r="B273" t="s">
        <v>1260</v>
      </c>
      <c r="C273" t="s">
        <v>1169</v>
      </c>
      <c r="D273" t="s">
        <v>1230</v>
      </c>
      <c r="E273" t="s">
        <v>1229</v>
      </c>
      <c r="F273" t="s">
        <v>1249</v>
      </c>
      <c r="G273" t="s">
        <v>1270</v>
      </c>
      <c r="H273" s="10">
        <v>18</v>
      </c>
      <c r="I273" s="10">
        <v>2825.07</v>
      </c>
      <c r="J273" s="10">
        <v>50851.26</v>
      </c>
      <c r="K273" s="10"/>
    </row>
    <row r="274" spans="1:11">
      <c r="A274" s="19">
        <v>45026</v>
      </c>
      <c r="B274" t="s">
        <v>1267</v>
      </c>
      <c r="C274" t="s">
        <v>1233</v>
      </c>
      <c r="D274" t="s">
        <v>1232</v>
      </c>
      <c r="E274" t="s">
        <v>1231</v>
      </c>
      <c r="F274" t="s">
        <v>128</v>
      </c>
      <c r="G274" t="s">
        <v>1264</v>
      </c>
      <c r="H274" s="10">
        <v>4</v>
      </c>
      <c r="I274" s="10">
        <v>3831.39</v>
      </c>
      <c r="J274" s="10">
        <v>15325.56</v>
      </c>
      <c r="K274" s="10"/>
    </row>
    <row r="275" spans="1:11">
      <c r="A275" s="19">
        <v>45026</v>
      </c>
      <c r="B275" t="s">
        <v>1252</v>
      </c>
      <c r="C275" t="s">
        <v>1240</v>
      </c>
      <c r="D275" t="s">
        <v>1232</v>
      </c>
      <c r="E275" t="s">
        <v>1231</v>
      </c>
      <c r="F275" t="s">
        <v>1249</v>
      </c>
      <c r="G275" t="s">
        <v>1268</v>
      </c>
      <c r="H275" s="10">
        <v>2</v>
      </c>
      <c r="I275" s="10">
        <v>1194.4000000000001</v>
      </c>
      <c r="J275" s="10">
        <v>2388.8000000000002</v>
      </c>
      <c r="K275" s="10"/>
    </row>
    <row r="276" spans="1:11">
      <c r="A276" s="19">
        <v>45027</v>
      </c>
      <c r="B276" t="s">
        <v>1263</v>
      </c>
      <c r="C276" t="s">
        <v>1241</v>
      </c>
      <c r="D276" t="s">
        <v>1235</v>
      </c>
      <c r="E276" t="s">
        <v>1231</v>
      </c>
      <c r="F276" t="s">
        <v>1249</v>
      </c>
      <c r="G276" t="s">
        <v>1270</v>
      </c>
      <c r="H276" s="10">
        <v>17</v>
      </c>
      <c r="I276" s="10">
        <v>3973.87</v>
      </c>
      <c r="J276" s="10">
        <v>67555.789999999994</v>
      </c>
      <c r="K276" s="10"/>
    </row>
    <row r="277" spans="1:11">
      <c r="A277" s="19">
        <v>45028</v>
      </c>
      <c r="B277" t="s">
        <v>1262</v>
      </c>
      <c r="C277" t="s">
        <v>1239</v>
      </c>
      <c r="D277" t="s">
        <v>1237</v>
      </c>
      <c r="E277" t="s">
        <v>1229</v>
      </c>
      <c r="F277" t="s">
        <v>1249</v>
      </c>
      <c r="G277" t="s">
        <v>1259</v>
      </c>
      <c r="H277" s="10">
        <v>4</v>
      </c>
      <c r="I277" s="10">
        <v>442.23</v>
      </c>
      <c r="J277" s="10">
        <v>1768.92</v>
      </c>
      <c r="K277" s="10"/>
    </row>
    <row r="278" spans="1:11">
      <c r="A278" s="19">
        <v>45028</v>
      </c>
      <c r="B278" t="s">
        <v>1252</v>
      </c>
      <c r="C278" t="s">
        <v>1246</v>
      </c>
      <c r="D278" t="s">
        <v>1230</v>
      </c>
      <c r="E278" t="s">
        <v>1229</v>
      </c>
      <c r="F278" t="s">
        <v>120</v>
      </c>
      <c r="G278" t="s">
        <v>1164</v>
      </c>
      <c r="H278" s="10">
        <v>1</v>
      </c>
      <c r="I278" s="10">
        <v>2362.15</v>
      </c>
      <c r="J278" s="10">
        <v>2362.15</v>
      </c>
      <c r="K278" s="10"/>
    </row>
    <row r="279" spans="1:11">
      <c r="A279" s="19">
        <v>45029</v>
      </c>
      <c r="B279" t="s">
        <v>1254</v>
      </c>
      <c r="C279" t="s">
        <v>1248</v>
      </c>
      <c r="D279" t="s">
        <v>1230</v>
      </c>
      <c r="E279" t="s">
        <v>1229</v>
      </c>
      <c r="F279" t="s">
        <v>132</v>
      </c>
      <c r="G279" t="s">
        <v>1279</v>
      </c>
      <c r="H279" s="10">
        <v>3</v>
      </c>
      <c r="I279" s="10">
        <v>1270.1500000000001</v>
      </c>
      <c r="J279" s="10">
        <v>3810.45</v>
      </c>
      <c r="K279" s="10"/>
    </row>
    <row r="280" spans="1:11">
      <c r="A280" s="19">
        <v>45029</v>
      </c>
      <c r="B280" t="s">
        <v>1269</v>
      </c>
      <c r="C280" t="s">
        <v>1241</v>
      </c>
      <c r="D280" t="s">
        <v>1235</v>
      </c>
      <c r="E280" t="s">
        <v>1231</v>
      </c>
      <c r="F280" t="s">
        <v>120</v>
      </c>
      <c r="G280" t="s">
        <v>1165</v>
      </c>
      <c r="H280" s="10">
        <v>5</v>
      </c>
      <c r="I280" s="10">
        <v>1413.03</v>
      </c>
      <c r="J280" s="10">
        <v>7065.15</v>
      </c>
      <c r="K280" s="10"/>
    </row>
    <row r="281" spans="1:11">
      <c r="A281" s="19">
        <v>45029</v>
      </c>
      <c r="B281" t="s">
        <v>1269</v>
      </c>
      <c r="C281" t="s">
        <v>1173</v>
      </c>
      <c r="D281" t="s">
        <v>1237</v>
      </c>
      <c r="E281" t="s">
        <v>1229</v>
      </c>
      <c r="F281" t="s">
        <v>120</v>
      </c>
      <c r="G281" t="s">
        <v>1275</v>
      </c>
      <c r="H281" s="10">
        <v>12</v>
      </c>
      <c r="I281" s="10">
        <v>2489.14</v>
      </c>
      <c r="J281" s="10">
        <v>29869.68</v>
      </c>
      <c r="K281" s="10"/>
    </row>
    <row r="282" spans="1:11">
      <c r="A282" s="19">
        <v>45029</v>
      </c>
      <c r="B282" t="s">
        <v>1265</v>
      </c>
      <c r="C282" t="s">
        <v>1246</v>
      </c>
      <c r="D282" t="s">
        <v>1230</v>
      </c>
      <c r="E282" t="s">
        <v>1229</v>
      </c>
      <c r="F282" t="s">
        <v>128</v>
      </c>
      <c r="G282" t="s">
        <v>1273</v>
      </c>
      <c r="H282" s="10">
        <v>8</v>
      </c>
      <c r="I282" s="10">
        <v>826.71</v>
      </c>
      <c r="J282" s="10">
        <v>6613.68</v>
      </c>
      <c r="K282" s="10"/>
    </row>
    <row r="283" spans="1:11">
      <c r="A283" s="19">
        <v>45029</v>
      </c>
      <c r="B283" t="s">
        <v>1269</v>
      </c>
      <c r="C283" t="s">
        <v>1238</v>
      </c>
      <c r="D283" t="s">
        <v>1235</v>
      </c>
      <c r="E283" t="s">
        <v>1231</v>
      </c>
      <c r="F283" t="s">
        <v>128</v>
      </c>
      <c r="G283" t="s">
        <v>1273</v>
      </c>
      <c r="H283" s="10">
        <v>15</v>
      </c>
      <c r="I283" s="10">
        <v>2503.4699999999998</v>
      </c>
      <c r="J283" s="10">
        <v>37552.050000000003</v>
      </c>
      <c r="K283" s="10"/>
    </row>
    <row r="284" spans="1:11">
      <c r="A284" s="19">
        <v>45030</v>
      </c>
      <c r="B284" t="s">
        <v>1269</v>
      </c>
      <c r="C284" t="s">
        <v>1234</v>
      </c>
      <c r="D284" t="s">
        <v>1232</v>
      </c>
      <c r="E284" t="s">
        <v>1231</v>
      </c>
      <c r="F284" t="s">
        <v>120</v>
      </c>
      <c r="G284" t="s">
        <v>1165</v>
      </c>
      <c r="H284" s="10">
        <v>3</v>
      </c>
      <c r="I284" s="10">
        <v>413.26</v>
      </c>
      <c r="J284" s="10">
        <v>1239.78</v>
      </c>
      <c r="K284" s="10"/>
    </row>
    <row r="285" spans="1:11">
      <c r="A285" s="19">
        <v>45030</v>
      </c>
      <c r="B285" t="s">
        <v>1262</v>
      </c>
      <c r="C285" t="s">
        <v>1248</v>
      </c>
      <c r="D285" t="s">
        <v>1230</v>
      </c>
      <c r="E285" t="s">
        <v>1229</v>
      </c>
      <c r="F285" t="s">
        <v>128</v>
      </c>
      <c r="G285" t="s">
        <v>1257</v>
      </c>
      <c r="H285" s="10">
        <v>4</v>
      </c>
      <c r="I285" s="10">
        <v>1906.89</v>
      </c>
      <c r="J285" s="10">
        <v>7627.56</v>
      </c>
      <c r="K285" s="10"/>
    </row>
    <row r="286" spans="1:11">
      <c r="A286" s="19">
        <v>45030</v>
      </c>
      <c r="B286" t="s">
        <v>1265</v>
      </c>
      <c r="C286" t="s">
        <v>1171</v>
      </c>
      <c r="D286" t="s">
        <v>1237</v>
      </c>
      <c r="E286" t="s">
        <v>1229</v>
      </c>
      <c r="F286" t="s">
        <v>120</v>
      </c>
      <c r="G286" t="s">
        <v>1276</v>
      </c>
      <c r="H286" s="10">
        <v>15</v>
      </c>
      <c r="I286" s="10">
        <v>2796.48</v>
      </c>
      <c r="J286" s="10">
        <v>41947.199999999997</v>
      </c>
      <c r="K286" s="10"/>
    </row>
    <row r="287" spans="1:11">
      <c r="A287" s="19">
        <v>45031</v>
      </c>
      <c r="B287" t="s">
        <v>1252</v>
      </c>
      <c r="C287" t="s">
        <v>1169</v>
      </c>
      <c r="D287" t="s">
        <v>1230</v>
      </c>
      <c r="E287" t="s">
        <v>1229</v>
      </c>
      <c r="F287" t="s">
        <v>1249</v>
      </c>
      <c r="G287" t="s">
        <v>1272</v>
      </c>
      <c r="H287" s="10">
        <v>1</v>
      </c>
      <c r="I287" s="10">
        <v>1495.61</v>
      </c>
      <c r="J287" s="10">
        <v>1495.61</v>
      </c>
      <c r="K287" s="10"/>
    </row>
    <row r="288" spans="1:11">
      <c r="A288" s="19">
        <v>45031</v>
      </c>
      <c r="B288" t="s">
        <v>1269</v>
      </c>
      <c r="C288" t="s">
        <v>1239</v>
      </c>
      <c r="D288" t="s">
        <v>1237</v>
      </c>
      <c r="E288" t="s">
        <v>1229</v>
      </c>
      <c r="F288" t="s">
        <v>132</v>
      </c>
      <c r="G288" t="s">
        <v>1271</v>
      </c>
      <c r="H288" s="10">
        <v>15</v>
      </c>
      <c r="I288" s="10">
        <v>1513.67</v>
      </c>
      <c r="J288" s="10">
        <v>22705.05</v>
      </c>
      <c r="K288" s="10"/>
    </row>
    <row r="289" spans="1:11">
      <c r="A289" s="19">
        <v>45031</v>
      </c>
      <c r="B289" t="s">
        <v>1260</v>
      </c>
      <c r="C289" t="s">
        <v>1233</v>
      </c>
      <c r="D289" t="s">
        <v>1232</v>
      </c>
      <c r="E289" t="s">
        <v>1231</v>
      </c>
      <c r="F289" t="s">
        <v>128</v>
      </c>
      <c r="G289" t="s">
        <v>1257</v>
      </c>
      <c r="H289" s="10">
        <v>7</v>
      </c>
      <c r="I289" s="10">
        <v>1233.6300000000001</v>
      </c>
      <c r="J289" s="10">
        <v>8635.41</v>
      </c>
      <c r="K289" s="10"/>
    </row>
    <row r="290" spans="1:11">
      <c r="A290" s="19">
        <v>45032</v>
      </c>
      <c r="B290" t="s">
        <v>1267</v>
      </c>
      <c r="C290" t="s">
        <v>1233</v>
      </c>
      <c r="D290" t="s">
        <v>1232</v>
      </c>
      <c r="E290" t="s">
        <v>1231</v>
      </c>
      <c r="F290" t="s">
        <v>1249</v>
      </c>
      <c r="G290" t="s">
        <v>1272</v>
      </c>
      <c r="H290" s="10">
        <v>4</v>
      </c>
      <c r="I290" s="10">
        <v>2395.66</v>
      </c>
      <c r="J290" s="10">
        <v>9582.64</v>
      </c>
      <c r="K290" s="10"/>
    </row>
    <row r="291" spans="1:11">
      <c r="A291" s="19">
        <v>45032</v>
      </c>
      <c r="B291" t="s">
        <v>1260</v>
      </c>
      <c r="C291" t="s">
        <v>1236</v>
      </c>
      <c r="D291" t="s">
        <v>1235</v>
      </c>
      <c r="E291" t="s">
        <v>1231</v>
      </c>
      <c r="F291" t="s">
        <v>1249</v>
      </c>
      <c r="G291" t="s">
        <v>1272</v>
      </c>
      <c r="H291" s="10">
        <v>1</v>
      </c>
      <c r="I291" s="10">
        <v>1628.88</v>
      </c>
      <c r="J291" s="10">
        <v>1628.88</v>
      </c>
      <c r="K291" s="10"/>
    </row>
    <row r="292" spans="1:11">
      <c r="A292" s="19">
        <v>45033</v>
      </c>
      <c r="B292" t="s">
        <v>1263</v>
      </c>
      <c r="C292" t="s">
        <v>1169</v>
      </c>
      <c r="D292" t="s">
        <v>1230</v>
      </c>
      <c r="E292" t="s">
        <v>1229</v>
      </c>
      <c r="F292" t="s">
        <v>120</v>
      </c>
      <c r="G292" t="s">
        <v>1276</v>
      </c>
      <c r="H292" s="10">
        <v>2</v>
      </c>
      <c r="I292" s="10">
        <v>1417.87</v>
      </c>
      <c r="J292" s="10">
        <v>2835.74</v>
      </c>
      <c r="K292" s="10"/>
    </row>
    <row r="293" spans="1:11">
      <c r="A293" s="19">
        <v>45033</v>
      </c>
      <c r="B293" t="s">
        <v>1258</v>
      </c>
      <c r="C293" t="s">
        <v>1247</v>
      </c>
      <c r="D293" t="s">
        <v>1243</v>
      </c>
      <c r="E293" t="s">
        <v>1242</v>
      </c>
      <c r="F293" t="s">
        <v>128</v>
      </c>
      <c r="G293" t="s">
        <v>1257</v>
      </c>
      <c r="H293" s="10">
        <v>19</v>
      </c>
      <c r="I293" s="10">
        <v>2253.92</v>
      </c>
      <c r="J293" s="10">
        <v>42824.480000000003</v>
      </c>
      <c r="K293" s="10"/>
    </row>
    <row r="294" spans="1:11">
      <c r="A294" s="19">
        <v>45033</v>
      </c>
      <c r="B294" t="s">
        <v>1265</v>
      </c>
      <c r="C294" t="s">
        <v>1240</v>
      </c>
      <c r="D294" t="s">
        <v>1232</v>
      </c>
      <c r="E294" t="s">
        <v>1231</v>
      </c>
      <c r="F294" t="s">
        <v>132</v>
      </c>
      <c r="G294" t="s">
        <v>1271</v>
      </c>
      <c r="H294" s="10">
        <v>8</v>
      </c>
      <c r="I294" s="10">
        <v>4740.97</v>
      </c>
      <c r="J294" s="10">
        <v>37927.760000000002</v>
      </c>
      <c r="K294" s="10"/>
    </row>
    <row r="295" spans="1:11">
      <c r="A295" s="19">
        <v>45034</v>
      </c>
      <c r="B295" t="s">
        <v>1267</v>
      </c>
      <c r="C295" t="s">
        <v>1246</v>
      </c>
      <c r="D295" t="s">
        <v>1230</v>
      </c>
      <c r="E295" t="s">
        <v>1229</v>
      </c>
      <c r="F295" t="s">
        <v>145</v>
      </c>
      <c r="G295" t="s">
        <v>1278</v>
      </c>
      <c r="H295" s="10">
        <v>20</v>
      </c>
      <c r="I295" s="10">
        <v>3195.53</v>
      </c>
      <c r="J295" s="10">
        <v>63910.6</v>
      </c>
      <c r="K295" s="10"/>
    </row>
    <row r="296" spans="1:11">
      <c r="A296" s="19">
        <v>45034</v>
      </c>
      <c r="B296" t="s">
        <v>1262</v>
      </c>
      <c r="C296" t="s">
        <v>1244</v>
      </c>
      <c r="D296" t="s">
        <v>1243</v>
      </c>
      <c r="E296" t="s">
        <v>1242</v>
      </c>
      <c r="F296" t="s">
        <v>1249</v>
      </c>
      <c r="G296" t="s">
        <v>1259</v>
      </c>
      <c r="H296" s="10">
        <v>5</v>
      </c>
      <c r="I296" s="10">
        <v>3199.14</v>
      </c>
      <c r="J296" s="10">
        <v>15995.7</v>
      </c>
      <c r="K296" s="10"/>
    </row>
    <row r="297" spans="1:11">
      <c r="A297" s="19">
        <v>45034</v>
      </c>
      <c r="B297" t="s">
        <v>1256</v>
      </c>
      <c r="C297" t="s">
        <v>1244</v>
      </c>
      <c r="D297" t="s">
        <v>1243</v>
      </c>
      <c r="E297" t="s">
        <v>1242</v>
      </c>
      <c r="F297" t="s">
        <v>1249</v>
      </c>
      <c r="G297" t="s">
        <v>1272</v>
      </c>
      <c r="H297" s="10">
        <v>2</v>
      </c>
      <c r="I297" s="10">
        <v>2338.61</v>
      </c>
      <c r="J297" s="10">
        <v>4677.22</v>
      </c>
      <c r="K297" s="10"/>
    </row>
    <row r="298" spans="1:11">
      <c r="A298" s="19">
        <v>45035</v>
      </c>
      <c r="B298" t="s">
        <v>1263</v>
      </c>
      <c r="C298" t="s">
        <v>1238</v>
      </c>
      <c r="D298" t="s">
        <v>1235</v>
      </c>
      <c r="E298" t="s">
        <v>1231</v>
      </c>
      <c r="F298" t="s">
        <v>128</v>
      </c>
      <c r="G298" t="s">
        <v>1264</v>
      </c>
      <c r="H298" s="10">
        <v>9</v>
      </c>
      <c r="I298" s="10">
        <v>1328.13</v>
      </c>
      <c r="J298" s="10">
        <v>11953.17</v>
      </c>
      <c r="K298" s="10"/>
    </row>
    <row r="299" spans="1:11">
      <c r="A299" s="19">
        <v>45035</v>
      </c>
      <c r="B299" t="s">
        <v>1262</v>
      </c>
      <c r="C299" t="s">
        <v>1248</v>
      </c>
      <c r="D299" t="s">
        <v>1230</v>
      </c>
      <c r="E299" t="s">
        <v>1229</v>
      </c>
      <c r="F299" t="s">
        <v>1249</v>
      </c>
      <c r="G299" t="s">
        <v>1259</v>
      </c>
      <c r="H299" s="10">
        <v>20</v>
      </c>
      <c r="I299" s="10">
        <v>4856.17</v>
      </c>
      <c r="J299" s="10">
        <v>97123.4</v>
      </c>
      <c r="K299" s="10"/>
    </row>
    <row r="300" spans="1:11">
      <c r="A300" s="19">
        <v>45036</v>
      </c>
      <c r="B300" t="s">
        <v>1262</v>
      </c>
      <c r="C300" t="s">
        <v>1236</v>
      </c>
      <c r="D300" t="s">
        <v>1235</v>
      </c>
      <c r="E300" t="s">
        <v>1231</v>
      </c>
      <c r="F300" t="s">
        <v>120</v>
      </c>
      <c r="G300" t="s">
        <v>1275</v>
      </c>
      <c r="H300" s="10">
        <v>2</v>
      </c>
      <c r="I300" s="10">
        <v>1207.92</v>
      </c>
      <c r="J300" s="10">
        <v>2415.84</v>
      </c>
      <c r="K300" s="10"/>
    </row>
    <row r="301" spans="1:11">
      <c r="A301" s="19">
        <v>45036</v>
      </c>
      <c r="B301" t="s">
        <v>1269</v>
      </c>
      <c r="C301" t="s">
        <v>1241</v>
      </c>
      <c r="D301" t="s">
        <v>1235</v>
      </c>
      <c r="E301" t="s">
        <v>1231</v>
      </c>
      <c r="F301" t="s">
        <v>145</v>
      </c>
      <c r="G301" t="s">
        <v>1261</v>
      </c>
      <c r="H301" s="10">
        <v>16</v>
      </c>
      <c r="I301" s="10">
        <v>2580.42</v>
      </c>
      <c r="J301" s="10">
        <v>41286.720000000001</v>
      </c>
      <c r="K301" s="10"/>
    </row>
    <row r="302" spans="1:11">
      <c r="A302" s="19">
        <v>45036</v>
      </c>
      <c r="B302" t="s">
        <v>1260</v>
      </c>
      <c r="C302" t="s">
        <v>1236</v>
      </c>
      <c r="D302" t="s">
        <v>1235</v>
      </c>
      <c r="E302" t="s">
        <v>1231</v>
      </c>
      <c r="F302" t="s">
        <v>145</v>
      </c>
      <c r="G302" t="s">
        <v>1261</v>
      </c>
      <c r="H302" s="10">
        <v>18</v>
      </c>
      <c r="I302" s="10">
        <v>3989.44</v>
      </c>
      <c r="J302" s="10">
        <v>71809.919999999998</v>
      </c>
      <c r="K302" s="10"/>
    </row>
    <row r="303" spans="1:11">
      <c r="A303" s="19">
        <v>45036</v>
      </c>
      <c r="B303" t="s">
        <v>1252</v>
      </c>
      <c r="C303" t="s">
        <v>1244</v>
      </c>
      <c r="D303" t="s">
        <v>1243</v>
      </c>
      <c r="E303" t="s">
        <v>1242</v>
      </c>
      <c r="F303" t="s">
        <v>132</v>
      </c>
      <c r="G303" t="s">
        <v>1253</v>
      </c>
      <c r="H303" s="10">
        <v>17</v>
      </c>
      <c r="I303" s="10">
        <v>1005.44</v>
      </c>
      <c r="J303" s="10">
        <v>17092.48</v>
      </c>
      <c r="K303" s="10"/>
    </row>
    <row r="304" spans="1:11">
      <c r="A304" s="19">
        <v>45036</v>
      </c>
      <c r="B304" t="s">
        <v>1265</v>
      </c>
      <c r="C304" t="s">
        <v>1240</v>
      </c>
      <c r="D304" t="s">
        <v>1232</v>
      </c>
      <c r="E304" t="s">
        <v>1231</v>
      </c>
      <c r="F304" t="s">
        <v>120</v>
      </c>
      <c r="G304" t="s">
        <v>1165</v>
      </c>
      <c r="H304" s="10">
        <v>16</v>
      </c>
      <c r="I304" s="10">
        <v>1064.93</v>
      </c>
      <c r="J304" s="10">
        <v>17038.88</v>
      </c>
      <c r="K304" s="10"/>
    </row>
    <row r="305" spans="1:11">
      <c r="A305" s="19">
        <v>45036</v>
      </c>
      <c r="B305" t="s">
        <v>1265</v>
      </c>
      <c r="C305" t="s">
        <v>1239</v>
      </c>
      <c r="D305" t="s">
        <v>1237</v>
      </c>
      <c r="E305" t="s">
        <v>1229</v>
      </c>
      <c r="F305" t="s">
        <v>128</v>
      </c>
      <c r="G305" t="s">
        <v>1264</v>
      </c>
      <c r="H305" s="10">
        <v>10</v>
      </c>
      <c r="I305" s="10">
        <v>1018.19</v>
      </c>
      <c r="J305" s="10">
        <v>10181.9</v>
      </c>
      <c r="K305" s="10"/>
    </row>
    <row r="306" spans="1:11">
      <c r="A306" s="19">
        <v>45037</v>
      </c>
      <c r="B306" t="s">
        <v>1262</v>
      </c>
      <c r="C306" t="s">
        <v>1236</v>
      </c>
      <c r="D306" t="s">
        <v>1235</v>
      </c>
      <c r="E306" t="s">
        <v>1231</v>
      </c>
      <c r="F306" t="s">
        <v>128</v>
      </c>
      <c r="G306" t="s">
        <v>1264</v>
      </c>
      <c r="H306" s="10">
        <v>19</v>
      </c>
      <c r="I306" s="10">
        <v>4562.0200000000004</v>
      </c>
      <c r="J306" s="10">
        <v>86678.38</v>
      </c>
      <c r="K306" s="10"/>
    </row>
    <row r="307" spans="1:11">
      <c r="A307" s="19">
        <v>45037</v>
      </c>
      <c r="B307" t="s">
        <v>1256</v>
      </c>
      <c r="C307" t="s">
        <v>1239</v>
      </c>
      <c r="D307" t="s">
        <v>1237</v>
      </c>
      <c r="E307" t="s">
        <v>1229</v>
      </c>
      <c r="F307" t="s">
        <v>145</v>
      </c>
      <c r="G307" t="s">
        <v>1278</v>
      </c>
      <c r="H307" s="10">
        <v>8</v>
      </c>
      <c r="I307" s="10">
        <v>4091.1</v>
      </c>
      <c r="J307" s="10">
        <v>32728.799999999999</v>
      </c>
      <c r="K307" s="10"/>
    </row>
    <row r="308" spans="1:11">
      <c r="A308" s="19">
        <v>45037</v>
      </c>
      <c r="B308" t="s">
        <v>1256</v>
      </c>
      <c r="C308" t="s">
        <v>1173</v>
      </c>
      <c r="D308" t="s">
        <v>1237</v>
      </c>
      <c r="E308" t="s">
        <v>1229</v>
      </c>
      <c r="F308" t="s">
        <v>132</v>
      </c>
      <c r="G308" t="s">
        <v>1253</v>
      </c>
      <c r="H308" s="10">
        <v>10</v>
      </c>
      <c r="I308" s="10">
        <v>2200.91</v>
      </c>
      <c r="J308" s="10">
        <v>22009.1</v>
      </c>
      <c r="K308" s="10"/>
    </row>
    <row r="309" spans="1:11">
      <c r="A309" s="19">
        <v>45037</v>
      </c>
      <c r="B309" t="s">
        <v>1269</v>
      </c>
      <c r="C309" t="s">
        <v>1247</v>
      </c>
      <c r="D309" t="s">
        <v>1243</v>
      </c>
      <c r="E309" t="s">
        <v>1242</v>
      </c>
      <c r="F309" t="s">
        <v>1249</v>
      </c>
      <c r="G309" t="s">
        <v>1259</v>
      </c>
      <c r="H309" s="10">
        <v>16</v>
      </c>
      <c r="I309" s="10">
        <v>3263.65</v>
      </c>
      <c r="J309" s="10">
        <v>52218.400000000001</v>
      </c>
      <c r="K309" s="10"/>
    </row>
    <row r="310" spans="1:11">
      <c r="A310" s="19">
        <v>45037</v>
      </c>
      <c r="B310" t="s">
        <v>1262</v>
      </c>
      <c r="C310" t="s">
        <v>1238</v>
      </c>
      <c r="D310" t="s">
        <v>1235</v>
      </c>
      <c r="E310" t="s">
        <v>1231</v>
      </c>
      <c r="F310" t="s">
        <v>120</v>
      </c>
      <c r="G310" t="s">
        <v>1276</v>
      </c>
      <c r="H310" s="10">
        <v>17</v>
      </c>
      <c r="I310" s="10">
        <v>1122.98</v>
      </c>
      <c r="J310" s="10">
        <v>19090.66</v>
      </c>
      <c r="K310" s="10"/>
    </row>
    <row r="311" spans="1:11">
      <c r="A311" s="19">
        <v>45037</v>
      </c>
      <c r="B311" t="s">
        <v>1269</v>
      </c>
      <c r="C311" t="s">
        <v>1238</v>
      </c>
      <c r="D311" t="s">
        <v>1235</v>
      </c>
      <c r="E311" t="s">
        <v>1231</v>
      </c>
      <c r="F311" t="s">
        <v>128</v>
      </c>
      <c r="G311" t="s">
        <v>1273</v>
      </c>
      <c r="H311" s="10">
        <v>19</v>
      </c>
      <c r="I311" s="10">
        <v>4513.6000000000004</v>
      </c>
      <c r="J311" s="10">
        <v>85758.399999999994</v>
      </c>
      <c r="K311" s="10"/>
    </row>
    <row r="312" spans="1:11">
      <c r="A312" s="19">
        <v>45038</v>
      </c>
      <c r="B312" t="s">
        <v>1269</v>
      </c>
      <c r="C312" t="s">
        <v>1239</v>
      </c>
      <c r="D312" t="s">
        <v>1237</v>
      </c>
      <c r="E312" t="s">
        <v>1229</v>
      </c>
      <c r="F312" t="s">
        <v>145</v>
      </c>
      <c r="G312" t="s">
        <v>1278</v>
      </c>
      <c r="H312" s="10">
        <v>16</v>
      </c>
      <c r="I312" s="10">
        <v>1090.18</v>
      </c>
      <c r="J312" s="10">
        <v>17442.88</v>
      </c>
      <c r="K312" s="10"/>
    </row>
    <row r="313" spans="1:11">
      <c r="A313" s="19">
        <v>45040</v>
      </c>
      <c r="B313" t="s">
        <v>1254</v>
      </c>
      <c r="C313" t="s">
        <v>1233</v>
      </c>
      <c r="D313" t="s">
        <v>1232</v>
      </c>
      <c r="E313" t="s">
        <v>1231</v>
      </c>
      <c r="F313" t="s">
        <v>145</v>
      </c>
      <c r="G313" t="s">
        <v>1255</v>
      </c>
      <c r="H313" s="10">
        <v>19</v>
      </c>
      <c r="I313" s="10">
        <v>2636.08</v>
      </c>
      <c r="J313" s="10">
        <v>50085.52</v>
      </c>
      <c r="K313" s="10"/>
    </row>
    <row r="314" spans="1:11">
      <c r="A314" s="19">
        <v>45040</v>
      </c>
      <c r="B314" t="s">
        <v>1267</v>
      </c>
      <c r="C314" t="s">
        <v>1245</v>
      </c>
      <c r="D314" t="s">
        <v>1243</v>
      </c>
      <c r="E314" t="s">
        <v>1242</v>
      </c>
      <c r="F314" t="s">
        <v>1249</v>
      </c>
      <c r="G314" t="s">
        <v>1259</v>
      </c>
      <c r="H314" s="10">
        <v>9</v>
      </c>
      <c r="I314" s="10">
        <v>4763.01</v>
      </c>
      <c r="J314" s="10">
        <v>42867.09</v>
      </c>
      <c r="K314" s="10"/>
    </row>
    <row r="315" spans="1:11">
      <c r="A315" s="19">
        <v>45041</v>
      </c>
      <c r="B315" t="s">
        <v>1269</v>
      </c>
      <c r="C315" t="s">
        <v>1244</v>
      </c>
      <c r="D315" t="s">
        <v>1243</v>
      </c>
      <c r="E315" t="s">
        <v>1242</v>
      </c>
      <c r="F315" t="s">
        <v>132</v>
      </c>
      <c r="G315" t="s">
        <v>1271</v>
      </c>
      <c r="H315" s="10">
        <v>6</v>
      </c>
      <c r="I315" s="10">
        <v>1523.33</v>
      </c>
      <c r="J315" s="10">
        <v>9139.98</v>
      </c>
      <c r="K315" s="10"/>
    </row>
    <row r="316" spans="1:11">
      <c r="A316" s="19">
        <v>45041</v>
      </c>
      <c r="B316" t="s">
        <v>1260</v>
      </c>
      <c r="C316" t="s">
        <v>1244</v>
      </c>
      <c r="D316" t="s">
        <v>1243</v>
      </c>
      <c r="E316" t="s">
        <v>1242</v>
      </c>
      <c r="F316" t="s">
        <v>120</v>
      </c>
      <c r="G316" t="s">
        <v>1275</v>
      </c>
      <c r="H316" s="10">
        <v>7</v>
      </c>
      <c r="I316" s="10">
        <v>4933.0600000000004</v>
      </c>
      <c r="J316" s="10">
        <v>34531.42</v>
      </c>
      <c r="K316" s="10"/>
    </row>
    <row r="317" spans="1:11">
      <c r="A317" s="19">
        <v>45042</v>
      </c>
      <c r="B317" t="s">
        <v>1256</v>
      </c>
      <c r="C317" t="s">
        <v>1236</v>
      </c>
      <c r="D317" t="s">
        <v>1235</v>
      </c>
      <c r="E317" t="s">
        <v>1231</v>
      </c>
      <c r="F317" t="s">
        <v>132</v>
      </c>
      <c r="G317" t="s">
        <v>1271</v>
      </c>
      <c r="H317" s="10">
        <v>20</v>
      </c>
      <c r="I317" s="10">
        <v>4365.58</v>
      </c>
      <c r="J317" s="10">
        <v>87311.6</v>
      </c>
      <c r="K317" s="10"/>
    </row>
    <row r="318" spans="1:11">
      <c r="A318" s="19">
        <v>45042</v>
      </c>
      <c r="B318" t="s">
        <v>1262</v>
      </c>
      <c r="C318" t="s">
        <v>1239</v>
      </c>
      <c r="D318" t="s">
        <v>1237</v>
      </c>
      <c r="E318" t="s">
        <v>1229</v>
      </c>
      <c r="F318" t="s">
        <v>120</v>
      </c>
      <c r="G318" t="s">
        <v>1275</v>
      </c>
      <c r="H318" s="10">
        <v>20</v>
      </c>
      <c r="I318" s="10">
        <v>2163.9499999999998</v>
      </c>
      <c r="J318" s="10">
        <v>43279</v>
      </c>
      <c r="K318" s="10"/>
    </row>
    <row r="319" spans="1:11">
      <c r="A319" s="19">
        <v>45043</v>
      </c>
      <c r="B319" t="s">
        <v>1256</v>
      </c>
      <c r="C319" t="s">
        <v>1240</v>
      </c>
      <c r="D319" t="s">
        <v>1232</v>
      </c>
      <c r="E319" t="s">
        <v>1231</v>
      </c>
      <c r="F319" t="s">
        <v>1249</v>
      </c>
      <c r="G319" t="s">
        <v>1259</v>
      </c>
      <c r="H319" s="10">
        <v>13</v>
      </c>
      <c r="I319" s="10">
        <v>646.63</v>
      </c>
      <c r="J319" s="10">
        <v>8406.19</v>
      </c>
      <c r="K319" s="10"/>
    </row>
    <row r="320" spans="1:11">
      <c r="A320" s="19">
        <v>45043</v>
      </c>
      <c r="B320" t="s">
        <v>1269</v>
      </c>
      <c r="C320" t="s">
        <v>1244</v>
      </c>
      <c r="D320" t="s">
        <v>1243</v>
      </c>
      <c r="E320" t="s">
        <v>1242</v>
      </c>
      <c r="F320" t="s">
        <v>145</v>
      </c>
      <c r="G320" t="s">
        <v>1255</v>
      </c>
      <c r="H320" s="10">
        <v>12</v>
      </c>
      <c r="I320" s="10">
        <v>4298</v>
      </c>
      <c r="J320" s="10">
        <v>51576</v>
      </c>
      <c r="K320" s="10"/>
    </row>
    <row r="321" spans="1:11">
      <c r="A321" s="19">
        <v>45043</v>
      </c>
      <c r="B321" t="s">
        <v>1258</v>
      </c>
      <c r="C321" t="s">
        <v>1236</v>
      </c>
      <c r="D321" t="s">
        <v>1235</v>
      </c>
      <c r="E321" t="s">
        <v>1231</v>
      </c>
      <c r="F321" t="s">
        <v>128</v>
      </c>
      <c r="G321" t="s">
        <v>1264</v>
      </c>
      <c r="H321" s="10">
        <v>4</v>
      </c>
      <c r="I321" s="10">
        <v>3087.87</v>
      </c>
      <c r="J321" s="10">
        <v>12351.48</v>
      </c>
      <c r="K321" s="10"/>
    </row>
    <row r="322" spans="1:11">
      <c r="A322" s="19">
        <v>45043</v>
      </c>
      <c r="B322" t="s">
        <v>1252</v>
      </c>
      <c r="C322" t="s">
        <v>1244</v>
      </c>
      <c r="D322" t="s">
        <v>1243</v>
      </c>
      <c r="E322" t="s">
        <v>1242</v>
      </c>
      <c r="F322" t="s">
        <v>145</v>
      </c>
      <c r="G322" t="s">
        <v>1278</v>
      </c>
      <c r="H322" s="10">
        <v>19</v>
      </c>
      <c r="I322" s="10">
        <v>2816.52</v>
      </c>
      <c r="J322" s="10">
        <v>53513.88</v>
      </c>
      <c r="K322" s="10"/>
    </row>
    <row r="323" spans="1:11">
      <c r="A323" s="19">
        <v>45043</v>
      </c>
      <c r="B323" t="s">
        <v>1260</v>
      </c>
      <c r="C323" t="s">
        <v>1236</v>
      </c>
      <c r="D323" t="s">
        <v>1235</v>
      </c>
      <c r="E323" t="s">
        <v>1231</v>
      </c>
      <c r="F323" t="s">
        <v>128</v>
      </c>
      <c r="G323" t="s">
        <v>1273</v>
      </c>
      <c r="H323" s="10">
        <v>6</v>
      </c>
      <c r="I323" s="10">
        <v>2069.96</v>
      </c>
      <c r="J323" s="10">
        <v>12419.76</v>
      </c>
      <c r="K323" s="10"/>
    </row>
    <row r="324" spans="1:11">
      <c r="A324" s="19">
        <v>45043</v>
      </c>
      <c r="B324" t="s">
        <v>1262</v>
      </c>
      <c r="C324" t="s">
        <v>1241</v>
      </c>
      <c r="D324" t="s">
        <v>1235</v>
      </c>
      <c r="E324" t="s">
        <v>1231</v>
      </c>
      <c r="F324" t="s">
        <v>1249</v>
      </c>
      <c r="G324" t="s">
        <v>1270</v>
      </c>
      <c r="H324" s="10">
        <v>7</v>
      </c>
      <c r="I324" s="10">
        <v>4898.57</v>
      </c>
      <c r="J324" s="10">
        <v>34289.99</v>
      </c>
      <c r="K324" s="10"/>
    </row>
    <row r="325" spans="1:11">
      <c r="A325" s="19">
        <v>45044</v>
      </c>
      <c r="B325" t="s">
        <v>1258</v>
      </c>
      <c r="C325" t="s">
        <v>1234</v>
      </c>
      <c r="D325" t="s">
        <v>1232</v>
      </c>
      <c r="E325" t="s">
        <v>1231</v>
      </c>
      <c r="F325" t="s">
        <v>145</v>
      </c>
      <c r="G325" t="s">
        <v>1255</v>
      </c>
      <c r="H325" s="10">
        <v>18</v>
      </c>
      <c r="I325" s="10">
        <v>698.42</v>
      </c>
      <c r="J325" s="10">
        <v>12571.56</v>
      </c>
      <c r="K325" s="10"/>
    </row>
    <row r="326" spans="1:11">
      <c r="A326" s="19">
        <v>45044</v>
      </c>
      <c r="B326" t="s">
        <v>1258</v>
      </c>
      <c r="C326" t="s">
        <v>1234</v>
      </c>
      <c r="D326" t="s">
        <v>1232</v>
      </c>
      <c r="E326" t="s">
        <v>1231</v>
      </c>
      <c r="F326" t="s">
        <v>1249</v>
      </c>
      <c r="G326" t="s">
        <v>1272</v>
      </c>
      <c r="H326" s="10">
        <v>16</v>
      </c>
      <c r="I326" s="10">
        <v>4047.21</v>
      </c>
      <c r="J326" s="10">
        <v>64755.360000000001</v>
      </c>
      <c r="K326" s="10"/>
    </row>
    <row r="327" spans="1:11">
      <c r="A327" s="19">
        <v>45044</v>
      </c>
      <c r="B327" t="s">
        <v>1260</v>
      </c>
      <c r="C327" t="s">
        <v>1240</v>
      </c>
      <c r="D327" t="s">
        <v>1232</v>
      </c>
      <c r="E327" t="s">
        <v>1231</v>
      </c>
      <c r="F327" t="s">
        <v>145</v>
      </c>
      <c r="G327" t="s">
        <v>1255</v>
      </c>
      <c r="H327" s="10">
        <v>5</v>
      </c>
      <c r="I327" s="10">
        <v>4715.05</v>
      </c>
      <c r="J327" s="10">
        <v>23575.25</v>
      </c>
      <c r="K327" s="10"/>
    </row>
    <row r="328" spans="1:11">
      <c r="A328" s="19">
        <v>45044</v>
      </c>
      <c r="B328" t="s">
        <v>1256</v>
      </c>
      <c r="C328" t="s">
        <v>1234</v>
      </c>
      <c r="D328" t="s">
        <v>1232</v>
      </c>
      <c r="E328" t="s">
        <v>1231</v>
      </c>
      <c r="F328" t="s">
        <v>132</v>
      </c>
      <c r="G328" t="s">
        <v>1271</v>
      </c>
      <c r="H328" s="10">
        <v>20</v>
      </c>
      <c r="I328" s="10">
        <v>278.55</v>
      </c>
      <c r="J328" s="10">
        <v>5571</v>
      </c>
      <c r="K328" s="10"/>
    </row>
    <row r="329" spans="1:11">
      <c r="A329" s="19">
        <v>45045</v>
      </c>
      <c r="B329" t="s">
        <v>1254</v>
      </c>
      <c r="C329" t="s">
        <v>1245</v>
      </c>
      <c r="D329" t="s">
        <v>1243</v>
      </c>
      <c r="E329" t="s">
        <v>1242</v>
      </c>
      <c r="F329" t="s">
        <v>145</v>
      </c>
      <c r="G329" t="s">
        <v>1278</v>
      </c>
      <c r="H329" s="10">
        <v>3</v>
      </c>
      <c r="I329" s="10">
        <v>4955.22</v>
      </c>
      <c r="J329" s="10">
        <v>14865.66</v>
      </c>
      <c r="K329" s="10"/>
    </row>
    <row r="330" spans="1:11">
      <c r="A330" s="19">
        <v>45046</v>
      </c>
      <c r="B330" t="s">
        <v>1256</v>
      </c>
      <c r="C330" t="s">
        <v>1171</v>
      </c>
      <c r="D330" t="s">
        <v>1237</v>
      </c>
      <c r="E330" t="s">
        <v>1229</v>
      </c>
      <c r="F330" t="s">
        <v>145</v>
      </c>
      <c r="G330" t="s">
        <v>1274</v>
      </c>
      <c r="H330" s="10">
        <v>17</v>
      </c>
      <c r="I330" s="10">
        <v>4083.07</v>
      </c>
      <c r="J330" s="10">
        <v>69412.19</v>
      </c>
      <c r="K330" s="10"/>
    </row>
    <row r="331" spans="1:11">
      <c r="A331" s="19">
        <v>45046</v>
      </c>
      <c r="B331" t="s">
        <v>1269</v>
      </c>
      <c r="C331" t="s">
        <v>1245</v>
      </c>
      <c r="D331" t="s">
        <v>1243</v>
      </c>
      <c r="E331" t="s">
        <v>1242</v>
      </c>
      <c r="F331" t="s">
        <v>128</v>
      </c>
      <c r="G331" t="s">
        <v>1273</v>
      </c>
      <c r="H331" s="10">
        <v>10</v>
      </c>
      <c r="I331" s="10">
        <v>2682.33</v>
      </c>
      <c r="J331" s="10">
        <v>26823.3</v>
      </c>
      <c r="K331" s="10"/>
    </row>
    <row r="332" spans="1:11">
      <c r="A332" s="19">
        <v>45046</v>
      </c>
      <c r="B332" t="s">
        <v>1260</v>
      </c>
      <c r="C332" t="s">
        <v>1239</v>
      </c>
      <c r="D332" t="s">
        <v>1237</v>
      </c>
      <c r="E332" t="s">
        <v>1229</v>
      </c>
      <c r="F332" t="s">
        <v>128</v>
      </c>
      <c r="G332" t="s">
        <v>1266</v>
      </c>
      <c r="H332" s="10">
        <v>18</v>
      </c>
      <c r="I332" s="10">
        <v>3271.29</v>
      </c>
      <c r="J332" s="10">
        <v>58883.22</v>
      </c>
      <c r="K332" s="10"/>
    </row>
    <row r="333" spans="1:11">
      <c r="A333" s="19">
        <v>45047</v>
      </c>
      <c r="B333" t="s">
        <v>1262</v>
      </c>
      <c r="C333" t="s">
        <v>1236</v>
      </c>
      <c r="D333" t="s">
        <v>1235</v>
      </c>
      <c r="E333" t="s">
        <v>1231</v>
      </c>
      <c r="F333" t="s">
        <v>120</v>
      </c>
      <c r="G333" t="s">
        <v>1164</v>
      </c>
      <c r="H333" s="10">
        <v>5</v>
      </c>
      <c r="I333" s="10">
        <v>2196.9899999999998</v>
      </c>
      <c r="J333" s="10">
        <v>10984.95</v>
      </c>
      <c r="K333" s="10"/>
    </row>
    <row r="334" spans="1:11">
      <c r="A334" s="19">
        <v>45047</v>
      </c>
      <c r="B334" t="s">
        <v>1265</v>
      </c>
      <c r="C334" t="s">
        <v>1171</v>
      </c>
      <c r="D334" t="s">
        <v>1237</v>
      </c>
      <c r="E334" t="s">
        <v>1229</v>
      </c>
      <c r="F334" t="s">
        <v>132</v>
      </c>
      <c r="G334" t="s">
        <v>1253</v>
      </c>
      <c r="H334" s="10">
        <v>7</v>
      </c>
      <c r="I334" s="10">
        <v>862.76</v>
      </c>
      <c r="J334" s="10">
        <v>6039.32</v>
      </c>
      <c r="K334" s="10"/>
    </row>
    <row r="335" spans="1:11">
      <c r="A335" s="19">
        <v>45047</v>
      </c>
      <c r="B335" t="s">
        <v>1263</v>
      </c>
      <c r="C335" t="s">
        <v>1234</v>
      </c>
      <c r="D335" t="s">
        <v>1232</v>
      </c>
      <c r="E335" t="s">
        <v>1231</v>
      </c>
      <c r="F335" t="s">
        <v>128</v>
      </c>
      <c r="G335" t="s">
        <v>1266</v>
      </c>
      <c r="H335" s="10">
        <v>11</v>
      </c>
      <c r="I335" s="10">
        <v>1286.08</v>
      </c>
      <c r="J335" s="10">
        <v>14146.88</v>
      </c>
      <c r="K335" s="10"/>
    </row>
    <row r="336" spans="1:11">
      <c r="A336" s="19">
        <v>45047</v>
      </c>
      <c r="B336" t="s">
        <v>1265</v>
      </c>
      <c r="C336" t="s">
        <v>1239</v>
      </c>
      <c r="D336" t="s">
        <v>1237</v>
      </c>
      <c r="E336" t="s">
        <v>1229</v>
      </c>
      <c r="F336" t="s">
        <v>132</v>
      </c>
      <c r="G336" t="s">
        <v>1271</v>
      </c>
      <c r="H336" s="10">
        <v>18</v>
      </c>
      <c r="I336" s="10">
        <v>2589.64</v>
      </c>
      <c r="J336" s="10">
        <v>46613.52</v>
      </c>
      <c r="K336" s="10"/>
    </row>
    <row r="337" spans="1:11">
      <c r="A337" s="19">
        <v>45047</v>
      </c>
      <c r="B337" t="s">
        <v>1267</v>
      </c>
      <c r="C337" t="s">
        <v>1240</v>
      </c>
      <c r="D337" t="s">
        <v>1232</v>
      </c>
      <c r="E337" t="s">
        <v>1231</v>
      </c>
      <c r="F337" t="s">
        <v>128</v>
      </c>
      <c r="G337" t="s">
        <v>1266</v>
      </c>
      <c r="H337" s="10">
        <v>9</v>
      </c>
      <c r="I337" s="10">
        <v>2624.88</v>
      </c>
      <c r="J337" s="10">
        <v>23623.919999999998</v>
      </c>
      <c r="K337" s="10"/>
    </row>
    <row r="338" spans="1:11">
      <c r="A338" s="19">
        <v>45048</v>
      </c>
      <c r="B338" t="s">
        <v>1260</v>
      </c>
      <c r="C338" t="s">
        <v>1240</v>
      </c>
      <c r="D338" t="s">
        <v>1232</v>
      </c>
      <c r="E338" t="s">
        <v>1231</v>
      </c>
      <c r="F338" t="s">
        <v>128</v>
      </c>
      <c r="G338" t="s">
        <v>1264</v>
      </c>
      <c r="H338" s="10">
        <v>8</v>
      </c>
      <c r="I338" s="10">
        <v>4984.96</v>
      </c>
      <c r="J338" s="10">
        <v>39879.68</v>
      </c>
      <c r="K338" s="10"/>
    </row>
    <row r="339" spans="1:11">
      <c r="A339" s="19">
        <v>45049</v>
      </c>
      <c r="B339" t="s">
        <v>1269</v>
      </c>
      <c r="C339" t="s">
        <v>1246</v>
      </c>
      <c r="D339" t="s">
        <v>1230</v>
      </c>
      <c r="E339" t="s">
        <v>1229</v>
      </c>
      <c r="F339" t="s">
        <v>145</v>
      </c>
      <c r="G339" t="s">
        <v>1255</v>
      </c>
      <c r="H339" s="10">
        <v>18</v>
      </c>
      <c r="I339" s="10">
        <v>1310.78</v>
      </c>
      <c r="J339" s="10">
        <v>23594.04</v>
      </c>
      <c r="K339" s="10"/>
    </row>
    <row r="340" spans="1:11">
      <c r="A340" s="19">
        <v>45049</v>
      </c>
      <c r="B340" t="s">
        <v>1263</v>
      </c>
      <c r="C340" t="s">
        <v>1233</v>
      </c>
      <c r="D340" t="s">
        <v>1232</v>
      </c>
      <c r="E340" t="s">
        <v>1231</v>
      </c>
      <c r="F340" t="s">
        <v>132</v>
      </c>
      <c r="G340" t="s">
        <v>1279</v>
      </c>
      <c r="H340" s="10">
        <v>13</v>
      </c>
      <c r="I340" s="10">
        <v>1330.85</v>
      </c>
      <c r="J340" s="10">
        <v>17301.05</v>
      </c>
      <c r="K340" s="10"/>
    </row>
    <row r="341" spans="1:11">
      <c r="A341" s="19">
        <v>45049</v>
      </c>
      <c r="B341" t="s">
        <v>1262</v>
      </c>
      <c r="C341" t="s">
        <v>1246</v>
      </c>
      <c r="D341" t="s">
        <v>1230</v>
      </c>
      <c r="E341" t="s">
        <v>1229</v>
      </c>
      <c r="F341" t="s">
        <v>120</v>
      </c>
      <c r="G341" t="s">
        <v>1276</v>
      </c>
      <c r="H341" s="10">
        <v>19</v>
      </c>
      <c r="I341" s="10">
        <v>2040.79</v>
      </c>
      <c r="J341" s="10">
        <v>38775.01</v>
      </c>
      <c r="K341" s="10"/>
    </row>
    <row r="342" spans="1:11">
      <c r="A342" s="19">
        <v>45050</v>
      </c>
      <c r="B342" t="s">
        <v>1262</v>
      </c>
      <c r="C342" t="s">
        <v>1171</v>
      </c>
      <c r="D342" t="s">
        <v>1237</v>
      </c>
      <c r="E342" t="s">
        <v>1229</v>
      </c>
      <c r="F342" t="s">
        <v>120</v>
      </c>
      <c r="G342" t="s">
        <v>1165</v>
      </c>
      <c r="H342" s="10">
        <v>6</v>
      </c>
      <c r="I342" s="10">
        <v>2282.5500000000002</v>
      </c>
      <c r="J342" s="10">
        <v>13695.3</v>
      </c>
      <c r="K342" s="10"/>
    </row>
    <row r="343" spans="1:11">
      <c r="A343" s="19">
        <v>45050</v>
      </c>
      <c r="B343" t="s">
        <v>1267</v>
      </c>
      <c r="C343" t="s">
        <v>1234</v>
      </c>
      <c r="D343" t="s">
        <v>1232</v>
      </c>
      <c r="E343" t="s">
        <v>1231</v>
      </c>
      <c r="F343" t="s">
        <v>128</v>
      </c>
      <c r="G343" t="s">
        <v>1266</v>
      </c>
      <c r="H343" s="10">
        <v>9</v>
      </c>
      <c r="I343" s="10">
        <v>3927.83</v>
      </c>
      <c r="J343" s="10">
        <v>35350.47</v>
      </c>
      <c r="K343" s="10"/>
    </row>
    <row r="344" spans="1:11">
      <c r="A344" s="19">
        <v>45050</v>
      </c>
      <c r="B344" t="s">
        <v>1269</v>
      </c>
      <c r="C344" t="s">
        <v>1247</v>
      </c>
      <c r="D344" t="s">
        <v>1243</v>
      </c>
      <c r="E344" t="s">
        <v>1242</v>
      </c>
      <c r="F344" t="s">
        <v>120</v>
      </c>
      <c r="G344" t="s">
        <v>1275</v>
      </c>
      <c r="H344" s="10">
        <v>17</v>
      </c>
      <c r="I344" s="10">
        <v>3259.21</v>
      </c>
      <c r="J344" s="10">
        <v>55406.57</v>
      </c>
      <c r="K344" s="10"/>
    </row>
    <row r="345" spans="1:11">
      <c r="A345" s="19">
        <v>45050</v>
      </c>
      <c r="B345" t="s">
        <v>1262</v>
      </c>
      <c r="C345" t="s">
        <v>1236</v>
      </c>
      <c r="D345" t="s">
        <v>1235</v>
      </c>
      <c r="E345" t="s">
        <v>1231</v>
      </c>
      <c r="F345" t="s">
        <v>120</v>
      </c>
      <c r="G345" t="s">
        <v>1275</v>
      </c>
      <c r="H345" s="10">
        <v>4</v>
      </c>
      <c r="I345" s="10">
        <v>4968.93</v>
      </c>
      <c r="J345" s="10">
        <v>19875.72</v>
      </c>
      <c r="K345" s="10"/>
    </row>
    <row r="346" spans="1:11">
      <c r="A346" s="19">
        <v>45051</v>
      </c>
      <c r="B346" t="s">
        <v>1256</v>
      </c>
      <c r="C346" t="s">
        <v>1234</v>
      </c>
      <c r="D346" t="s">
        <v>1232</v>
      </c>
      <c r="E346" t="s">
        <v>1231</v>
      </c>
      <c r="F346" t="s">
        <v>145</v>
      </c>
      <c r="G346" t="s">
        <v>1274</v>
      </c>
      <c r="H346" s="10">
        <v>10</v>
      </c>
      <c r="I346" s="10">
        <v>3776.8</v>
      </c>
      <c r="J346" s="10">
        <v>37768</v>
      </c>
      <c r="K346" s="10"/>
    </row>
    <row r="347" spans="1:11">
      <c r="A347" s="19">
        <v>45051</v>
      </c>
      <c r="B347" t="s">
        <v>1260</v>
      </c>
      <c r="C347" t="s">
        <v>1246</v>
      </c>
      <c r="D347" t="s">
        <v>1230</v>
      </c>
      <c r="E347" t="s">
        <v>1229</v>
      </c>
      <c r="F347" t="s">
        <v>1249</v>
      </c>
      <c r="G347" t="s">
        <v>1268</v>
      </c>
      <c r="H347" s="10">
        <v>5</v>
      </c>
      <c r="I347" s="10">
        <v>1313.4</v>
      </c>
      <c r="J347" s="10">
        <v>6567</v>
      </c>
      <c r="K347" s="10"/>
    </row>
    <row r="348" spans="1:11">
      <c r="A348" s="19">
        <v>45051</v>
      </c>
      <c r="B348" t="s">
        <v>1269</v>
      </c>
      <c r="C348" t="s">
        <v>1247</v>
      </c>
      <c r="D348" t="s">
        <v>1243</v>
      </c>
      <c r="E348" t="s">
        <v>1242</v>
      </c>
      <c r="F348" t="s">
        <v>1249</v>
      </c>
      <c r="G348" t="s">
        <v>1268</v>
      </c>
      <c r="H348" s="10">
        <v>14</v>
      </c>
      <c r="I348" s="10">
        <v>4728.4399999999996</v>
      </c>
      <c r="J348" s="10">
        <v>66198.16</v>
      </c>
      <c r="K348" s="10"/>
    </row>
    <row r="349" spans="1:11">
      <c r="A349" s="19">
        <v>45051</v>
      </c>
      <c r="B349" t="s">
        <v>1258</v>
      </c>
      <c r="C349" t="s">
        <v>1247</v>
      </c>
      <c r="D349" t="s">
        <v>1243</v>
      </c>
      <c r="E349" t="s">
        <v>1242</v>
      </c>
      <c r="F349" t="s">
        <v>145</v>
      </c>
      <c r="G349" t="s">
        <v>1274</v>
      </c>
      <c r="H349" s="10">
        <v>16</v>
      </c>
      <c r="I349" s="10">
        <v>981</v>
      </c>
      <c r="J349" s="10">
        <v>15696</v>
      </c>
      <c r="K349" s="10"/>
    </row>
    <row r="350" spans="1:11">
      <c r="A350" s="19">
        <v>45051</v>
      </c>
      <c r="B350" t="s">
        <v>1252</v>
      </c>
      <c r="C350" t="s">
        <v>1233</v>
      </c>
      <c r="D350" t="s">
        <v>1232</v>
      </c>
      <c r="E350" t="s">
        <v>1231</v>
      </c>
      <c r="F350" t="s">
        <v>128</v>
      </c>
      <c r="G350" t="s">
        <v>1273</v>
      </c>
      <c r="H350" s="10">
        <v>19</v>
      </c>
      <c r="I350" s="10">
        <v>2174.06</v>
      </c>
      <c r="J350" s="10">
        <v>41307.14</v>
      </c>
      <c r="K350" s="10"/>
    </row>
    <row r="351" spans="1:11">
      <c r="A351" s="19">
        <v>45051</v>
      </c>
      <c r="B351" t="s">
        <v>1265</v>
      </c>
      <c r="C351" t="s">
        <v>1245</v>
      </c>
      <c r="D351" t="s">
        <v>1243</v>
      </c>
      <c r="E351" t="s">
        <v>1242</v>
      </c>
      <c r="F351" t="s">
        <v>128</v>
      </c>
      <c r="G351" t="s">
        <v>1273</v>
      </c>
      <c r="H351" s="10">
        <v>11</v>
      </c>
      <c r="I351" s="10">
        <v>4740.79</v>
      </c>
      <c r="J351" s="10">
        <v>52148.69</v>
      </c>
      <c r="K351" s="10"/>
    </row>
    <row r="352" spans="1:11">
      <c r="A352" s="19">
        <v>45052</v>
      </c>
      <c r="B352" t="s">
        <v>1263</v>
      </c>
      <c r="C352" t="s">
        <v>1236</v>
      </c>
      <c r="D352" t="s">
        <v>1235</v>
      </c>
      <c r="E352" t="s">
        <v>1231</v>
      </c>
      <c r="F352" t="s">
        <v>1249</v>
      </c>
      <c r="G352" t="s">
        <v>1259</v>
      </c>
      <c r="H352" s="10">
        <v>14</v>
      </c>
      <c r="I352" s="10">
        <v>4868.33</v>
      </c>
      <c r="J352" s="10">
        <v>68156.62</v>
      </c>
      <c r="K352" s="10"/>
    </row>
    <row r="353" spans="1:11">
      <c r="A353" s="19">
        <v>45052</v>
      </c>
      <c r="B353" t="s">
        <v>1265</v>
      </c>
      <c r="C353" t="s">
        <v>1169</v>
      </c>
      <c r="D353" t="s">
        <v>1230</v>
      </c>
      <c r="E353" t="s">
        <v>1229</v>
      </c>
      <c r="F353" t="s">
        <v>128</v>
      </c>
      <c r="G353" t="s">
        <v>1273</v>
      </c>
      <c r="H353" s="10">
        <v>20</v>
      </c>
      <c r="I353" s="10">
        <v>2056.65</v>
      </c>
      <c r="J353" s="10">
        <v>41133</v>
      </c>
      <c r="K353" s="10"/>
    </row>
    <row r="354" spans="1:11">
      <c r="A354" s="19">
        <v>45052</v>
      </c>
      <c r="B354" t="s">
        <v>1269</v>
      </c>
      <c r="C354" t="s">
        <v>1248</v>
      </c>
      <c r="D354" t="s">
        <v>1230</v>
      </c>
      <c r="E354" t="s">
        <v>1229</v>
      </c>
      <c r="F354" t="s">
        <v>132</v>
      </c>
      <c r="G354" t="s">
        <v>1271</v>
      </c>
      <c r="H354" s="10">
        <v>7</v>
      </c>
      <c r="I354" s="10">
        <v>3721.37</v>
      </c>
      <c r="J354" s="10">
        <v>26049.59</v>
      </c>
      <c r="K354" s="10"/>
    </row>
    <row r="355" spans="1:11">
      <c r="A355" s="19">
        <v>45052</v>
      </c>
      <c r="B355" t="s">
        <v>1256</v>
      </c>
      <c r="C355" t="s">
        <v>1241</v>
      </c>
      <c r="D355" t="s">
        <v>1235</v>
      </c>
      <c r="E355" t="s">
        <v>1231</v>
      </c>
      <c r="F355" t="s">
        <v>1249</v>
      </c>
      <c r="G355" t="s">
        <v>1270</v>
      </c>
      <c r="H355" s="10">
        <v>8</v>
      </c>
      <c r="I355" s="10">
        <v>4612.53</v>
      </c>
      <c r="J355" s="10">
        <v>36900.239999999998</v>
      </c>
      <c r="K355" s="10"/>
    </row>
    <row r="356" spans="1:11">
      <c r="A356" s="19">
        <v>45052</v>
      </c>
      <c r="B356" t="s">
        <v>1252</v>
      </c>
      <c r="C356" t="s">
        <v>1173</v>
      </c>
      <c r="D356" t="s">
        <v>1237</v>
      </c>
      <c r="E356" t="s">
        <v>1229</v>
      </c>
      <c r="F356" t="s">
        <v>120</v>
      </c>
      <c r="G356" t="s">
        <v>1275</v>
      </c>
      <c r="H356" s="10">
        <v>16</v>
      </c>
      <c r="I356" s="10">
        <v>615.70000000000005</v>
      </c>
      <c r="J356" s="10">
        <v>9851.2000000000007</v>
      </c>
      <c r="K356" s="10"/>
    </row>
    <row r="357" spans="1:11">
      <c r="A357" s="19">
        <v>45054</v>
      </c>
      <c r="B357" t="s">
        <v>1267</v>
      </c>
      <c r="C357" t="s">
        <v>1171</v>
      </c>
      <c r="D357" t="s">
        <v>1237</v>
      </c>
      <c r="E357" t="s">
        <v>1229</v>
      </c>
      <c r="F357" t="s">
        <v>145</v>
      </c>
      <c r="G357" t="s">
        <v>1255</v>
      </c>
      <c r="H357" s="10">
        <v>10</v>
      </c>
      <c r="I357" s="10">
        <v>1512.64</v>
      </c>
      <c r="J357" s="10">
        <v>15126.4</v>
      </c>
      <c r="K357" s="10"/>
    </row>
    <row r="358" spans="1:11">
      <c r="A358" s="19">
        <v>45054</v>
      </c>
      <c r="B358" t="s">
        <v>1260</v>
      </c>
      <c r="C358" t="s">
        <v>1241</v>
      </c>
      <c r="D358" t="s">
        <v>1235</v>
      </c>
      <c r="E358" t="s">
        <v>1231</v>
      </c>
      <c r="F358" t="s">
        <v>145</v>
      </c>
      <c r="G358" t="s">
        <v>1274</v>
      </c>
      <c r="H358" s="10">
        <v>17</v>
      </c>
      <c r="I358" s="10">
        <v>2339.5700000000002</v>
      </c>
      <c r="J358" s="10">
        <v>39772.69</v>
      </c>
      <c r="K358" s="10"/>
    </row>
    <row r="359" spans="1:11">
      <c r="A359" s="19">
        <v>45055</v>
      </c>
      <c r="B359" t="s">
        <v>1256</v>
      </c>
      <c r="C359" t="s">
        <v>1244</v>
      </c>
      <c r="D359" t="s">
        <v>1243</v>
      </c>
      <c r="E359" t="s">
        <v>1242</v>
      </c>
      <c r="F359" t="s">
        <v>145</v>
      </c>
      <c r="G359" t="s">
        <v>1261</v>
      </c>
      <c r="H359" s="10">
        <v>18</v>
      </c>
      <c r="I359" s="10">
        <v>3093.44</v>
      </c>
      <c r="J359" s="10">
        <v>55681.919999999998</v>
      </c>
      <c r="K359" s="10"/>
    </row>
    <row r="360" spans="1:11">
      <c r="A360" s="19">
        <v>45055</v>
      </c>
      <c r="B360" t="s">
        <v>1262</v>
      </c>
      <c r="C360" t="s">
        <v>1236</v>
      </c>
      <c r="D360" t="s">
        <v>1235</v>
      </c>
      <c r="E360" t="s">
        <v>1231</v>
      </c>
      <c r="F360" t="s">
        <v>132</v>
      </c>
      <c r="G360" t="s">
        <v>1253</v>
      </c>
      <c r="H360" s="10">
        <v>3</v>
      </c>
      <c r="I360" s="10">
        <v>4146.75</v>
      </c>
      <c r="J360" s="10">
        <v>12440.25</v>
      </c>
      <c r="K360" s="10"/>
    </row>
    <row r="361" spans="1:11">
      <c r="A361" s="19">
        <v>45055</v>
      </c>
      <c r="B361" t="s">
        <v>1260</v>
      </c>
      <c r="C361" t="s">
        <v>1169</v>
      </c>
      <c r="D361" t="s">
        <v>1230</v>
      </c>
      <c r="E361" t="s">
        <v>1229</v>
      </c>
      <c r="F361" t="s">
        <v>128</v>
      </c>
      <c r="G361" t="s">
        <v>1264</v>
      </c>
      <c r="H361" s="10">
        <v>10</v>
      </c>
      <c r="I361" s="10">
        <v>224.53</v>
      </c>
      <c r="J361" s="10">
        <v>2245.3000000000002</v>
      </c>
      <c r="K361" s="10"/>
    </row>
    <row r="362" spans="1:11">
      <c r="A362" s="19">
        <v>45056</v>
      </c>
      <c r="B362" t="s">
        <v>1267</v>
      </c>
      <c r="C362" t="s">
        <v>1239</v>
      </c>
      <c r="D362" t="s">
        <v>1237</v>
      </c>
      <c r="E362" t="s">
        <v>1229</v>
      </c>
      <c r="F362" t="s">
        <v>1249</v>
      </c>
      <c r="G362" t="s">
        <v>1259</v>
      </c>
      <c r="H362" s="10">
        <v>8</v>
      </c>
      <c r="I362" s="10">
        <v>4455.43</v>
      </c>
      <c r="J362" s="10">
        <v>35643.440000000002</v>
      </c>
      <c r="K362" s="10"/>
    </row>
    <row r="363" spans="1:11">
      <c r="A363" s="19">
        <v>45056</v>
      </c>
      <c r="B363" t="s">
        <v>1254</v>
      </c>
      <c r="C363" t="s">
        <v>1238</v>
      </c>
      <c r="D363" t="s">
        <v>1235</v>
      </c>
      <c r="E363" t="s">
        <v>1231</v>
      </c>
      <c r="F363" t="s">
        <v>145</v>
      </c>
      <c r="G363" t="s">
        <v>1261</v>
      </c>
      <c r="H363" s="10">
        <v>19</v>
      </c>
      <c r="I363" s="10">
        <v>491.53</v>
      </c>
      <c r="J363" s="10">
        <v>9339.07</v>
      </c>
      <c r="K363" s="10"/>
    </row>
    <row r="364" spans="1:11">
      <c r="A364" s="19">
        <v>45057</v>
      </c>
      <c r="B364" t="s">
        <v>1263</v>
      </c>
      <c r="C364" t="s">
        <v>1241</v>
      </c>
      <c r="D364" t="s">
        <v>1235</v>
      </c>
      <c r="E364" t="s">
        <v>1231</v>
      </c>
      <c r="F364" t="s">
        <v>1249</v>
      </c>
      <c r="G364" t="s">
        <v>1259</v>
      </c>
      <c r="H364" s="10">
        <v>3</v>
      </c>
      <c r="I364" s="10">
        <v>3107.88</v>
      </c>
      <c r="J364" s="10">
        <v>9323.64</v>
      </c>
      <c r="K364" s="10"/>
    </row>
    <row r="365" spans="1:11">
      <c r="A365" s="19">
        <v>45057</v>
      </c>
      <c r="B365" t="s">
        <v>1263</v>
      </c>
      <c r="C365" t="s">
        <v>1234</v>
      </c>
      <c r="D365" t="s">
        <v>1232</v>
      </c>
      <c r="E365" t="s">
        <v>1231</v>
      </c>
      <c r="F365" t="s">
        <v>1249</v>
      </c>
      <c r="G365" t="s">
        <v>1270</v>
      </c>
      <c r="H365" s="10">
        <v>15</v>
      </c>
      <c r="I365" s="10">
        <v>1197.31</v>
      </c>
      <c r="J365" s="10">
        <v>17959.650000000001</v>
      </c>
      <c r="K365" s="10"/>
    </row>
    <row r="366" spans="1:11">
      <c r="A366" s="19">
        <v>45058</v>
      </c>
      <c r="B366" t="s">
        <v>1260</v>
      </c>
      <c r="C366" t="s">
        <v>1171</v>
      </c>
      <c r="D366" t="s">
        <v>1237</v>
      </c>
      <c r="E366" t="s">
        <v>1229</v>
      </c>
      <c r="F366" t="s">
        <v>120</v>
      </c>
      <c r="G366" t="s">
        <v>1165</v>
      </c>
      <c r="H366" s="10">
        <v>9</v>
      </c>
      <c r="I366" s="10">
        <v>109.56</v>
      </c>
      <c r="J366" s="10">
        <v>986.04</v>
      </c>
      <c r="K366" s="10"/>
    </row>
    <row r="367" spans="1:11">
      <c r="A367" s="19">
        <v>45059</v>
      </c>
      <c r="B367" t="s">
        <v>1252</v>
      </c>
      <c r="C367" t="s">
        <v>1234</v>
      </c>
      <c r="D367" t="s">
        <v>1232</v>
      </c>
      <c r="E367" t="s">
        <v>1231</v>
      </c>
      <c r="F367" t="s">
        <v>132</v>
      </c>
      <c r="G367" t="s">
        <v>1277</v>
      </c>
      <c r="H367" s="10">
        <v>8</v>
      </c>
      <c r="I367" s="10">
        <v>3859.28</v>
      </c>
      <c r="J367" s="10">
        <v>30874.240000000002</v>
      </c>
      <c r="K367" s="10"/>
    </row>
    <row r="368" spans="1:11">
      <c r="A368" s="19">
        <v>45059</v>
      </c>
      <c r="B368" t="s">
        <v>1252</v>
      </c>
      <c r="C368" t="s">
        <v>1245</v>
      </c>
      <c r="D368" t="s">
        <v>1243</v>
      </c>
      <c r="E368" t="s">
        <v>1242</v>
      </c>
      <c r="F368" t="s">
        <v>145</v>
      </c>
      <c r="G368" t="s">
        <v>1274</v>
      </c>
      <c r="H368" s="10">
        <v>20</v>
      </c>
      <c r="I368" s="10">
        <v>1176.4000000000001</v>
      </c>
      <c r="J368" s="10">
        <v>23528</v>
      </c>
      <c r="K368" s="10"/>
    </row>
    <row r="369" spans="1:11">
      <c r="A369" s="19">
        <v>45060</v>
      </c>
      <c r="B369" t="s">
        <v>1260</v>
      </c>
      <c r="C369" t="s">
        <v>1239</v>
      </c>
      <c r="D369" t="s">
        <v>1237</v>
      </c>
      <c r="E369" t="s">
        <v>1229</v>
      </c>
      <c r="F369" t="s">
        <v>120</v>
      </c>
      <c r="G369" t="s">
        <v>1164</v>
      </c>
      <c r="H369" s="10">
        <v>2</v>
      </c>
      <c r="I369" s="10">
        <v>4542.6099999999997</v>
      </c>
      <c r="J369" s="10">
        <v>9085.2199999999993</v>
      </c>
      <c r="K369" s="10"/>
    </row>
    <row r="370" spans="1:11">
      <c r="A370" s="19">
        <v>45060</v>
      </c>
      <c r="B370" t="s">
        <v>1256</v>
      </c>
      <c r="C370" t="s">
        <v>1238</v>
      </c>
      <c r="D370" t="s">
        <v>1235</v>
      </c>
      <c r="E370" t="s">
        <v>1231</v>
      </c>
      <c r="F370" t="s">
        <v>132</v>
      </c>
      <c r="G370" t="s">
        <v>1277</v>
      </c>
      <c r="H370" s="10">
        <v>14</v>
      </c>
      <c r="I370" s="10">
        <v>3177.8</v>
      </c>
      <c r="J370" s="10">
        <v>44489.2</v>
      </c>
      <c r="K370" s="10"/>
    </row>
    <row r="371" spans="1:11">
      <c r="A371" s="19">
        <v>45060</v>
      </c>
      <c r="B371" t="s">
        <v>1254</v>
      </c>
      <c r="C371" t="s">
        <v>1248</v>
      </c>
      <c r="D371" t="s">
        <v>1230</v>
      </c>
      <c r="E371" t="s">
        <v>1229</v>
      </c>
      <c r="F371" t="s">
        <v>1249</v>
      </c>
      <c r="G371" t="s">
        <v>1270</v>
      </c>
      <c r="H371" s="10">
        <v>1</v>
      </c>
      <c r="I371" s="10">
        <v>403.2</v>
      </c>
      <c r="J371" s="10">
        <v>403.2</v>
      </c>
      <c r="K371" s="10"/>
    </row>
    <row r="372" spans="1:11">
      <c r="A372" s="19">
        <v>45060</v>
      </c>
      <c r="B372" t="s">
        <v>1260</v>
      </c>
      <c r="C372" t="s">
        <v>1236</v>
      </c>
      <c r="D372" t="s">
        <v>1235</v>
      </c>
      <c r="E372" t="s">
        <v>1231</v>
      </c>
      <c r="F372" t="s">
        <v>145</v>
      </c>
      <c r="G372" t="s">
        <v>1274</v>
      </c>
      <c r="H372" s="10">
        <v>4</v>
      </c>
      <c r="I372" s="10">
        <v>917.97</v>
      </c>
      <c r="J372" s="10">
        <v>3671.88</v>
      </c>
      <c r="K372" s="10"/>
    </row>
    <row r="373" spans="1:11">
      <c r="A373" s="19">
        <v>45060</v>
      </c>
      <c r="B373" t="s">
        <v>1258</v>
      </c>
      <c r="C373" t="s">
        <v>1240</v>
      </c>
      <c r="D373" t="s">
        <v>1232</v>
      </c>
      <c r="E373" t="s">
        <v>1231</v>
      </c>
      <c r="F373" t="s">
        <v>120</v>
      </c>
      <c r="G373" t="s">
        <v>1275</v>
      </c>
      <c r="H373" s="10">
        <v>2</v>
      </c>
      <c r="I373" s="10">
        <v>2261.69</v>
      </c>
      <c r="J373" s="10">
        <v>4523.38</v>
      </c>
      <c r="K373" s="10"/>
    </row>
    <row r="374" spans="1:11">
      <c r="A374" s="19">
        <v>45061</v>
      </c>
      <c r="B374" t="s">
        <v>1260</v>
      </c>
      <c r="C374" t="s">
        <v>1240</v>
      </c>
      <c r="D374" t="s">
        <v>1232</v>
      </c>
      <c r="E374" t="s">
        <v>1231</v>
      </c>
      <c r="F374" t="s">
        <v>1249</v>
      </c>
      <c r="G374" t="s">
        <v>1259</v>
      </c>
      <c r="H374" s="10">
        <v>13</v>
      </c>
      <c r="I374" s="10">
        <v>3574.45</v>
      </c>
      <c r="J374" s="10">
        <v>46467.85</v>
      </c>
      <c r="K374" s="10"/>
    </row>
    <row r="375" spans="1:11">
      <c r="A375" s="19">
        <v>45061</v>
      </c>
      <c r="B375" t="s">
        <v>1258</v>
      </c>
      <c r="C375" t="s">
        <v>1247</v>
      </c>
      <c r="D375" t="s">
        <v>1243</v>
      </c>
      <c r="E375" t="s">
        <v>1242</v>
      </c>
      <c r="F375" t="s">
        <v>120</v>
      </c>
      <c r="G375" t="s">
        <v>1275</v>
      </c>
      <c r="H375" s="10">
        <v>18</v>
      </c>
      <c r="I375" s="10">
        <v>214.47</v>
      </c>
      <c r="J375" s="10">
        <v>3860.46</v>
      </c>
      <c r="K375" s="10"/>
    </row>
    <row r="376" spans="1:11">
      <c r="A376" s="19">
        <v>45061</v>
      </c>
      <c r="B376" t="s">
        <v>1265</v>
      </c>
      <c r="C376" t="s">
        <v>1239</v>
      </c>
      <c r="D376" t="s">
        <v>1237</v>
      </c>
      <c r="E376" t="s">
        <v>1229</v>
      </c>
      <c r="F376" t="s">
        <v>132</v>
      </c>
      <c r="G376" t="s">
        <v>1279</v>
      </c>
      <c r="H376" s="10">
        <v>14</v>
      </c>
      <c r="I376" s="10">
        <v>3044.71</v>
      </c>
      <c r="J376" s="10">
        <v>42625.94</v>
      </c>
      <c r="K376" s="10"/>
    </row>
    <row r="377" spans="1:11">
      <c r="A377" s="19">
        <v>45062</v>
      </c>
      <c r="B377" t="s">
        <v>1256</v>
      </c>
      <c r="C377" t="s">
        <v>1233</v>
      </c>
      <c r="D377" t="s">
        <v>1232</v>
      </c>
      <c r="E377" t="s">
        <v>1231</v>
      </c>
      <c r="F377" t="s">
        <v>145</v>
      </c>
      <c r="G377" t="s">
        <v>1255</v>
      </c>
      <c r="H377" s="10">
        <v>12</v>
      </c>
      <c r="I377" s="10">
        <v>2127.2800000000002</v>
      </c>
      <c r="J377" s="10">
        <v>25527.360000000001</v>
      </c>
      <c r="K377" s="10"/>
    </row>
    <row r="378" spans="1:11">
      <c r="A378" s="19">
        <v>45062</v>
      </c>
      <c r="B378" t="s">
        <v>1265</v>
      </c>
      <c r="C378" t="s">
        <v>1234</v>
      </c>
      <c r="D378" t="s">
        <v>1232</v>
      </c>
      <c r="E378" t="s">
        <v>1231</v>
      </c>
      <c r="F378" t="s">
        <v>132</v>
      </c>
      <c r="G378" t="s">
        <v>1253</v>
      </c>
      <c r="H378" s="10">
        <v>18</v>
      </c>
      <c r="I378" s="10">
        <v>4937.99</v>
      </c>
      <c r="J378" s="10">
        <v>88883.82</v>
      </c>
      <c r="K378" s="10"/>
    </row>
    <row r="379" spans="1:11">
      <c r="A379" s="19">
        <v>45062</v>
      </c>
      <c r="B379" t="s">
        <v>1256</v>
      </c>
      <c r="C379" t="s">
        <v>1244</v>
      </c>
      <c r="D379" t="s">
        <v>1243</v>
      </c>
      <c r="E379" t="s">
        <v>1242</v>
      </c>
      <c r="F379" t="s">
        <v>128</v>
      </c>
      <c r="G379" t="s">
        <v>1257</v>
      </c>
      <c r="H379" s="10">
        <v>11</v>
      </c>
      <c r="I379" s="10">
        <v>2212.9</v>
      </c>
      <c r="J379" s="10">
        <v>24341.9</v>
      </c>
      <c r="K379" s="10"/>
    </row>
    <row r="380" spans="1:11">
      <c r="A380" s="19">
        <v>45063</v>
      </c>
      <c r="B380" t="s">
        <v>1256</v>
      </c>
      <c r="C380" t="s">
        <v>1169</v>
      </c>
      <c r="D380" t="s">
        <v>1230</v>
      </c>
      <c r="E380" t="s">
        <v>1229</v>
      </c>
      <c r="F380" t="s">
        <v>128</v>
      </c>
      <c r="G380" t="s">
        <v>1264</v>
      </c>
      <c r="H380" s="10">
        <v>17</v>
      </c>
      <c r="I380" s="10">
        <v>1720.9</v>
      </c>
      <c r="J380" s="10">
        <v>29255.3</v>
      </c>
      <c r="K380" s="10"/>
    </row>
    <row r="381" spans="1:11">
      <c r="A381" s="19">
        <v>45063</v>
      </c>
      <c r="B381" t="s">
        <v>1256</v>
      </c>
      <c r="C381" t="s">
        <v>1238</v>
      </c>
      <c r="D381" t="s">
        <v>1235</v>
      </c>
      <c r="E381" t="s">
        <v>1231</v>
      </c>
      <c r="F381" t="s">
        <v>128</v>
      </c>
      <c r="G381" t="s">
        <v>1273</v>
      </c>
      <c r="H381" s="10">
        <v>10</v>
      </c>
      <c r="I381" s="10">
        <v>1468.96</v>
      </c>
      <c r="J381" s="10">
        <v>14689.6</v>
      </c>
      <c r="K381" s="10"/>
    </row>
    <row r="382" spans="1:11">
      <c r="A382" s="19">
        <v>45063</v>
      </c>
      <c r="B382" t="s">
        <v>1260</v>
      </c>
      <c r="C382" t="s">
        <v>1246</v>
      </c>
      <c r="D382" t="s">
        <v>1230</v>
      </c>
      <c r="E382" t="s">
        <v>1229</v>
      </c>
      <c r="F382" t="s">
        <v>132</v>
      </c>
      <c r="G382" t="s">
        <v>1253</v>
      </c>
      <c r="H382" s="10">
        <v>6</v>
      </c>
      <c r="I382" s="10">
        <v>4072.51</v>
      </c>
      <c r="J382" s="10">
        <v>24435.06</v>
      </c>
      <c r="K382" s="10"/>
    </row>
    <row r="383" spans="1:11">
      <c r="A383" s="19">
        <v>45064</v>
      </c>
      <c r="B383" t="s">
        <v>1254</v>
      </c>
      <c r="C383" t="s">
        <v>1236</v>
      </c>
      <c r="D383" t="s">
        <v>1235</v>
      </c>
      <c r="E383" t="s">
        <v>1231</v>
      </c>
      <c r="F383" t="s">
        <v>128</v>
      </c>
      <c r="G383" t="s">
        <v>1264</v>
      </c>
      <c r="H383" s="10">
        <v>10</v>
      </c>
      <c r="I383" s="10">
        <v>4017.66</v>
      </c>
      <c r="J383" s="10">
        <v>40176.6</v>
      </c>
      <c r="K383" s="10"/>
    </row>
    <row r="384" spans="1:11">
      <c r="A384" s="19">
        <v>45064</v>
      </c>
      <c r="B384" t="s">
        <v>1256</v>
      </c>
      <c r="C384" t="s">
        <v>1241</v>
      </c>
      <c r="D384" t="s">
        <v>1235</v>
      </c>
      <c r="E384" t="s">
        <v>1231</v>
      </c>
      <c r="F384" t="s">
        <v>132</v>
      </c>
      <c r="G384" t="s">
        <v>1277</v>
      </c>
      <c r="H384" s="10">
        <v>3</v>
      </c>
      <c r="I384" s="10">
        <v>953.26</v>
      </c>
      <c r="J384" s="10">
        <v>2859.78</v>
      </c>
      <c r="K384" s="10"/>
    </row>
    <row r="385" spans="1:11">
      <c r="A385" s="19">
        <v>45064</v>
      </c>
      <c r="B385" t="s">
        <v>1256</v>
      </c>
      <c r="C385" t="s">
        <v>1241</v>
      </c>
      <c r="D385" t="s">
        <v>1235</v>
      </c>
      <c r="E385" t="s">
        <v>1231</v>
      </c>
      <c r="F385" t="s">
        <v>1249</v>
      </c>
      <c r="G385" t="s">
        <v>1270</v>
      </c>
      <c r="H385" s="10">
        <v>8</v>
      </c>
      <c r="I385" s="10">
        <v>1762.43</v>
      </c>
      <c r="J385" s="10">
        <v>14099.44</v>
      </c>
      <c r="K385" s="10"/>
    </row>
    <row r="386" spans="1:11">
      <c r="A386" s="19">
        <v>45065</v>
      </c>
      <c r="B386" t="s">
        <v>1260</v>
      </c>
      <c r="C386" t="s">
        <v>1239</v>
      </c>
      <c r="D386" t="s">
        <v>1237</v>
      </c>
      <c r="E386" t="s">
        <v>1229</v>
      </c>
      <c r="F386" t="s">
        <v>1249</v>
      </c>
      <c r="G386" t="s">
        <v>1259</v>
      </c>
      <c r="H386" s="10">
        <v>13</v>
      </c>
      <c r="I386" s="10">
        <v>2040.1</v>
      </c>
      <c r="J386" s="10">
        <v>26521.3</v>
      </c>
      <c r="K386" s="10"/>
    </row>
    <row r="387" spans="1:11">
      <c r="A387" s="19">
        <v>45065</v>
      </c>
      <c r="B387" t="s">
        <v>1260</v>
      </c>
      <c r="C387" t="s">
        <v>1245</v>
      </c>
      <c r="D387" t="s">
        <v>1243</v>
      </c>
      <c r="E387" t="s">
        <v>1242</v>
      </c>
      <c r="F387" t="s">
        <v>1249</v>
      </c>
      <c r="G387" t="s">
        <v>1268</v>
      </c>
      <c r="H387" s="10">
        <v>3</v>
      </c>
      <c r="I387" s="10">
        <v>1894.71</v>
      </c>
      <c r="J387" s="10">
        <v>5684.13</v>
      </c>
      <c r="K387" s="10"/>
    </row>
    <row r="388" spans="1:11">
      <c r="A388" s="19">
        <v>45065</v>
      </c>
      <c r="B388" t="s">
        <v>1260</v>
      </c>
      <c r="C388" t="s">
        <v>1241</v>
      </c>
      <c r="D388" t="s">
        <v>1235</v>
      </c>
      <c r="E388" t="s">
        <v>1231</v>
      </c>
      <c r="F388" t="s">
        <v>120</v>
      </c>
      <c r="G388" t="s">
        <v>1165</v>
      </c>
      <c r="H388" s="10">
        <v>15</v>
      </c>
      <c r="I388" s="10">
        <v>1669.04</v>
      </c>
      <c r="J388" s="10">
        <v>25035.599999999999</v>
      </c>
      <c r="K388" s="10"/>
    </row>
    <row r="389" spans="1:11">
      <c r="A389" s="19">
        <v>45066</v>
      </c>
      <c r="B389" t="s">
        <v>1258</v>
      </c>
      <c r="C389" t="s">
        <v>1173</v>
      </c>
      <c r="D389" t="s">
        <v>1237</v>
      </c>
      <c r="E389" t="s">
        <v>1229</v>
      </c>
      <c r="F389" t="s">
        <v>132</v>
      </c>
      <c r="G389" t="s">
        <v>1253</v>
      </c>
      <c r="H389" s="10">
        <v>13</v>
      </c>
      <c r="I389" s="10">
        <v>3617.07</v>
      </c>
      <c r="J389" s="10">
        <v>47021.91</v>
      </c>
      <c r="K389" s="10"/>
    </row>
    <row r="390" spans="1:11">
      <c r="A390" s="19">
        <v>45067</v>
      </c>
      <c r="B390" t="s">
        <v>1262</v>
      </c>
      <c r="C390" t="s">
        <v>1236</v>
      </c>
      <c r="D390" t="s">
        <v>1235</v>
      </c>
      <c r="E390" t="s">
        <v>1231</v>
      </c>
      <c r="F390" t="s">
        <v>120</v>
      </c>
      <c r="G390" t="s">
        <v>1275</v>
      </c>
      <c r="H390" s="10">
        <v>18</v>
      </c>
      <c r="I390" s="10">
        <v>1745.63</v>
      </c>
      <c r="J390" s="10">
        <v>31421.34</v>
      </c>
      <c r="K390" s="10"/>
    </row>
    <row r="391" spans="1:11">
      <c r="A391" s="19">
        <v>45067</v>
      </c>
      <c r="B391" t="s">
        <v>1262</v>
      </c>
      <c r="C391" t="s">
        <v>1233</v>
      </c>
      <c r="D391" t="s">
        <v>1232</v>
      </c>
      <c r="E391" t="s">
        <v>1231</v>
      </c>
      <c r="F391" t="s">
        <v>128</v>
      </c>
      <c r="G391" t="s">
        <v>1273</v>
      </c>
      <c r="H391" s="10">
        <v>13</v>
      </c>
      <c r="I391" s="10">
        <v>1406.82</v>
      </c>
      <c r="J391" s="10">
        <v>18288.66</v>
      </c>
      <c r="K391" s="10"/>
    </row>
    <row r="392" spans="1:11">
      <c r="A392" s="19">
        <v>45067</v>
      </c>
      <c r="B392" t="s">
        <v>1263</v>
      </c>
      <c r="C392" t="s">
        <v>1173</v>
      </c>
      <c r="D392" t="s">
        <v>1237</v>
      </c>
      <c r="E392" t="s">
        <v>1229</v>
      </c>
      <c r="F392" t="s">
        <v>145</v>
      </c>
      <c r="G392" t="s">
        <v>1255</v>
      </c>
      <c r="H392" s="10">
        <v>10</v>
      </c>
      <c r="I392" s="10">
        <v>1318.51</v>
      </c>
      <c r="J392" s="10">
        <v>13185.1</v>
      </c>
      <c r="K392" s="10"/>
    </row>
    <row r="393" spans="1:11">
      <c r="A393" s="19">
        <v>45068</v>
      </c>
      <c r="B393" t="s">
        <v>1265</v>
      </c>
      <c r="C393" t="s">
        <v>1247</v>
      </c>
      <c r="D393" t="s">
        <v>1243</v>
      </c>
      <c r="E393" t="s">
        <v>1242</v>
      </c>
      <c r="F393" t="s">
        <v>128</v>
      </c>
      <c r="G393" t="s">
        <v>1264</v>
      </c>
      <c r="H393" s="10">
        <v>19</v>
      </c>
      <c r="I393" s="10">
        <v>3485.85</v>
      </c>
      <c r="J393" s="10">
        <v>66231.149999999994</v>
      </c>
      <c r="K393" s="10"/>
    </row>
    <row r="394" spans="1:11">
      <c r="A394" s="19">
        <v>45068</v>
      </c>
      <c r="B394" t="s">
        <v>1260</v>
      </c>
      <c r="C394" t="s">
        <v>1239</v>
      </c>
      <c r="D394" t="s">
        <v>1237</v>
      </c>
      <c r="E394" t="s">
        <v>1229</v>
      </c>
      <c r="F394" t="s">
        <v>132</v>
      </c>
      <c r="G394" t="s">
        <v>1279</v>
      </c>
      <c r="H394" s="10">
        <v>15</v>
      </c>
      <c r="I394" s="10">
        <v>2698.6</v>
      </c>
      <c r="J394" s="10">
        <v>40479</v>
      </c>
      <c r="K394" s="10"/>
    </row>
    <row r="395" spans="1:11">
      <c r="A395" s="19">
        <v>45069</v>
      </c>
      <c r="B395" t="s">
        <v>1262</v>
      </c>
      <c r="C395" t="s">
        <v>1239</v>
      </c>
      <c r="D395" t="s">
        <v>1237</v>
      </c>
      <c r="E395" t="s">
        <v>1229</v>
      </c>
      <c r="F395" t="s">
        <v>120</v>
      </c>
      <c r="G395" t="s">
        <v>1276</v>
      </c>
      <c r="H395" s="10">
        <v>7</v>
      </c>
      <c r="I395" s="10">
        <v>1249.3599999999999</v>
      </c>
      <c r="J395" s="10">
        <v>8745.52</v>
      </c>
      <c r="K395" s="10"/>
    </row>
    <row r="396" spans="1:11">
      <c r="A396" s="19">
        <v>45070</v>
      </c>
      <c r="B396" t="s">
        <v>1260</v>
      </c>
      <c r="C396" t="s">
        <v>1246</v>
      </c>
      <c r="D396" t="s">
        <v>1230</v>
      </c>
      <c r="E396" t="s">
        <v>1229</v>
      </c>
      <c r="F396" t="s">
        <v>128</v>
      </c>
      <c r="G396" t="s">
        <v>1266</v>
      </c>
      <c r="H396" s="10">
        <v>8</v>
      </c>
      <c r="I396" s="10">
        <v>2663.16</v>
      </c>
      <c r="J396" s="10">
        <v>21305.279999999999</v>
      </c>
      <c r="K396" s="10"/>
    </row>
    <row r="397" spans="1:11">
      <c r="A397" s="19">
        <v>45070</v>
      </c>
      <c r="B397" t="s">
        <v>1262</v>
      </c>
      <c r="C397" t="s">
        <v>1236</v>
      </c>
      <c r="D397" t="s">
        <v>1235</v>
      </c>
      <c r="E397" t="s">
        <v>1231</v>
      </c>
      <c r="F397" t="s">
        <v>120</v>
      </c>
      <c r="G397" t="s">
        <v>1165</v>
      </c>
      <c r="H397" s="10">
        <v>1</v>
      </c>
      <c r="I397" s="10">
        <v>3382.37</v>
      </c>
      <c r="J397" s="10">
        <v>3382.37</v>
      </c>
      <c r="K397" s="10"/>
    </row>
    <row r="398" spans="1:11">
      <c r="A398" s="19">
        <v>45070</v>
      </c>
      <c r="B398" t="s">
        <v>1265</v>
      </c>
      <c r="C398" t="s">
        <v>1241</v>
      </c>
      <c r="D398" t="s">
        <v>1235</v>
      </c>
      <c r="E398" t="s">
        <v>1231</v>
      </c>
      <c r="F398" t="s">
        <v>128</v>
      </c>
      <c r="G398" t="s">
        <v>1266</v>
      </c>
      <c r="H398" s="10">
        <v>17</v>
      </c>
      <c r="I398" s="10">
        <v>3381.75</v>
      </c>
      <c r="J398" s="10">
        <v>57489.75</v>
      </c>
      <c r="K398" s="10"/>
    </row>
    <row r="399" spans="1:11">
      <c r="A399" s="19">
        <v>45071</v>
      </c>
      <c r="B399" t="s">
        <v>1267</v>
      </c>
      <c r="C399" t="s">
        <v>1233</v>
      </c>
      <c r="D399" t="s">
        <v>1232</v>
      </c>
      <c r="E399" t="s">
        <v>1231</v>
      </c>
      <c r="F399" t="s">
        <v>128</v>
      </c>
      <c r="G399" t="s">
        <v>1273</v>
      </c>
      <c r="H399" s="10">
        <v>9</v>
      </c>
      <c r="I399" s="10">
        <v>4218.3599999999997</v>
      </c>
      <c r="J399" s="10">
        <v>37965.24</v>
      </c>
      <c r="K399" s="10"/>
    </row>
    <row r="400" spans="1:11">
      <c r="A400" s="19">
        <v>45071</v>
      </c>
      <c r="B400" t="s">
        <v>1260</v>
      </c>
      <c r="C400" t="s">
        <v>1236</v>
      </c>
      <c r="D400" t="s">
        <v>1235</v>
      </c>
      <c r="E400" t="s">
        <v>1231</v>
      </c>
      <c r="F400" t="s">
        <v>132</v>
      </c>
      <c r="G400" t="s">
        <v>1253</v>
      </c>
      <c r="H400" s="10">
        <v>10</v>
      </c>
      <c r="I400" s="10">
        <v>3339.72</v>
      </c>
      <c r="J400" s="10">
        <v>33397.199999999997</v>
      </c>
      <c r="K400" s="10"/>
    </row>
    <row r="401" spans="1:11">
      <c r="A401" s="19">
        <v>45071</v>
      </c>
      <c r="B401" t="s">
        <v>1262</v>
      </c>
      <c r="C401" t="s">
        <v>1173</v>
      </c>
      <c r="D401" t="s">
        <v>1237</v>
      </c>
      <c r="E401" t="s">
        <v>1229</v>
      </c>
      <c r="F401" t="s">
        <v>132</v>
      </c>
      <c r="G401" t="s">
        <v>1279</v>
      </c>
      <c r="H401" s="10">
        <v>11</v>
      </c>
      <c r="I401" s="10">
        <v>2318.96</v>
      </c>
      <c r="J401" s="10">
        <v>25508.560000000001</v>
      </c>
      <c r="K401" s="10"/>
    </row>
    <row r="402" spans="1:11">
      <c r="A402" s="19">
        <v>45071</v>
      </c>
      <c r="B402" t="s">
        <v>1252</v>
      </c>
      <c r="C402" t="s">
        <v>1244</v>
      </c>
      <c r="D402" t="s">
        <v>1243</v>
      </c>
      <c r="E402" t="s">
        <v>1242</v>
      </c>
      <c r="F402" t="s">
        <v>145</v>
      </c>
      <c r="G402" t="s">
        <v>1274</v>
      </c>
      <c r="H402" s="10">
        <v>20</v>
      </c>
      <c r="I402" s="10">
        <v>3393.01</v>
      </c>
      <c r="J402" s="10">
        <v>67860.2</v>
      </c>
      <c r="K402" s="10"/>
    </row>
    <row r="403" spans="1:11">
      <c r="A403" s="19">
        <v>45072</v>
      </c>
      <c r="B403" t="s">
        <v>1252</v>
      </c>
      <c r="C403" t="s">
        <v>1238</v>
      </c>
      <c r="D403" t="s">
        <v>1235</v>
      </c>
      <c r="E403" t="s">
        <v>1231</v>
      </c>
      <c r="F403" t="s">
        <v>132</v>
      </c>
      <c r="G403" t="s">
        <v>1277</v>
      </c>
      <c r="H403" s="10">
        <v>16</v>
      </c>
      <c r="I403" s="10">
        <v>4896.07</v>
      </c>
      <c r="J403" s="10">
        <v>78337.119999999995</v>
      </c>
      <c r="K403" s="10"/>
    </row>
    <row r="404" spans="1:11">
      <c r="A404" s="19">
        <v>45072</v>
      </c>
      <c r="B404" t="s">
        <v>1260</v>
      </c>
      <c r="C404" t="s">
        <v>1245</v>
      </c>
      <c r="D404" t="s">
        <v>1243</v>
      </c>
      <c r="E404" t="s">
        <v>1242</v>
      </c>
      <c r="F404" t="s">
        <v>132</v>
      </c>
      <c r="G404" t="s">
        <v>1271</v>
      </c>
      <c r="H404" s="10">
        <v>10</v>
      </c>
      <c r="I404" s="10">
        <v>239.55</v>
      </c>
      <c r="J404" s="10">
        <v>2395.5</v>
      </c>
      <c r="K404" s="10"/>
    </row>
    <row r="405" spans="1:11">
      <c r="A405" s="19">
        <v>45072</v>
      </c>
      <c r="B405" t="s">
        <v>1256</v>
      </c>
      <c r="C405" t="s">
        <v>1239</v>
      </c>
      <c r="D405" t="s">
        <v>1237</v>
      </c>
      <c r="E405" t="s">
        <v>1229</v>
      </c>
      <c r="F405" t="s">
        <v>1249</v>
      </c>
      <c r="G405" t="s">
        <v>1259</v>
      </c>
      <c r="H405" s="10">
        <v>20</v>
      </c>
      <c r="I405" s="10">
        <v>2441.83</v>
      </c>
      <c r="J405" s="10">
        <v>48836.6</v>
      </c>
      <c r="K405" s="10"/>
    </row>
    <row r="406" spans="1:11">
      <c r="A406" s="19">
        <v>45072</v>
      </c>
      <c r="B406" t="s">
        <v>1262</v>
      </c>
      <c r="C406" t="s">
        <v>1244</v>
      </c>
      <c r="D406" t="s">
        <v>1243</v>
      </c>
      <c r="E406" t="s">
        <v>1242</v>
      </c>
      <c r="F406" t="s">
        <v>132</v>
      </c>
      <c r="G406" t="s">
        <v>1253</v>
      </c>
      <c r="H406" s="10">
        <v>2</v>
      </c>
      <c r="I406" s="10">
        <v>4100.3999999999996</v>
      </c>
      <c r="J406" s="10">
        <v>8200.7999999999993</v>
      </c>
      <c r="K406" s="10"/>
    </row>
    <row r="407" spans="1:11">
      <c r="A407" s="19">
        <v>45072</v>
      </c>
      <c r="B407" t="s">
        <v>1263</v>
      </c>
      <c r="C407" t="s">
        <v>1236</v>
      </c>
      <c r="D407" t="s">
        <v>1235</v>
      </c>
      <c r="E407" t="s">
        <v>1231</v>
      </c>
      <c r="F407" t="s">
        <v>128</v>
      </c>
      <c r="G407" t="s">
        <v>1257</v>
      </c>
      <c r="H407" s="10">
        <v>17</v>
      </c>
      <c r="I407" s="10">
        <v>3244.79</v>
      </c>
      <c r="J407" s="10">
        <v>55161.43</v>
      </c>
      <c r="K407" s="10"/>
    </row>
    <row r="408" spans="1:11">
      <c r="A408" s="19">
        <v>45072</v>
      </c>
      <c r="B408" t="s">
        <v>1260</v>
      </c>
      <c r="C408" t="s">
        <v>1169</v>
      </c>
      <c r="D408" t="s">
        <v>1230</v>
      </c>
      <c r="E408" t="s">
        <v>1229</v>
      </c>
      <c r="F408" t="s">
        <v>145</v>
      </c>
      <c r="G408" t="s">
        <v>1274</v>
      </c>
      <c r="H408" s="10">
        <v>19</v>
      </c>
      <c r="I408" s="10">
        <v>1003.13</v>
      </c>
      <c r="J408" s="10">
        <v>19059.47</v>
      </c>
      <c r="K408" s="10"/>
    </row>
    <row r="409" spans="1:11">
      <c r="A409" s="19">
        <v>45072</v>
      </c>
      <c r="B409" t="s">
        <v>1252</v>
      </c>
      <c r="C409" t="s">
        <v>1247</v>
      </c>
      <c r="D409" t="s">
        <v>1243</v>
      </c>
      <c r="E409" t="s">
        <v>1242</v>
      </c>
      <c r="F409" t="s">
        <v>128</v>
      </c>
      <c r="G409" t="s">
        <v>1257</v>
      </c>
      <c r="H409" s="10">
        <v>4</v>
      </c>
      <c r="I409" s="10">
        <v>1178.71</v>
      </c>
      <c r="J409" s="10">
        <v>4714.84</v>
      </c>
      <c r="K409" s="10"/>
    </row>
    <row r="410" spans="1:11">
      <c r="A410" s="19">
        <v>45073</v>
      </c>
      <c r="B410" t="s">
        <v>1267</v>
      </c>
      <c r="C410" t="s">
        <v>1239</v>
      </c>
      <c r="D410" t="s">
        <v>1237</v>
      </c>
      <c r="E410" t="s">
        <v>1229</v>
      </c>
      <c r="F410" t="s">
        <v>128</v>
      </c>
      <c r="G410" t="s">
        <v>1264</v>
      </c>
      <c r="H410" s="10">
        <v>7</v>
      </c>
      <c r="I410" s="10">
        <v>1257.3399999999999</v>
      </c>
      <c r="J410" s="10">
        <v>8801.3799999999992</v>
      </c>
      <c r="K410" s="10"/>
    </row>
    <row r="411" spans="1:11">
      <c r="A411" s="19">
        <v>45075</v>
      </c>
      <c r="B411" t="s">
        <v>1267</v>
      </c>
      <c r="C411" t="s">
        <v>1238</v>
      </c>
      <c r="D411" t="s">
        <v>1235</v>
      </c>
      <c r="E411" t="s">
        <v>1231</v>
      </c>
      <c r="F411" t="s">
        <v>132</v>
      </c>
      <c r="G411" t="s">
        <v>1271</v>
      </c>
      <c r="H411" s="10">
        <v>4</v>
      </c>
      <c r="I411" s="10">
        <v>4485.82</v>
      </c>
      <c r="J411" s="10">
        <v>17943.28</v>
      </c>
      <c r="K411" s="10"/>
    </row>
    <row r="412" spans="1:11">
      <c r="A412" s="19">
        <v>45075</v>
      </c>
      <c r="B412" t="s">
        <v>1267</v>
      </c>
      <c r="C412" t="s">
        <v>1238</v>
      </c>
      <c r="D412" t="s">
        <v>1235</v>
      </c>
      <c r="E412" t="s">
        <v>1231</v>
      </c>
      <c r="F412" t="s">
        <v>128</v>
      </c>
      <c r="G412" t="s">
        <v>1257</v>
      </c>
      <c r="H412" s="10">
        <v>12</v>
      </c>
      <c r="I412" s="10">
        <v>4446.1499999999996</v>
      </c>
      <c r="J412" s="10">
        <v>53353.8</v>
      </c>
      <c r="K412" s="10"/>
    </row>
    <row r="413" spans="1:11">
      <c r="A413" s="19">
        <v>45075</v>
      </c>
      <c r="B413" t="s">
        <v>1269</v>
      </c>
      <c r="C413" t="s">
        <v>1240</v>
      </c>
      <c r="D413" t="s">
        <v>1232</v>
      </c>
      <c r="E413" t="s">
        <v>1231</v>
      </c>
      <c r="F413" t="s">
        <v>1249</v>
      </c>
      <c r="G413" t="s">
        <v>1270</v>
      </c>
      <c r="H413" s="10">
        <v>9</v>
      </c>
      <c r="I413" s="10">
        <v>3220.44</v>
      </c>
      <c r="J413" s="10">
        <v>28983.96</v>
      </c>
      <c r="K413" s="10"/>
    </row>
    <row r="414" spans="1:11">
      <c r="A414" s="19">
        <v>45075</v>
      </c>
      <c r="B414" t="s">
        <v>1260</v>
      </c>
      <c r="C414" t="s">
        <v>1173</v>
      </c>
      <c r="D414" t="s">
        <v>1237</v>
      </c>
      <c r="E414" t="s">
        <v>1229</v>
      </c>
      <c r="F414" t="s">
        <v>132</v>
      </c>
      <c r="G414" t="s">
        <v>1253</v>
      </c>
      <c r="H414" s="10">
        <v>13</v>
      </c>
      <c r="I414" s="10">
        <v>1419.3</v>
      </c>
      <c r="J414" s="10">
        <v>18450.900000000001</v>
      </c>
      <c r="K414" s="10"/>
    </row>
    <row r="415" spans="1:11">
      <c r="A415" s="19">
        <v>45076</v>
      </c>
      <c r="B415" t="s">
        <v>1262</v>
      </c>
      <c r="C415" t="s">
        <v>1173</v>
      </c>
      <c r="D415" t="s">
        <v>1237</v>
      </c>
      <c r="E415" t="s">
        <v>1229</v>
      </c>
      <c r="F415" t="s">
        <v>120</v>
      </c>
      <c r="G415" t="s">
        <v>1164</v>
      </c>
      <c r="H415" s="10">
        <v>12</v>
      </c>
      <c r="I415" s="10">
        <v>932.42</v>
      </c>
      <c r="J415" s="10">
        <v>11189.04</v>
      </c>
      <c r="K415" s="10"/>
    </row>
    <row r="416" spans="1:11">
      <c r="A416" s="19">
        <v>45076</v>
      </c>
      <c r="B416" t="s">
        <v>1260</v>
      </c>
      <c r="C416" t="s">
        <v>1244</v>
      </c>
      <c r="D416" t="s">
        <v>1243</v>
      </c>
      <c r="E416" t="s">
        <v>1242</v>
      </c>
      <c r="F416" t="s">
        <v>128</v>
      </c>
      <c r="G416" t="s">
        <v>1266</v>
      </c>
      <c r="H416" s="10">
        <v>5</v>
      </c>
      <c r="I416" s="10">
        <v>3395.71</v>
      </c>
      <c r="J416" s="10">
        <v>16978.55</v>
      </c>
      <c r="K416" s="10"/>
    </row>
    <row r="417" spans="1:11">
      <c r="A417" s="19">
        <v>45076</v>
      </c>
      <c r="B417" t="s">
        <v>1262</v>
      </c>
      <c r="C417" t="s">
        <v>1240</v>
      </c>
      <c r="D417" t="s">
        <v>1232</v>
      </c>
      <c r="E417" t="s">
        <v>1231</v>
      </c>
      <c r="F417" t="s">
        <v>1249</v>
      </c>
      <c r="G417" t="s">
        <v>1259</v>
      </c>
      <c r="H417" s="10">
        <v>10</v>
      </c>
      <c r="I417" s="10">
        <v>3771.5</v>
      </c>
      <c r="J417" s="10">
        <v>37715</v>
      </c>
      <c r="K417" s="10"/>
    </row>
    <row r="418" spans="1:11">
      <c r="A418" s="19">
        <v>45076</v>
      </c>
      <c r="B418" t="s">
        <v>1265</v>
      </c>
      <c r="C418" t="s">
        <v>1238</v>
      </c>
      <c r="D418" t="s">
        <v>1235</v>
      </c>
      <c r="E418" t="s">
        <v>1231</v>
      </c>
      <c r="F418" t="s">
        <v>120</v>
      </c>
      <c r="G418" t="s">
        <v>1164</v>
      </c>
      <c r="H418" s="10">
        <v>11</v>
      </c>
      <c r="I418" s="10">
        <v>4564.7299999999996</v>
      </c>
      <c r="J418" s="10">
        <v>50212.03</v>
      </c>
      <c r="K418" s="10"/>
    </row>
    <row r="419" spans="1:11">
      <c r="A419" s="19">
        <v>45076</v>
      </c>
      <c r="B419" t="s">
        <v>1258</v>
      </c>
      <c r="C419" t="s">
        <v>1240</v>
      </c>
      <c r="D419" t="s">
        <v>1232</v>
      </c>
      <c r="E419" t="s">
        <v>1231</v>
      </c>
      <c r="F419" t="s">
        <v>120</v>
      </c>
      <c r="G419" t="s">
        <v>1165</v>
      </c>
      <c r="H419" s="10">
        <v>20</v>
      </c>
      <c r="I419" s="10">
        <v>1316.67</v>
      </c>
      <c r="J419" s="10">
        <v>26333.4</v>
      </c>
      <c r="K419" s="10"/>
    </row>
    <row r="420" spans="1:11">
      <c r="A420" s="19">
        <v>45077</v>
      </c>
      <c r="B420" t="s">
        <v>1254</v>
      </c>
      <c r="C420" t="s">
        <v>1233</v>
      </c>
      <c r="D420" t="s">
        <v>1232</v>
      </c>
      <c r="E420" t="s">
        <v>1231</v>
      </c>
      <c r="F420" t="s">
        <v>1249</v>
      </c>
      <c r="G420" t="s">
        <v>1270</v>
      </c>
      <c r="H420" s="10">
        <v>20</v>
      </c>
      <c r="I420" s="10">
        <v>4072.4</v>
      </c>
      <c r="J420" s="10">
        <v>81448</v>
      </c>
      <c r="K420" s="10"/>
    </row>
    <row r="421" spans="1:11">
      <c r="A421" s="19">
        <v>45077</v>
      </c>
      <c r="B421" t="s">
        <v>1263</v>
      </c>
      <c r="C421" t="s">
        <v>1233</v>
      </c>
      <c r="D421" t="s">
        <v>1232</v>
      </c>
      <c r="E421" t="s">
        <v>1231</v>
      </c>
      <c r="F421" t="s">
        <v>1249</v>
      </c>
      <c r="G421" t="s">
        <v>1268</v>
      </c>
      <c r="H421" s="10">
        <v>2</v>
      </c>
      <c r="I421" s="10">
        <v>591.6</v>
      </c>
      <c r="J421" s="10">
        <v>1183.2</v>
      </c>
      <c r="K421" s="10"/>
    </row>
    <row r="422" spans="1:11">
      <c r="A422" s="19">
        <v>45077</v>
      </c>
      <c r="B422" t="s">
        <v>1252</v>
      </c>
      <c r="C422" t="s">
        <v>1171</v>
      </c>
      <c r="D422" t="s">
        <v>1237</v>
      </c>
      <c r="E422" t="s">
        <v>1229</v>
      </c>
      <c r="F422" t="s">
        <v>128</v>
      </c>
      <c r="G422" t="s">
        <v>1257</v>
      </c>
      <c r="H422" s="10">
        <v>7</v>
      </c>
      <c r="I422" s="10">
        <v>105.05</v>
      </c>
      <c r="J422" s="10">
        <v>735.35</v>
      </c>
      <c r="K422" s="10"/>
    </row>
    <row r="423" spans="1:11">
      <c r="A423" s="19">
        <v>45077</v>
      </c>
      <c r="B423" t="s">
        <v>1252</v>
      </c>
      <c r="C423" t="s">
        <v>1169</v>
      </c>
      <c r="D423" t="s">
        <v>1230</v>
      </c>
      <c r="E423" t="s">
        <v>1229</v>
      </c>
      <c r="F423" t="s">
        <v>1249</v>
      </c>
      <c r="G423" t="s">
        <v>1259</v>
      </c>
      <c r="H423" s="10">
        <v>2</v>
      </c>
      <c r="I423" s="10">
        <v>3106.64</v>
      </c>
      <c r="J423" s="10">
        <v>6213.28</v>
      </c>
      <c r="K423" s="10"/>
    </row>
    <row r="424" spans="1:11">
      <c r="A424" s="19">
        <v>45077</v>
      </c>
      <c r="B424" t="s">
        <v>1258</v>
      </c>
      <c r="C424" t="s">
        <v>1247</v>
      </c>
      <c r="D424" t="s">
        <v>1243</v>
      </c>
      <c r="E424" t="s">
        <v>1242</v>
      </c>
      <c r="F424" t="s">
        <v>128</v>
      </c>
      <c r="G424" t="s">
        <v>1257</v>
      </c>
      <c r="H424" s="10">
        <v>1</v>
      </c>
      <c r="I424" s="10">
        <v>3041.26</v>
      </c>
      <c r="J424" s="10">
        <v>3041.26</v>
      </c>
      <c r="K424" s="10"/>
    </row>
    <row r="425" spans="1:11">
      <c r="A425" s="19">
        <v>45078</v>
      </c>
      <c r="B425" t="s">
        <v>1252</v>
      </c>
      <c r="C425" t="s">
        <v>1245</v>
      </c>
      <c r="D425" t="s">
        <v>1243</v>
      </c>
      <c r="E425" t="s">
        <v>1242</v>
      </c>
      <c r="F425" t="s">
        <v>132</v>
      </c>
      <c r="G425" t="s">
        <v>1253</v>
      </c>
      <c r="H425" s="10">
        <v>13</v>
      </c>
      <c r="I425" s="10">
        <v>523.83000000000004</v>
      </c>
      <c r="J425" s="10">
        <v>6809.79</v>
      </c>
      <c r="K425" s="10"/>
    </row>
    <row r="426" spans="1:11">
      <c r="A426" s="19">
        <v>45078</v>
      </c>
      <c r="B426" t="s">
        <v>1252</v>
      </c>
      <c r="C426" t="s">
        <v>1247</v>
      </c>
      <c r="D426" t="s">
        <v>1243</v>
      </c>
      <c r="E426" t="s">
        <v>1242</v>
      </c>
      <c r="F426" t="s">
        <v>1249</v>
      </c>
      <c r="G426" t="s">
        <v>1259</v>
      </c>
      <c r="H426" s="10">
        <v>2</v>
      </c>
      <c r="I426" s="10">
        <v>3439.47</v>
      </c>
      <c r="J426" s="10">
        <v>6878.94</v>
      </c>
      <c r="K426" s="10"/>
    </row>
    <row r="427" spans="1:11">
      <c r="A427" s="19">
        <v>45079</v>
      </c>
      <c r="B427" t="s">
        <v>1258</v>
      </c>
      <c r="C427" t="s">
        <v>1173</v>
      </c>
      <c r="D427" t="s">
        <v>1237</v>
      </c>
      <c r="E427" t="s">
        <v>1229</v>
      </c>
      <c r="F427" t="s">
        <v>132</v>
      </c>
      <c r="G427" t="s">
        <v>1253</v>
      </c>
      <c r="H427" s="10">
        <v>11</v>
      </c>
      <c r="I427" s="10">
        <v>4509.49</v>
      </c>
      <c r="J427" s="10">
        <v>49604.39</v>
      </c>
      <c r="K427" s="10"/>
    </row>
    <row r="428" spans="1:11">
      <c r="A428" s="19">
        <v>45079</v>
      </c>
      <c r="B428" t="s">
        <v>1260</v>
      </c>
      <c r="C428" t="s">
        <v>1246</v>
      </c>
      <c r="D428" t="s">
        <v>1230</v>
      </c>
      <c r="E428" t="s">
        <v>1229</v>
      </c>
      <c r="F428" t="s">
        <v>145</v>
      </c>
      <c r="G428" t="s">
        <v>1274</v>
      </c>
      <c r="H428" s="10">
        <v>16</v>
      </c>
      <c r="I428" s="10">
        <v>4096.74</v>
      </c>
      <c r="J428" s="10">
        <v>65547.839999999997</v>
      </c>
      <c r="K428" s="10"/>
    </row>
    <row r="429" spans="1:11">
      <c r="A429" s="19">
        <v>45079</v>
      </c>
      <c r="B429" t="s">
        <v>1262</v>
      </c>
      <c r="C429" t="s">
        <v>1247</v>
      </c>
      <c r="D429" t="s">
        <v>1243</v>
      </c>
      <c r="E429" t="s">
        <v>1242</v>
      </c>
      <c r="F429" t="s">
        <v>120</v>
      </c>
      <c r="G429" t="s">
        <v>1276</v>
      </c>
      <c r="H429" s="10">
        <v>20</v>
      </c>
      <c r="I429" s="10">
        <v>652.87</v>
      </c>
      <c r="J429" s="10">
        <v>13057.4</v>
      </c>
      <c r="K429" s="10"/>
    </row>
    <row r="430" spans="1:11">
      <c r="A430" s="19">
        <v>45079</v>
      </c>
      <c r="B430" t="s">
        <v>1252</v>
      </c>
      <c r="C430" t="s">
        <v>1238</v>
      </c>
      <c r="D430" t="s">
        <v>1235</v>
      </c>
      <c r="E430" t="s">
        <v>1231</v>
      </c>
      <c r="F430" t="s">
        <v>145</v>
      </c>
      <c r="G430" t="s">
        <v>1274</v>
      </c>
      <c r="H430" s="10">
        <v>9</v>
      </c>
      <c r="I430" s="10">
        <v>662.41</v>
      </c>
      <c r="J430" s="10">
        <v>5961.69</v>
      </c>
      <c r="K430" s="10"/>
    </row>
    <row r="431" spans="1:11">
      <c r="A431" s="19">
        <v>45080</v>
      </c>
      <c r="B431" t="s">
        <v>1267</v>
      </c>
      <c r="C431" t="s">
        <v>1247</v>
      </c>
      <c r="D431" t="s">
        <v>1243</v>
      </c>
      <c r="E431" t="s">
        <v>1242</v>
      </c>
      <c r="F431" t="s">
        <v>145</v>
      </c>
      <c r="G431" t="s">
        <v>1261</v>
      </c>
      <c r="H431" s="10">
        <v>16</v>
      </c>
      <c r="I431" s="10">
        <v>665.83</v>
      </c>
      <c r="J431" s="10">
        <v>10653.28</v>
      </c>
      <c r="K431" s="10"/>
    </row>
    <row r="432" spans="1:11">
      <c r="A432" s="19">
        <v>45081</v>
      </c>
      <c r="B432" t="s">
        <v>1256</v>
      </c>
      <c r="C432" t="s">
        <v>1241</v>
      </c>
      <c r="D432" t="s">
        <v>1235</v>
      </c>
      <c r="E432" t="s">
        <v>1231</v>
      </c>
      <c r="F432" t="s">
        <v>132</v>
      </c>
      <c r="G432" t="s">
        <v>1277</v>
      </c>
      <c r="H432" s="10">
        <v>20</v>
      </c>
      <c r="I432" s="10">
        <v>473.23</v>
      </c>
      <c r="J432" s="10">
        <v>9464.6</v>
      </c>
      <c r="K432" s="10"/>
    </row>
    <row r="433" spans="1:11">
      <c r="A433" s="19">
        <v>45081</v>
      </c>
      <c r="B433" t="s">
        <v>1262</v>
      </c>
      <c r="C433" t="s">
        <v>1169</v>
      </c>
      <c r="D433" t="s">
        <v>1230</v>
      </c>
      <c r="E433" t="s">
        <v>1229</v>
      </c>
      <c r="F433" t="s">
        <v>132</v>
      </c>
      <c r="G433" t="s">
        <v>1277</v>
      </c>
      <c r="H433" s="10">
        <v>15</v>
      </c>
      <c r="I433" s="10">
        <v>1063.8800000000001</v>
      </c>
      <c r="J433" s="10">
        <v>15958.2</v>
      </c>
      <c r="K433" s="10"/>
    </row>
    <row r="434" spans="1:11">
      <c r="A434" s="19">
        <v>45082</v>
      </c>
      <c r="B434" t="s">
        <v>1260</v>
      </c>
      <c r="C434" t="s">
        <v>1236</v>
      </c>
      <c r="D434" t="s">
        <v>1235</v>
      </c>
      <c r="E434" t="s">
        <v>1231</v>
      </c>
      <c r="F434" t="s">
        <v>120</v>
      </c>
      <c r="G434" t="s">
        <v>1165</v>
      </c>
      <c r="H434" s="10">
        <v>5</v>
      </c>
      <c r="I434" s="10">
        <v>4773.5600000000004</v>
      </c>
      <c r="J434" s="10">
        <v>23867.8</v>
      </c>
      <c r="K434" s="10"/>
    </row>
    <row r="435" spans="1:11">
      <c r="A435" s="19">
        <v>45082</v>
      </c>
      <c r="B435" t="s">
        <v>1269</v>
      </c>
      <c r="C435" t="s">
        <v>1241</v>
      </c>
      <c r="D435" t="s">
        <v>1235</v>
      </c>
      <c r="E435" t="s">
        <v>1231</v>
      </c>
      <c r="F435" t="s">
        <v>132</v>
      </c>
      <c r="G435" t="s">
        <v>1271</v>
      </c>
      <c r="H435" s="10">
        <v>16</v>
      </c>
      <c r="I435" s="10">
        <v>2724.77</v>
      </c>
      <c r="J435" s="10">
        <v>43596.32</v>
      </c>
      <c r="K435" s="10"/>
    </row>
    <row r="436" spans="1:11">
      <c r="A436" s="19">
        <v>45083</v>
      </c>
      <c r="B436" t="s">
        <v>1256</v>
      </c>
      <c r="C436" t="s">
        <v>1236</v>
      </c>
      <c r="D436" t="s">
        <v>1235</v>
      </c>
      <c r="E436" t="s">
        <v>1231</v>
      </c>
      <c r="F436" t="s">
        <v>145</v>
      </c>
      <c r="G436" t="s">
        <v>1255</v>
      </c>
      <c r="H436" s="10">
        <v>9</v>
      </c>
      <c r="I436" s="10">
        <v>4712.9799999999996</v>
      </c>
      <c r="J436" s="10">
        <v>42416.82</v>
      </c>
      <c r="K436" s="10"/>
    </row>
    <row r="437" spans="1:11">
      <c r="A437" s="19">
        <v>45083</v>
      </c>
      <c r="B437" t="s">
        <v>1252</v>
      </c>
      <c r="C437" t="s">
        <v>1245</v>
      </c>
      <c r="D437" t="s">
        <v>1243</v>
      </c>
      <c r="E437" t="s">
        <v>1242</v>
      </c>
      <c r="F437" t="s">
        <v>145</v>
      </c>
      <c r="G437" t="s">
        <v>1261</v>
      </c>
      <c r="H437" s="10">
        <v>10</v>
      </c>
      <c r="I437" s="10">
        <v>4210.63</v>
      </c>
      <c r="J437" s="10">
        <v>42106.3</v>
      </c>
      <c r="K437" s="10"/>
    </row>
    <row r="438" spans="1:11">
      <c r="A438" s="19">
        <v>45083</v>
      </c>
      <c r="B438" t="s">
        <v>1265</v>
      </c>
      <c r="C438" t="s">
        <v>1234</v>
      </c>
      <c r="D438" t="s">
        <v>1232</v>
      </c>
      <c r="E438" t="s">
        <v>1231</v>
      </c>
      <c r="F438" t="s">
        <v>145</v>
      </c>
      <c r="G438" t="s">
        <v>1261</v>
      </c>
      <c r="H438" s="10">
        <v>15</v>
      </c>
      <c r="I438" s="10">
        <v>4599.74</v>
      </c>
      <c r="J438" s="10">
        <v>68996.100000000006</v>
      </c>
      <c r="K438" s="10"/>
    </row>
    <row r="439" spans="1:11">
      <c r="A439" s="19">
        <v>45083</v>
      </c>
      <c r="B439" t="s">
        <v>1269</v>
      </c>
      <c r="C439" t="s">
        <v>1240</v>
      </c>
      <c r="D439" t="s">
        <v>1232</v>
      </c>
      <c r="E439" t="s">
        <v>1231</v>
      </c>
      <c r="F439" t="s">
        <v>120</v>
      </c>
      <c r="G439" t="s">
        <v>1275</v>
      </c>
      <c r="H439" s="10">
        <v>12</v>
      </c>
      <c r="I439" s="10">
        <v>1701.3</v>
      </c>
      <c r="J439" s="10">
        <v>20415.599999999999</v>
      </c>
      <c r="K439" s="10"/>
    </row>
    <row r="440" spans="1:11">
      <c r="A440" s="19">
        <v>45084</v>
      </c>
      <c r="B440" t="s">
        <v>1252</v>
      </c>
      <c r="C440" t="s">
        <v>1173</v>
      </c>
      <c r="D440" t="s">
        <v>1237</v>
      </c>
      <c r="E440" t="s">
        <v>1229</v>
      </c>
      <c r="F440" t="s">
        <v>145</v>
      </c>
      <c r="G440" t="s">
        <v>1261</v>
      </c>
      <c r="H440" s="10">
        <v>16</v>
      </c>
      <c r="I440" s="10">
        <v>2192.7399999999998</v>
      </c>
      <c r="J440" s="10">
        <v>35083.839999999997</v>
      </c>
      <c r="K440" s="10"/>
    </row>
    <row r="441" spans="1:11">
      <c r="A441" s="19">
        <v>45084</v>
      </c>
      <c r="B441" t="s">
        <v>1267</v>
      </c>
      <c r="C441" t="s">
        <v>1239</v>
      </c>
      <c r="D441" t="s">
        <v>1237</v>
      </c>
      <c r="E441" t="s">
        <v>1229</v>
      </c>
      <c r="F441" t="s">
        <v>132</v>
      </c>
      <c r="G441" t="s">
        <v>1271</v>
      </c>
      <c r="H441" s="10">
        <v>4</v>
      </c>
      <c r="I441" s="10">
        <v>3564.22</v>
      </c>
      <c r="J441" s="10">
        <v>14256.88</v>
      </c>
      <c r="K441" s="10"/>
    </row>
    <row r="442" spans="1:11">
      <c r="A442" s="19">
        <v>45084</v>
      </c>
      <c r="B442" t="s">
        <v>1267</v>
      </c>
      <c r="C442" t="s">
        <v>1240</v>
      </c>
      <c r="D442" t="s">
        <v>1232</v>
      </c>
      <c r="E442" t="s">
        <v>1231</v>
      </c>
      <c r="F442" t="s">
        <v>132</v>
      </c>
      <c r="G442" t="s">
        <v>1279</v>
      </c>
      <c r="H442" s="10">
        <v>12</v>
      </c>
      <c r="I442" s="10">
        <v>2133.0500000000002</v>
      </c>
      <c r="J442" s="10">
        <v>25596.6</v>
      </c>
      <c r="K442" s="10"/>
    </row>
    <row r="443" spans="1:11">
      <c r="A443" s="19">
        <v>45084</v>
      </c>
      <c r="B443" t="s">
        <v>1265</v>
      </c>
      <c r="C443" t="s">
        <v>1233</v>
      </c>
      <c r="D443" t="s">
        <v>1232</v>
      </c>
      <c r="E443" t="s">
        <v>1231</v>
      </c>
      <c r="F443" t="s">
        <v>145</v>
      </c>
      <c r="G443" t="s">
        <v>1278</v>
      </c>
      <c r="H443" s="10">
        <v>18</v>
      </c>
      <c r="I443" s="10">
        <v>509.79</v>
      </c>
      <c r="J443" s="10">
        <v>9176.2199999999993</v>
      </c>
      <c r="K443" s="10"/>
    </row>
    <row r="444" spans="1:11">
      <c r="A444" s="19">
        <v>45085</v>
      </c>
      <c r="B444" t="s">
        <v>1254</v>
      </c>
      <c r="C444" t="s">
        <v>1239</v>
      </c>
      <c r="D444" t="s">
        <v>1237</v>
      </c>
      <c r="E444" t="s">
        <v>1229</v>
      </c>
      <c r="F444" t="s">
        <v>120</v>
      </c>
      <c r="G444" t="s">
        <v>1164</v>
      </c>
      <c r="H444" s="10">
        <v>11</v>
      </c>
      <c r="I444" s="10">
        <v>864.29</v>
      </c>
      <c r="J444" s="10">
        <v>9507.19</v>
      </c>
      <c r="K444" s="10"/>
    </row>
    <row r="445" spans="1:11">
      <c r="A445" s="19">
        <v>45085</v>
      </c>
      <c r="B445" t="s">
        <v>1262</v>
      </c>
      <c r="C445" t="s">
        <v>1233</v>
      </c>
      <c r="D445" t="s">
        <v>1232</v>
      </c>
      <c r="E445" t="s">
        <v>1231</v>
      </c>
      <c r="F445" t="s">
        <v>132</v>
      </c>
      <c r="G445" t="s">
        <v>1277</v>
      </c>
      <c r="H445" s="10">
        <v>5</v>
      </c>
      <c r="I445" s="10">
        <v>1599.65</v>
      </c>
      <c r="J445" s="10">
        <v>7998.25</v>
      </c>
      <c r="K445" s="10"/>
    </row>
    <row r="446" spans="1:11">
      <c r="A446" s="19">
        <v>45085</v>
      </c>
      <c r="B446" t="s">
        <v>1269</v>
      </c>
      <c r="C446" t="s">
        <v>1240</v>
      </c>
      <c r="D446" t="s">
        <v>1232</v>
      </c>
      <c r="E446" t="s">
        <v>1231</v>
      </c>
      <c r="F446" t="s">
        <v>128</v>
      </c>
      <c r="G446" t="s">
        <v>1264</v>
      </c>
      <c r="H446" s="10">
        <v>9</v>
      </c>
      <c r="I446" s="10">
        <v>1940.11</v>
      </c>
      <c r="J446" s="10">
        <v>17460.990000000002</v>
      </c>
      <c r="K446" s="10"/>
    </row>
    <row r="447" spans="1:11">
      <c r="A447" s="19">
        <v>45086</v>
      </c>
      <c r="B447" t="s">
        <v>1263</v>
      </c>
      <c r="C447" t="s">
        <v>1241</v>
      </c>
      <c r="D447" t="s">
        <v>1235</v>
      </c>
      <c r="E447" t="s">
        <v>1231</v>
      </c>
      <c r="F447" t="s">
        <v>128</v>
      </c>
      <c r="G447" t="s">
        <v>1257</v>
      </c>
      <c r="H447" s="10">
        <v>6</v>
      </c>
      <c r="I447" s="10">
        <v>3931.61</v>
      </c>
      <c r="J447" s="10">
        <v>23589.66</v>
      </c>
      <c r="K447" s="10"/>
    </row>
    <row r="448" spans="1:11">
      <c r="A448" s="19">
        <v>45086</v>
      </c>
      <c r="B448" t="s">
        <v>1265</v>
      </c>
      <c r="C448" t="s">
        <v>1234</v>
      </c>
      <c r="D448" t="s">
        <v>1232</v>
      </c>
      <c r="E448" t="s">
        <v>1231</v>
      </c>
      <c r="F448" t="s">
        <v>128</v>
      </c>
      <c r="G448" t="s">
        <v>1273</v>
      </c>
      <c r="H448" s="10">
        <v>16</v>
      </c>
      <c r="I448" s="10">
        <v>3046.66</v>
      </c>
      <c r="J448" s="10">
        <v>48746.559999999998</v>
      </c>
      <c r="K448" s="10"/>
    </row>
    <row r="449" spans="1:11">
      <c r="A449" s="19">
        <v>45086</v>
      </c>
      <c r="B449" t="s">
        <v>1252</v>
      </c>
      <c r="C449" t="s">
        <v>1171</v>
      </c>
      <c r="D449" t="s">
        <v>1237</v>
      </c>
      <c r="E449" t="s">
        <v>1229</v>
      </c>
      <c r="F449" t="s">
        <v>132</v>
      </c>
      <c r="G449" t="s">
        <v>1279</v>
      </c>
      <c r="H449" s="10">
        <v>11</v>
      </c>
      <c r="I449" s="10">
        <v>4242.8999999999996</v>
      </c>
      <c r="J449" s="10">
        <v>46671.9</v>
      </c>
      <c r="K449" s="10"/>
    </row>
    <row r="450" spans="1:11">
      <c r="A450" s="19">
        <v>45086</v>
      </c>
      <c r="B450" t="s">
        <v>1267</v>
      </c>
      <c r="C450" t="s">
        <v>1244</v>
      </c>
      <c r="D450" t="s">
        <v>1243</v>
      </c>
      <c r="E450" t="s">
        <v>1242</v>
      </c>
      <c r="F450" t="s">
        <v>145</v>
      </c>
      <c r="G450" t="s">
        <v>1255</v>
      </c>
      <c r="H450" s="10">
        <v>14</v>
      </c>
      <c r="I450" s="10">
        <v>630.45000000000005</v>
      </c>
      <c r="J450" s="10">
        <v>8826.2999999999993</v>
      </c>
      <c r="K450" s="10"/>
    </row>
    <row r="451" spans="1:11">
      <c r="A451" s="19">
        <v>45087</v>
      </c>
      <c r="B451" t="s">
        <v>1267</v>
      </c>
      <c r="C451" t="s">
        <v>1247</v>
      </c>
      <c r="D451" t="s">
        <v>1243</v>
      </c>
      <c r="E451" t="s">
        <v>1242</v>
      </c>
      <c r="F451" t="s">
        <v>128</v>
      </c>
      <c r="G451" t="s">
        <v>1266</v>
      </c>
      <c r="H451" s="10">
        <v>20</v>
      </c>
      <c r="I451" s="10">
        <v>2721.24</v>
      </c>
      <c r="J451" s="10">
        <v>54424.800000000003</v>
      </c>
      <c r="K451" s="10"/>
    </row>
    <row r="452" spans="1:11">
      <c r="A452" s="19">
        <v>45087</v>
      </c>
      <c r="B452" t="s">
        <v>1256</v>
      </c>
      <c r="C452" t="s">
        <v>1246</v>
      </c>
      <c r="D452" t="s">
        <v>1230</v>
      </c>
      <c r="E452" t="s">
        <v>1229</v>
      </c>
      <c r="F452" t="s">
        <v>1249</v>
      </c>
      <c r="G452" t="s">
        <v>1259</v>
      </c>
      <c r="H452" s="10">
        <v>5</v>
      </c>
      <c r="I452" s="10">
        <v>1018.53</v>
      </c>
      <c r="J452" s="10">
        <v>5092.6499999999996</v>
      </c>
      <c r="K452" s="10"/>
    </row>
    <row r="453" spans="1:11">
      <c r="A453" s="19">
        <v>45088</v>
      </c>
      <c r="B453" t="s">
        <v>1265</v>
      </c>
      <c r="C453" t="s">
        <v>1171</v>
      </c>
      <c r="D453" t="s">
        <v>1237</v>
      </c>
      <c r="E453" t="s">
        <v>1229</v>
      </c>
      <c r="F453" t="s">
        <v>145</v>
      </c>
      <c r="G453" t="s">
        <v>1274</v>
      </c>
      <c r="H453" s="10">
        <v>7</v>
      </c>
      <c r="I453" s="10">
        <v>2483.54</v>
      </c>
      <c r="J453" s="10">
        <v>17384.78</v>
      </c>
      <c r="K453" s="10"/>
    </row>
    <row r="454" spans="1:11">
      <c r="A454" s="19">
        <v>45088</v>
      </c>
      <c r="B454" t="s">
        <v>1265</v>
      </c>
      <c r="C454" t="s">
        <v>1236</v>
      </c>
      <c r="D454" t="s">
        <v>1235</v>
      </c>
      <c r="E454" t="s">
        <v>1231</v>
      </c>
      <c r="F454" t="s">
        <v>145</v>
      </c>
      <c r="G454" t="s">
        <v>1261</v>
      </c>
      <c r="H454" s="10">
        <v>17</v>
      </c>
      <c r="I454" s="10">
        <v>3975.74</v>
      </c>
      <c r="J454" s="10">
        <v>67587.58</v>
      </c>
      <c r="K454" s="10"/>
    </row>
    <row r="455" spans="1:11">
      <c r="A455" s="19">
        <v>45088</v>
      </c>
      <c r="B455" t="s">
        <v>1267</v>
      </c>
      <c r="C455" t="s">
        <v>1241</v>
      </c>
      <c r="D455" t="s">
        <v>1235</v>
      </c>
      <c r="E455" t="s">
        <v>1231</v>
      </c>
      <c r="F455" t="s">
        <v>1249</v>
      </c>
      <c r="G455" t="s">
        <v>1259</v>
      </c>
      <c r="H455" s="10">
        <v>1</v>
      </c>
      <c r="I455" s="10">
        <v>2777.22</v>
      </c>
      <c r="J455" s="10">
        <v>2777.22</v>
      </c>
      <c r="K455" s="10"/>
    </row>
    <row r="456" spans="1:11">
      <c r="A456" s="19">
        <v>45088</v>
      </c>
      <c r="B456" t="s">
        <v>1267</v>
      </c>
      <c r="C456" t="s">
        <v>1233</v>
      </c>
      <c r="D456" t="s">
        <v>1232</v>
      </c>
      <c r="E456" t="s">
        <v>1231</v>
      </c>
      <c r="F456" t="s">
        <v>1249</v>
      </c>
      <c r="G456" t="s">
        <v>1272</v>
      </c>
      <c r="H456" s="10">
        <v>19</v>
      </c>
      <c r="I456" s="10">
        <v>2183.09</v>
      </c>
      <c r="J456" s="10">
        <v>41478.71</v>
      </c>
      <c r="K456" s="10"/>
    </row>
    <row r="457" spans="1:11">
      <c r="A457" s="19">
        <v>45089</v>
      </c>
      <c r="B457" t="s">
        <v>1260</v>
      </c>
      <c r="C457" t="s">
        <v>1244</v>
      </c>
      <c r="D457" t="s">
        <v>1243</v>
      </c>
      <c r="E457" t="s">
        <v>1242</v>
      </c>
      <c r="F457" t="s">
        <v>120</v>
      </c>
      <c r="G457" t="s">
        <v>1164</v>
      </c>
      <c r="H457" s="10">
        <v>17</v>
      </c>
      <c r="I457" s="10">
        <v>1574.45</v>
      </c>
      <c r="J457" s="10">
        <v>26765.65</v>
      </c>
      <c r="K457" s="10"/>
    </row>
    <row r="458" spans="1:11">
      <c r="A458" s="19">
        <v>45089</v>
      </c>
      <c r="B458" t="s">
        <v>1262</v>
      </c>
      <c r="C458" t="s">
        <v>1244</v>
      </c>
      <c r="D458" t="s">
        <v>1243</v>
      </c>
      <c r="E458" t="s">
        <v>1242</v>
      </c>
      <c r="F458" t="s">
        <v>1249</v>
      </c>
      <c r="G458" t="s">
        <v>1270</v>
      </c>
      <c r="H458" s="10">
        <v>7</v>
      </c>
      <c r="I458" s="10">
        <v>256.57</v>
      </c>
      <c r="J458" s="10">
        <v>1795.99</v>
      </c>
      <c r="K458" s="10"/>
    </row>
    <row r="459" spans="1:11">
      <c r="A459" s="19">
        <v>45089</v>
      </c>
      <c r="B459" t="s">
        <v>1267</v>
      </c>
      <c r="C459" t="s">
        <v>1248</v>
      </c>
      <c r="D459" t="s">
        <v>1230</v>
      </c>
      <c r="E459" t="s">
        <v>1229</v>
      </c>
      <c r="F459" t="s">
        <v>120</v>
      </c>
      <c r="G459" t="s">
        <v>1165</v>
      </c>
      <c r="H459" s="10">
        <v>14</v>
      </c>
      <c r="I459" s="10">
        <v>1049.21</v>
      </c>
      <c r="J459" s="10">
        <v>14688.94</v>
      </c>
      <c r="K459" s="10"/>
    </row>
    <row r="460" spans="1:11">
      <c r="A460" s="19">
        <v>45089</v>
      </c>
      <c r="B460" t="s">
        <v>1252</v>
      </c>
      <c r="C460" t="s">
        <v>1173</v>
      </c>
      <c r="D460" t="s">
        <v>1237</v>
      </c>
      <c r="E460" t="s">
        <v>1229</v>
      </c>
      <c r="F460" t="s">
        <v>128</v>
      </c>
      <c r="G460" t="s">
        <v>1266</v>
      </c>
      <c r="H460" s="10">
        <v>13</v>
      </c>
      <c r="I460" s="10">
        <v>1836.55</v>
      </c>
      <c r="J460" s="10">
        <v>23875.15</v>
      </c>
      <c r="K460" s="10"/>
    </row>
    <row r="461" spans="1:11">
      <c r="A461" s="19">
        <v>45089</v>
      </c>
      <c r="B461" t="s">
        <v>1269</v>
      </c>
      <c r="C461" t="s">
        <v>1173</v>
      </c>
      <c r="D461" t="s">
        <v>1237</v>
      </c>
      <c r="E461" t="s">
        <v>1229</v>
      </c>
      <c r="F461" t="s">
        <v>132</v>
      </c>
      <c r="G461" t="s">
        <v>1277</v>
      </c>
      <c r="H461" s="10">
        <v>18</v>
      </c>
      <c r="I461" s="10">
        <v>134.66999999999999</v>
      </c>
      <c r="J461" s="10">
        <v>2424.06</v>
      </c>
      <c r="K461" s="10"/>
    </row>
    <row r="462" spans="1:11">
      <c r="A462" s="19">
        <v>45089</v>
      </c>
      <c r="B462" t="s">
        <v>1256</v>
      </c>
      <c r="C462" t="s">
        <v>1245</v>
      </c>
      <c r="D462" t="s">
        <v>1243</v>
      </c>
      <c r="E462" t="s">
        <v>1242</v>
      </c>
      <c r="F462" t="s">
        <v>145</v>
      </c>
      <c r="G462" t="s">
        <v>1255</v>
      </c>
      <c r="H462" s="10">
        <v>3</v>
      </c>
      <c r="I462" s="10">
        <v>215.21</v>
      </c>
      <c r="J462" s="10">
        <v>645.63</v>
      </c>
      <c r="K462" s="10"/>
    </row>
    <row r="463" spans="1:11">
      <c r="A463" s="19">
        <v>45090</v>
      </c>
      <c r="B463" t="s">
        <v>1252</v>
      </c>
      <c r="C463" t="s">
        <v>1171</v>
      </c>
      <c r="D463" t="s">
        <v>1237</v>
      </c>
      <c r="E463" t="s">
        <v>1229</v>
      </c>
      <c r="F463" t="s">
        <v>132</v>
      </c>
      <c r="G463" t="s">
        <v>1271</v>
      </c>
      <c r="H463" s="10">
        <v>17</v>
      </c>
      <c r="I463" s="10">
        <v>2910.12</v>
      </c>
      <c r="J463" s="10">
        <v>49472.04</v>
      </c>
      <c r="K463" s="10"/>
    </row>
    <row r="464" spans="1:11">
      <c r="A464" s="19">
        <v>45090</v>
      </c>
      <c r="B464" t="s">
        <v>1254</v>
      </c>
      <c r="C464" t="s">
        <v>1236</v>
      </c>
      <c r="D464" t="s">
        <v>1235</v>
      </c>
      <c r="E464" t="s">
        <v>1231</v>
      </c>
      <c r="F464" t="s">
        <v>128</v>
      </c>
      <c r="G464" t="s">
        <v>1266</v>
      </c>
      <c r="H464" s="10">
        <v>7</v>
      </c>
      <c r="I464" s="10">
        <v>4950.24</v>
      </c>
      <c r="J464" s="10">
        <v>34651.68</v>
      </c>
      <c r="K464" s="10"/>
    </row>
    <row r="465" spans="1:11">
      <c r="A465" s="19">
        <v>45090</v>
      </c>
      <c r="B465" t="s">
        <v>1263</v>
      </c>
      <c r="C465" t="s">
        <v>1246</v>
      </c>
      <c r="D465" t="s">
        <v>1230</v>
      </c>
      <c r="E465" t="s">
        <v>1229</v>
      </c>
      <c r="F465" t="s">
        <v>120</v>
      </c>
      <c r="G465" t="s">
        <v>1165</v>
      </c>
      <c r="H465" s="10">
        <v>3</v>
      </c>
      <c r="I465" s="10">
        <v>1453.68</v>
      </c>
      <c r="J465" s="10">
        <v>4361.04</v>
      </c>
      <c r="K465" s="10"/>
    </row>
    <row r="466" spans="1:11">
      <c r="A466" s="19">
        <v>45090</v>
      </c>
      <c r="B466" t="s">
        <v>1269</v>
      </c>
      <c r="C466" t="s">
        <v>1244</v>
      </c>
      <c r="D466" t="s">
        <v>1243</v>
      </c>
      <c r="E466" t="s">
        <v>1242</v>
      </c>
      <c r="F466" t="s">
        <v>120</v>
      </c>
      <c r="G466" t="s">
        <v>1165</v>
      </c>
      <c r="H466" s="10">
        <v>15</v>
      </c>
      <c r="I466" s="10">
        <v>4554.78</v>
      </c>
      <c r="J466" s="10">
        <v>68321.7</v>
      </c>
      <c r="K466" s="10"/>
    </row>
    <row r="467" spans="1:11">
      <c r="A467" s="19">
        <v>45091</v>
      </c>
      <c r="B467" t="s">
        <v>1269</v>
      </c>
      <c r="C467" t="s">
        <v>1244</v>
      </c>
      <c r="D467" t="s">
        <v>1243</v>
      </c>
      <c r="E467" t="s">
        <v>1242</v>
      </c>
      <c r="F467" t="s">
        <v>120</v>
      </c>
      <c r="G467" t="s">
        <v>1275</v>
      </c>
      <c r="H467" s="10">
        <v>19</v>
      </c>
      <c r="I467" s="10">
        <v>1067.94</v>
      </c>
      <c r="J467" s="10">
        <v>20290.86</v>
      </c>
      <c r="K467" s="10"/>
    </row>
    <row r="468" spans="1:11">
      <c r="A468" s="19">
        <v>45091</v>
      </c>
      <c r="B468" t="s">
        <v>1269</v>
      </c>
      <c r="C468" t="s">
        <v>1241</v>
      </c>
      <c r="D468" t="s">
        <v>1235</v>
      </c>
      <c r="E468" t="s">
        <v>1231</v>
      </c>
      <c r="F468" t="s">
        <v>145</v>
      </c>
      <c r="G468" t="s">
        <v>1274</v>
      </c>
      <c r="H468" s="10">
        <v>13</v>
      </c>
      <c r="I468" s="10">
        <v>4621.13</v>
      </c>
      <c r="J468" s="10">
        <v>60074.69</v>
      </c>
      <c r="K468" s="10"/>
    </row>
    <row r="469" spans="1:11">
      <c r="A469" s="19">
        <v>45091</v>
      </c>
      <c r="B469" t="s">
        <v>1254</v>
      </c>
      <c r="C469" t="s">
        <v>1248</v>
      </c>
      <c r="D469" t="s">
        <v>1230</v>
      </c>
      <c r="E469" t="s">
        <v>1229</v>
      </c>
      <c r="F469" t="s">
        <v>120</v>
      </c>
      <c r="G469" t="s">
        <v>1165</v>
      </c>
      <c r="H469" s="10">
        <v>15</v>
      </c>
      <c r="I469" s="10">
        <v>4180.6099999999997</v>
      </c>
      <c r="J469" s="10">
        <v>62709.15</v>
      </c>
      <c r="K469" s="10"/>
    </row>
    <row r="470" spans="1:11">
      <c r="A470" s="19">
        <v>45091</v>
      </c>
      <c r="B470" t="s">
        <v>1258</v>
      </c>
      <c r="C470" t="s">
        <v>1234</v>
      </c>
      <c r="D470" t="s">
        <v>1232</v>
      </c>
      <c r="E470" t="s">
        <v>1231</v>
      </c>
      <c r="F470" t="s">
        <v>1249</v>
      </c>
      <c r="G470" t="s">
        <v>1259</v>
      </c>
      <c r="H470" s="10">
        <v>6</v>
      </c>
      <c r="I470" s="10">
        <v>578.64</v>
      </c>
      <c r="J470" s="10">
        <v>3471.84</v>
      </c>
      <c r="K470" s="10"/>
    </row>
    <row r="471" spans="1:11">
      <c r="A471" s="19">
        <v>45091</v>
      </c>
      <c r="B471" t="s">
        <v>1252</v>
      </c>
      <c r="C471" t="s">
        <v>1236</v>
      </c>
      <c r="D471" t="s">
        <v>1235</v>
      </c>
      <c r="E471" t="s">
        <v>1231</v>
      </c>
      <c r="F471" t="s">
        <v>128</v>
      </c>
      <c r="G471" t="s">
        <v>1266</v>
      </c>
      <c r="H471" s="10">
        <v>8</v>
      </c>
      <c r="I471" s="10">
        <v>565.82000000000005</v>
      </c>
      <c r="J471" s="10">
        <v>4526.5600000000004</v>
      </c>
      <c r="K471" s="10"/>
    </row>
    <row r="472" spans="1:11">
      <c r="A472" s="19">
        <v>45092</v>
      </c>
      <c r="B472" t="s">
        <v>1263</v>
      </c>
      <c r="C472" t="s">
        <v>1233</v>
      </c>
      <c r="D472" t="s">
        <v>1232</v>
      </c>
      <c r="E472" t="s">
        <v>1231</v>
      </c>
      <c r="F472" t="s">
        <v>145</v>
      </c>
      <c r="G472" t="s">
        <v>1255</v>
      </c>
      <c r="H472" s="10">
        <v>4</v>
      </c>
      <c r="I472" s="10">
        <v>4795.3999999999996</v>
      </c>
      <c r="J472" s="10">
        <v>19181.599999999999</v>
      </c>
      <c r="K472" s="10"/>
    </row>
    <row r="473" spans="1:11">
      <c r="A473" s="19">
        <v>45092</v>
      </c>
      <c r="B473" t="s">
        <v>1260</v>
      </c>
      <c r="C473" t="s">
        <v>1241</v>
      </c>
      <c r="D473" t="s">
        <v>1235</v>
      </c>
      <c r="E473" t="s">
        <v>1231</v>
      </c>
      <c r="F473" t="s">
        <v>120</v>
      </c>
      <c r="G473" t="s">
        <v>1164</v>
      </c>
      <c r="H473" s="10">
        <v>7</v>
      </c>
      <c r="I473" s="10">
        <v>2538.4299999999998</v>
      </c>
      <c r="J473" s="10">
        <v>17769.009999999998</v>
      </c>
      <c r="K473" s="10"/>
    </row>
    <row r="474" spans="1:11">
      <c r="A474" s="19">
        <v>45093</v>
      </c>
      <c r="B474" t="s">
        <v>1256</v>
      </c>
      <c r="C474" t="s">
        <v>1173</v>
      </c>
      <c r="D474" t="s">
        <v>1237</v>
      </c>
      <c r="E474" t="s">
        <v>1229</v>
      </c>
      <c r="F474" t="s">
        <v>132</v>
      </c>
      <c r="G474" t="s">
        <v>1271</v>
      </c>
      <c r="H474" s="10">
        <v>4</v>
      </c>
      <c r="I474" s="10">
        <v>578.35</v>
      </c>
      <c r="J474" s="10">
        <v>2313.4</v>
      </c>
      <c r="K474" s="10"/>
    </row>
    <row r="475" spans="1:11">
      <c r="A475" s="19">
        <v>45093</v>
      </c>
      <c r="B475" t="s">
        <v>1269</v>
      </c>
      <c r="C475" t="s">
        <v>1240</v>
      </c>
      <c r="D475" t="s">
        <v>1232</v>
      </c>
      <c r="E475" t="s">
        <v>1231</v>
      </c>
      <c r="F475" t="s">
        <v>132</v>
      </c>
      <c r="G475" t="s">
        <v>1279</v>
      </c>
      <c r="H475" s="10">
        <v>11</v>
      </c>
      <c r="I475" s="10">
        <v>819.85</v>
      </c>
      <c r="J475" s="10">
        <v>9018.35</v>
      </c>
      <c r="K475" s="10"/>
    </row>
    <row r="476" spans="1:11">
      <c r="A476" s="19">
        <v>45094</v>
      </c>
      <c r="B476" t="s">
        <v>1262</v>
      </c>
      <c r="C476" t="s">
        <v>1241</v>
      </c>
      <c r="D476" t="s">
        <v>1235</v>
      </c>
      <c r="E476" t="s">
        <v>1231</v>
      </c>
      <c r="F476" t="s">
        <v>120</v>
      </c>
      <c r="G476" t="s">
        <v>1275</v>
      </c>
      <c r="H476" s="10">
        <v>19</v>
      </c>
      <c r="I476" s="10">
        <v>2750.97</v>
      </c>
      <c r="J476" s="10">
        <v>52268.43</v>
      </c>
      <c r="K476" s="10"/>
    </row>
    <row r="477" spans="1:11">
      <c r="A477" s="19">
        <v>45094</v>
      </c>
      <c r="B477" t="s">
        <v>1267</v>
      </c>
      <c r="C477" t="s">
        <v>1239</v>
      </c>
      <c r="D477" t="s">
        <v>1237</v>
      </c>
      <c r="E477" t="s">
        <v>1229</v>
      </c>
      <c r="F477" t="s">
        <v>128</v>
      </c>
      <c r="G477" t="s">
        <v>1264</v>
      </c>
      <c r="H477" s="10">
        <v>18</v>
      </c>
      <c r="I477" s="10">
        <v>4718.22</v>
      </c>
      <c r="J477" s="10">
        <v>84927.96</v>
      </c>
      <c r="K477" s="10"/>
    </row>
    <row r="478" spans="1:11">
      <c r="A478" s="19">
        <v>45095</v>
      </c>
      <c r="B478" t="s">
        <v>1260</v>
      </c>
      <c r="C478" t="s">
        <v>1247</v>
      </c>
      <c r="D478" t="s">
        <v>1243</v>
      </c>
      <c r="E478" t="s">
        <v>1242</v>
      </c>
      <c r="F478" t="s">
        <v>1249</v>
      </c>
      <c r="G478" t="s">
        <v>1268</v>
      </c>
      <c r="H478" s="10">
        <v>9</v>
      </c>
      <c r="I478" s="10">
        <v>2819.87</v>
      </c>
      <c r="J478" s="10">
        <v>25378.83</v>
      </c>
      <c r="K478" s="10"/>
    </row>
    <row r="479" spans="1:11">
      <c r="A479" s="19">
        <v>45095</v>
      </c>
      <c r="B479" t="s">
        <v>1252</v>
      </c>
      <c r="C479" t="s">
        <v>1239</v>
      </c>
      <c r="D479" t="s">
        <v>1237</v>
      </c>
      <c r="E479" t="s">
        <v>1229</v>
      </c>
      <c r="F479" t="s">
        <v>145</v>
      </c>
      <c r="G479" t="s">
        <v>1261</v>
      </c>
      <c r="H479" s="10">
        <v>17</v>
      </c>
      <c r="I479" s="10">
        <v>679.78</v>
      </c>
      <c r="J479" s="10">
        <v>11556.26</v>
      </c>
      <c r="K479" s="10"/>
    </row>
    <row r="480" spans="1:11">
      <c r="A480" s="19">
        <v>45095</v>
      </c>
      <c r="B480" t="s">
        <v>1267</v>
      </c>
      <c r="C480" t="s">
        <v>1169</v>
      </c>
      <c r="D480" t="s">
        <v>1230</v>
      </c>
      <c r="E480" t="s">
        <v>1229</v>
      </c>
      <c r="F480" t="s">
        <v>120</v>
      </c>
      <c r="G480" t="s">
        <v>1275</v>
      </c>
      <c r="H480" s="10">
        <v>8</v>
      </c>
      <c r="I480" s="10">
        <v>3971.12</v>
      </c>
      <c r="J480" s="10">
        <v>31768.959999999999</v>
      </c>
      <c r="K480" s="10"/>
    </row>
    <row r="481" spans="1:11">
      <c r="A481" s="19">
        <v>45095</v>
      </c>
      <c r="B481" t="s">
        <v>1262</v>
      </c>
      <c r="C481" t="s">
        <v>1236</v>
      </c>
      <c r="D481" t="s">
        <v>1235</v>
      </c>
      <c r="E481" t="s">
        <v>1231</v>
      </c>
      <c r="F481" t="s">
        <v>145</v>
      </c>
      <c r="G481" t="s">
        <v>1274</v>
      </c>
      <c r="H481" s="10">
        <v>18</v>
      </c>
      <c r="I481" s="10">
        <v>2535.8200000000002</v>
      </c>
      <c r="J481" s="10">
        <v>45644.76</v>
      </c>
      <c r="K481" s="10"/>
    </row>
    <row r="482" spans="1:11">
      <c r="A482" s="19">
        <v>45096</v>
      </c>
      <c r="B482" t="s">
        <v>1269</v>
      </c>
      <c r="C482" t="s">
        <v>1241</v>
      </c>
      <c r="D482" t="s">
        <v>1235</v>
      </c>
      <c r="E482" t="s">
        <v>1231</v>
      </c>
      <c r="F482" t="s">
        <v>1249</v>
      </c>
      <c r="G482" t="s">
        <v>1272</v>
      </c>
      <c r="H482" s="10">
        <v>9</v>
      </c>
      <c r="I482" s="10">
        <v>1765.86</v>
      </c>
      <c r="J482" s="10">
        <v>15892.74</v>
      </c>
      <c r="K482" s="10"/>
    </row>
    <row r="483" spans="1:11">
      <c r="A483" s="19">
        <v>45097</v>
      </c>
      <c r="B483" t="s">
        <v>1256</v>
      </c>
      <c r="C483" t="s">
        <v>1248</v>
      </c>
      <c r="D483" t="s">
        <v>1230</v>
      </c>
      <c r="E483" t="s">
        <v>1229</v>
      </c>
      <c r="F483" t="s">
        <v>145</v>
      </c>
      <c r="G483" t="s">
        <v>1261</v>
      </c>
      <c r="H483" s="10">
        <v>17</v>
      </c>
      <c r="I483" s="10">
        <v>1037.05</v>
      </c>
      <c r="J483" s="10">
        <v>17629.849999999999</v>
      </c>
      <c r="K483" s="10"/>
    </row>
    <row r="484" spans="1:11">
      <c r="A484" s="19">
        <v>45097</v>
      </c>
      <c r="B484" t="s">
        <v>1252</v>
      </c>
      <c r="C484" t="s">
        <v>1173</v>
      </c>
      <c r="D484" t="s">
        <v>1237</v>
      </c>
      <c r="E484" t="s">
        <v>1229</v>
      </c>
      <c r="F484" t="s">
        <v>120</v>
      </c>
      <c r="G484" t="s">
        <v>1275</v>
      </c>
      <c r="H484" s="10">
        <v>7</v>
      </c>
      <c r="I484" s="10">
        <v>698.8</v>
      </c>
      <c r="J484" s="10">
        <v>4891.6000000000004</v>
      </c>
      <c r="K484" s="10"/>
    </row>
    <row r="485" spans="1:11">
      <c r="A485" s="19">
        <v>45098</v>
      </c>
      <c r="B485" t="s">
        <v>1260</v>
      </c>
      <c r="C485" t="s">
        <v>1245</v>
      </c>
      <c r="D485" t="s">
        <v>1243</v>
      </c>
      <c r="E485" t="s">
        <v>1242</v>
      </c>
      <c r="F485" t="s">
        <v>1249</v>
      </c>
      <c r="G485" t="s">
        <v>1272</v>
      </c>
      <c r="H485" s="10">
        <v>1</v>
      </c>
      <c r="I485" s="10">
        <v>4801.38</v>
      </c>
      <c r="J485" s="10">
        <v>4801.38</v>
      </c>
      <c r="K485" s="10"/>
    </row>
    <row r="486" spans="1:11">
      <c r="A486" s="19">
        <v>45098</v>
      </c>
      <c r="B486" t="s">
        <v>1260</v>
      </c>
      <c r="C486" t="s">
        <v>1236</v>
      </c>
      <c r="D486" t="s">
        <v>1235</v>
      </c>
      <c r="E486" t="s">
        <v>1231</v>
      </c>
      <c r="F486" t="s">
        <v>132</v>
      </c>
      <c r="G486" t="s">
        <v>1279</v>
      </c>
      <c r="H486" s="10">
        <v>20</v>
      </c>
      <c r="I486" s="10">
        <v>459.48</v>
      </c>
      <c r="J486" s="10">
        <v>9189.6</v>
      </c>
      <c r="K486" s="10"/>
    </row>
    <row r="487" spans="1:11">
      <c r="A487" s="19">
        <v>45098</v>
      </c>
      <c r="B487" t="s">
        <v>1262</v>
      </c>
      <c r="C487" t="s">
        <v>1246</v>
      </c>
      <c r="D487" t="s">
        <v>1230</v>
      </c>
      <c r="E487" t="s">
        <v>1229</v>
      </c>
      <c r="F487" t="s">
        <v>128</v>
      </c>
      <c r="G487" t="s">
        <v>1257</v>
      </c>
      <c r="H487" s="10">
        <v>8</v>
      </c>
      <c r="I487" s="10">
        <v>4658.57</v>
      </c>
      <c r="J487" s="10">
        <v>37268.559999999998</v>
      </c>
      <c r="K487" s="10"/>
    </row>
    <row r="488" spans="1:11">
      <c r="A488" s="19">
        <v>45098</v>
      </c>
      <c r="B488" t="s">
        <v>1260</v>
      </c>
      <c r="C488" t="s">
        <v>1234</v>
      </c>
      <c r="D488" t="s">
        <v>1232</v>
      </c>
      <c r="E488" t="s">
        <v>1231</v>
      </c>
      <c r="F488" t="s">
        <v>128</v>
      </c>
      <c r="G488" t="s">
        <v>1273</v>
      </c>
      <c r="H488" s="10">
        <v>7</v>
      </c>
      <c r="I488" s="10">
        <v>3911.96</v>
      </c>
      <c r="J488" s="10">
        <v>27383.72</v>
      </c>
      <c r="K488" s="10"/>
    </row>
    <row r="489" spans="1:11">
      <c r="A489" s="19">
        <v>45098</v>
      </c>
      <c r="B489" t="s">
        <v>1254</v>
      </c>
      <c r="C489" t="s">
        <v>1248</v>
      </c>
      <c r="D489" t="s">
        <v>1230</v>
      </c>
      <c r="E489" t="s">
        <v>1229</v>
      </c>
      <c r="F489" t="s">
        <v>120</v>
      </c>
      <c r="G489" t="s">
        <v>1164</v>
      </c>
      <c r="H489" s="10">
        <v>16</v>
      </c>
      <c r="I489" s="10">
        <v>1426.64</v>
      </c>
      <c r="J489" s="10">
        <v>22826.240000000002</v>
      </c>
      <c r="K489" s="10"/>
    </row>
    <row r="490" spans="1:11">
      <c r="A490" s="19">
        <v>45099</v>
      </c>
      <c r="B490" t="s">
        <v>1254</v>
      </c>
      <c r="C490" t="s">
        <v>1246</v>
      </c>
      <c r="D490" t="s">
        <v>1230</v>
      </c>
      <c r="E490" t="s">
        <v>1229</v>
      </c>
      <c r="F490" t="s">
        <v>128</v>
      </c>
      <c r="G490" t="s">
        <v>1257</v>
      </c>
      <c r="H490" s="10">
        <v>19</v>
      </c>
      <c r="I490" s="10">
        <v>3648.27</v>
      </c>
      <c r="J490" s="10">
        <v>69317.13</v>
      </c>
      <c r="K490" s="10"/>
    </row>
    <row r="491" spans="1:11">
      <c r="A491" s="19">
        <v>45100</v>
      </c>
      <c r="B491" t="s">
        <v>1256</v>
      </c>
      <c r="C491" t="s">
        <v>1245</v>
      </c>
      <c r="D491" t="s">
        <v>1243</v>
      </c>
      <c r="E491" t="s">
        <v>1242</v>
      </c>
      <c r="F491" t="s">
        <v>128</v>
      </c>
      <c r="G491" t="s">
        <v>1266</v>
      </c>
      <c r="H491" s="10">
        <v>1</v>
      </c>
      <c r="I491" s="10">
        <v>2709.05</v>
      </c>
      <c r="J491" s="10">
        <v>2709.05</v>
      </c>
      <c r="K491" s="10"/>
    </row>
    <row r="492" spans="1:11">
      <c r="A492" s="19">
        <v>45100</v>
      </c>
      <c r="B492" t="s">
        <v>1254</v>
      </c>
      <c r="C492" t="s">
        <v>1245</v>
      </c>
      <c r="D492" t="s">
        <v>1243</v>
      </c>
      <c r="E492" t="s">
        <v>1242</v>
      </c>
      <c r="F492" t="s">
        <v>132</v>
      </c>
      <c r="G492" t="s">
        <v>1277</v>
      </c>
      <c r="H492" s="10">
        <v>2</v>
      </c>
      <c r="I492" s="10">
        <v>3325.99</v>
      </c>
      <c r="J492" s="10">
        <v>6651.98</v>
      </c>
      <c r="K492" s="10"/>
    </row>
    <row r="493" spans="1:11">
      <c r="A493" s="19">
        <v>45101</v>
      </c>
      <c r="B493" t="s">
        <v>1262</v>
      </c>
      <c r="C493" t="s">
        <v>1233</v>
      </c>
      <c r="D493" t="s">
        <v>1232</v>
      </c>
      <c r="E493" t="s">
        <v>1231</v>
      </c>
      <c r="F493" t="s">
        <v>1249</v>
      </c>
      <c r="G493" t="s">
        <v>1270</v>
      </c>
      <c r="H493" s="10">
        <v>15</v>
      </c>
      <c r="I493" s="10">
        <v>3368.77</v>
      </c>
      <c r="J493" s="10">
        <v>50531.55</v>
      </c>
      <c r="K493" s="10"/>
    </row>
    <row r="494" spans="1:11">
      <c r="A494" s="19">
        <v>45102</v>
      </c>
      <c r="B494" t="s">
        <v>1252</v>
      </c>
      <c r="C494" t="s">
        <v>1239</v>
      </c>
      <c r="D494" t="s">
        <v>1237</v>
      </c>
      <c r="E494" t="s">
        <v>1229</v>
      </c>
      <c r="F494" t="s">
        <v>132</v>
      </c>
      <c r="G494" t="s">
        <v>1253</v>
      </c>
      <c r="H494" s="10">
        <v>6</v>
      </c>
      <c r="I494" s="10">
        <v>4016.25</v>
      </c>
      <c r="J494" s="10">
        <v>24097.5</v>
      </c>
      <c r="K494" s="10"/>
    </row>
    <row r="495" spans="1:11">
      <c r="A495" s="19">
        <v>45102</v>
      </c>
      <c r="B495" t="s">
        <v>1260</v>
      </c>
      <c r="C495" t="s">
        <v>1248</v>
      </c>
      <c r="D495" t="s">
        <v>1230</v>
      </c>
      <c r="E495" t="s">
        <v>1229</v>
      </c>
      <c r="F495" t="s">
        <v>145</v>
      </c>
      <c r="G495" t="s">
        <v>1261</v>
      </c>
      <c r="H495" s="10">
        <v>12</v>
      </c>
      <c r="I495" s="10">
        <v>1554.75</v>
      </c>
      <c r="J495" s="10">
        <v>18657</v>
      </c>
      <c r="K495" s="10"/>
    </row>
    <row r="496" spans="1:11">
      <c r="A496" s="19">
        <v>45103</v>
      </c>
      <c r="B496" t="s">
        <v>1265</v>
      </c>
      <c r="C496" t="s">
        <v>1173</v>
      </c>
      <c r="D496" t="s">
        <v>1237</v>
      </c>
      <c r="E496" t="s">
        <v>1229</v>
      </c>
      <c r="F496" t="s">
        <v>145</v>
      </c>
      <c r="G496" t="s">
        <v>1261</v>
      </c>
      <c r="H496" s="10">
        <v>14</v>
      </c>
      <c r="I496" s="10">
        <v>2883.11</v>
      </c>
      <c r="J496" s="10">
        <v>40363.54</v>
      </c>
      <c r="K496" s="10"/>
    </row>
    <row r="497" spans="1:11">
      <c r="A497" s="19">
        <v>45103</v>
      </c>
      <c r="B497" t="s">
        <v>1267</v>
      </c>
      <c r="C497" t="s">
        <v>1244</v>
      </c>
      <c r="D497" t="s">
        <v>1243</v>
      </c>
      <c r="E497" t="s">
        <v>1242</v>
      </c>
      <c r="F497" t="s">
        <v>1249</v>
      </c>
      <c r="G497" t="s">
        <v>1272</v>
      </c>
      <c r="H497" s="10">
        <v>14</v>
      </c>
      <c r="I497" s="10">
        <v>3829.68</v>
      </c>
      <c r="J497" s="10">
        <v>53615.519999999997</v>
      </c>
      <c r="K497" s="10"/>
    </row>
    <row r="498" spans="1:11">
      <c r="A498" s="19">
        <v>45103</v>
      </c>
      <c r="B498" t="s">
        <v>1263</v>
      </c>
      <c r="C498" t="s">
        <v>1238</v>
      </c>
      <c r="D498" t="s">
        <v>1235</v>
      </c>
      <c r="E498" t="s">
        <v>1231</v>
      </c>
      <c r="F498" t="s">
        <v>145</v>
      </c>
      <c r="G498" t="s">
        <v>1278</v>
      </c>
      <c r="H498" s="10">
        <v>13</v>
      </c>
      <c r="I498" s="10">
        <v>3616.99</v>
      </c>
      <c r="J498" s="10">
        <v>47020.87</v>
      </c>
      <c r="K498" s="10"/>
    </row>
    <row r="499" spans="1:11">
      <c r="A499" s="19">
        <v>45104</v>
      </c>
      <c r="B499" t="s">
        <v>1254</v>
      </c>
      <c r="C499" t="s">
        <v>1171</v>
      </c>
      <c r="D499" t="s">
        <v>1237</v>
      </c>
      <c r="E499" t="s">
        <v>1229</v>
      </c>
      <c r="F499" t="s">
        <v>1249</v>
      </c>
      <c r="G499" t="s">
        <v>1272</v>
      </c>
      <c r="H499" s="10">
        <v>1</v>
      </c>
      <c r="I499" s="10">
        <v>1544.87</v>
      </c>
      <c r="J499" s="10">
        <v>1544.87</v>
      </c>
      <c r="K499" s="10"/>
    </row>
    <row r="500" spans="1:11">
      <c r="A500" s="19">
        <v>45104</v>
      </c>
      <c r="B500" t="s">
        <v>1256</v>
      </c>
      <c r="C500" t="s">
        <v>1245</v>
      </c>
      <c r="D500" t="s">
        <v>1243</v>
      </c>
      <c r="E500" t="s">
        <v>1242</v>
      </c>
      <c r="F500" t="s">
        <v>1249</v>
      </c>
      <c r="G500" t="s">
        <v>1268</v>
      </c>
      <c r="H500" s="10">
        <v>11</v>
      </c>
      <c r="I500" s="10">
        <v>4896.83</v>
      </c>
      <c r="J500" s="10">
        <v>53865.13</v>
      </c>
      <c r="K500" s="10"/>
    </row>
    <row r="501" spans="1:11">
      <c r="A501" s="19">
        <v>45105</v>
      </c>
      <c r="B501" t="s">
        <v>1265</v>
      </c>
      <c r="C501" t="s">
        <v>1234</v>
      </c>
      <c r="D501" t="s">
        <v>1232</v>
      </c>
      <c r="E501" t="s">
        <v>1231</v>
      </c>
      <c r="F501" t="s">
        <v>132</v>
      </c>
      <c r="G501" t="s">
        <v>1277</v>
      </c>
      <c r="H501" s="10">
        <v>2</v>
      </c>
      <c r="I501" s="10">
        <v>3719.83</v>
      </c>
      <c r="J501" s="10">
        <v>7439.66</v>
      </c>
      <c r="K501" s="10"/>
    </row>
    <row r="502" spans="1:11">
      <c r="A502" s="19">
        <v>45105</v>
      </c>
      <c r="B502" t="s">
        <v>1269</v>
      </c>
      <c r="C502" t="s">
        <v>1234</v>
      </c>
      <c r="D502" t="s">
        <v>1232</v>
      </c>
      <c r="E502" t="s">
        <v>1231</v>
      </c>
      <c r="F502" t="s">
        <v>132</v>
      </c>
      <c r="G502" t="s">
        <v>1253</v>
      </c>
      <c r="H502" s="10">
        <v>3</v>
      </c>
      <c r="I502" s="10">
        <v>3276.84</v>
      </c>
      <c r="J502" s="10">
        <v>9830.52</v>
      </c>
      <c r="K502" s="10"/>
    </row>
    <row r="503" spans="1:11">
      <c r="A503" s="19">
        <v>45105</v>
      </c>
      <c r="B503" t="s">
        <v>1263</v>
      </c>
      <c r="C503" t="s">
        <v>1244</v>
      </c>
      <c r="D503" t="s">
        <v>1243</v>
      </c>
      <c r="E503" t="s">
        <v>1242</v>
      </c>
      <c r="F503" t="s">
        <v>145</v>
      </c>
      <c r="G503" t="s">
        <v>1274</v>
      </c>
      <c r="H503" s="10">
        <v>13</v>
      </c>
      <c r="I503" s="10">
        <v>1367.15</v>
      </c>
      <c r="J503" s="10">
        <v>17772.95</v>
      </c>
      <c r="K503" s="10"/>
    </row>
    <row r="504" spans="1:11">
      <c r="A504" s="19">
        <v>45105</v>
      </c>
      <c r="B504" t="s">
        <v>1258</v>
      </c>
      <c r="C504" t="s">
        <v>1238</v>
      </c>
      <c r="D504" t="s">
        <v>1235</v>
      </c>
      <c r="E504" t="s">
        <v>1231</v>
      </c>
      <c r="F504" t="s">
        <v>145</v>
      </c>
      <c r="G504" t="s">
        <v>1274</v>
      </c>
      <c r="H504" s="10">
        <v>11</v>
      </c>
      <c r="I504" s="10">
        <v>4653.38</v>
      </c>
      <c r="J504" s="10">
        <v>51187.18</v>
      </c>
      <c r="K504" s="10"/>
    </row>
    <row r="505" spans="1:11">
      <c r="A505" s="19">
        <v>45105</v>
      </c>
      <c r="B505" t="s">
        <v>1263</v>
      </c>
      <c r="C505" t="s">
        <v>1173</v>
      </c>
      <c r="D505" t="s">
        <v>1237</v>
      </c>
      <c r="E505" t="s">
        <v>1229</v>
      </c>
      <c r="F505" t="s">
        <v>132</v>
      </c>
      <c r="G505" t="s">
        <v>1279</v>
      </c>
      <c r="H505" s="10">
        <v>4</v>
      </c>
      <c r="I505" s="10">
        <v>1077.23</v>
      </c>
      <c r="J505" s="10">
        <v>4308.92</v>
      </c>
      <c r="K505" s="10"/>
    </row>
    <row r="506" spans="1:11">
      <c r="A506" s="19">
        <v>45106</v>
      </c>
      <c r="B506" t="s">
        <v>1262</v>
      </c>
      <c r="C506" t="s">
        <v>1239</v>
      </c>
      <c r="D506" t="s">
        <v>1237</v>
      </c>
      <c r="E506" t="s">
        <v>1229</v>
      </c>
      <c r="F506" t="s">
        <v>128</v>
      </c>
      <c r="G506" t="s">
        <v>1264</v>
      </c>
      <c r="H506" s="10">
        <v>5</v>
      </c>
      <c r="I506" s="10">
        <v>4175.13</v>
      </c>
      <c r="J506" s="10">
        <v>20875.650000000001</v>
      </c>
      <c r="K506" s="10"/>
    </row>
    <row r="507" spans="1:11">
      <c r="A507" s="19">
        <v>45106</v>
      </c>
      <c r="B507" t="s">
        <v>1263</v>
      </c>
      <c r="C507" t="s">
        <v>1246</v>
      </c>
      <c r="D507" t="s">
        <v>1230</v>
      </c>
      <c r="E507" t="s">
        <v>1229</v>
      </c>
      <c r="F507" t="s">
        <v>128</v>
      </c>
      <c r="G507" t="s">
        <v>1266</v>
      </c>
      <c r="H507" s="10">
        <v>3</v>
      </c>
      <c r="I507" s="10">
        <v>3838.25</v>
      </c>
      <c r="J507" s="10">
        <v>11514.75</v>
      </c>
      <c r="K507" s="10"/>
    </row>
    <row r="508" spans="1:11">
      <c r="A508" s="19">
        <v>45106</v>
      </c>
      <c r="B508" t="s">
        <v>1262</v>
      </c>
      <c r="C508" t="s">
        <v>1169</v>
      </c>
      <c r="D508" t="s">
        <v>1230</v>
      </c>
      <c r="E508" t="s">
        <v>1229</v>
      </c>
      <c r="F508" t="s">
        <v>145</v>
      </c>
      <c r="G508" t="s">
        <v>1261</v>
      </c>
      <c r="H508" s="10">
        <v>12</v>
      </c>
      <c r="I508" s="10">
        <v>2290.7600000000002</v>
      </c>
      <c r="J508" s="10">
        <v>27489.119999999999</v>
      </c>
      <c r="K508" s="10"/>
    </row>
    <row r="509" spans="1:11">
      <c r="A509" s="19">
        <v>45107</v>
      </c>
      <c r="B509" t="s">
        <v>1263</v>
      </c>
      <c r="C509" t="s">
        <v>1171</v>
      </c>
      <c r="D509" t="s">
        <v>1237</v>
      </c>
      <c r="E509" t="s">
        <v>1229</v>
      </c>
      <c r="F509" t="s">
        <v>128</v>
      </c>
      <c r="G509" t="s">
        <v>1257</v>
      </c>
      <c r="H509" s="10">
        <v>11</v>
      </c>
      <c r="I509" s="10">
        <v>3562.92</v>
      </c>
      <c r="J509" s="10">
        <v>39192.120000000003</v>
      </c>
      <c r="K509" s="10"/>
    </row>
    <row r="510" spans="1:11">
      <c r="A510" s="19">
        <v>45107</v>
      </c>
      <c r="B510" t="s">
        <v>1256</v>
      </c>
      <c r="C510" t="s">
        <v>1241</v>
      </c>
      <c r="D510" t="s">
        <v>1235</v>
      </c>
      <c r="E510" t="s">
        <v>1231</v>
      </c>
      <c r="F510" t="s">
        <v>145</v>
      </c>
      <c r="G510" t="s">
        <v>1274</v>
      </c>
      <c r="H510" s="10">
        <v>19</v>
      </c>
      <c r="I510" s="10">
        <v>4364.6400000000003</v>
      </c>
      <c r="J510" s="10">
        <v>82928.160000000003</v>
      </c>
      <c r="K510" s="10"/>
    </row>
    <row r="511" spans="1:11">
      <c r="A511" s="19">
        <v>45108</v>
      </c>
      <c r="B511" t="s">
        <v>1267</v>
      </c>
      <c r="C511" t="s">
        <v>1241</v>
      </c>
      <c r="D511" t="s">
        <v>1235</v>
      </c>
      <c r="E511" t="s">
        <v>1231</v>
      </c>
      <c r="F511" t="s">
        <v>145</v>
      </c>
      <c r="G511" t="s">
        <v>1261</v>
      </c>
      <c r="H511" s="10">
        <v>1</v>
      </c>
      <c r="I511" s="10">
        <v>1915.3</v>
      </c>
      <c r="J511" s="10">
        <v>1915.3</v>
      </c>
      <c r="K511" s="10"/>
    </row>
    <row r="512" spans="1:11">
      <c r="A512" s="19">
        <v>45108</v>
      </c>
      <c r="B512" t="s">
        <v>1254</v>
      </c>
      <c r="C512" t="s">
        <v>1173</v>
      </c>
      <c r="D512" t="s">
        <v>1237</v>
      </c>
      <c r="E512" t="s">
        <v>1229</v>
      </c>
      <c r="F512" t="s">
        <v>120</v>
      </c>
      <c r="G512" t="s">
        <v>1165</v>
      </c>
      <c r="H512" s="10">
        <v>20</v>
      </c>
      <c r="I512" s="10">
        <v>3638.01</v>
      </c>
      <c r="J512" s="10">
        <v>72760.2</v>
      </c>
      <c r="K512" s="10"/>
    </row>
    <row r="513" spans="1:11">
      <c r="A513" s="19">
        <v>45109</v>
      </c>
      <c r="B513" t="s">
        <v>1258</v>
      </c>
      <c r="C513" t="s">
        <v>1233</v>
      </c>
      <c r="D513" t="s">
        <v>1232</v>
      </c>
      <c r="E513" t="s">
        <v>1231</v>
      </c>
      <c r="F513" t="s">
        <v>120</v>
      </c>
      <c r="G513" t="s">
        <v>1165</v>
      </c>
      <c r="H513" s="10">
        <v>6</v>
      </c>
      <c r="I513" s="10">
        <v>2862.86</v>
      </c>
      <c r="J513" s="10">
        <v>17177.16</v>
      </c>
      <c r="K513" s="10"/>
    </row>
    <row r="514" spans="1:11">
      <c r="A514" s="19">
        <v>45110</v>
      </c>
      <c r="B514" t="s">
        <v>1263</v>
      </c>
      <c r="C514" t="s">
        <v>1234</v>
      </c>
      <c r="D514" t="s">
        <v>1232</v>
      </c>
      <c r="E514" t="s">
        <v>1231</v>
      </c>
      <c r="F514" t="s">
        <v>1249</v>
      </c>
      <c r="G514" t="s">
        <v>1272</v>
      </c>
      <c r="H514" s="10">
        <v>13</v>
      </c>
      <c r="I514" s="10">
        <v>4087.03</v>
      </c>
      <c r="J514" s="10">
        <v>53131.39</v>
      </c>
      <c r="K514" s="10"/>
    </row>
    <row r="515" spans="1:11">
      <c r="A515" s="19">
        <v>45110</v>
      </c>
      <c r="B515" t="s">
        <v>1265</v>
      </c>
      <c r="C515" t="s">
        <v>1247</v>
      </c>
      <c r="D515" t="s">
        <v>1243</v>
      </c>
      <c r="E515" t="s">
        <v>1242</v>
      </c>
      <c r="F515" t="s">
        <v>1249</v>
      </c>
      <c r="G515" t="s">
        <v>1259</v>
      </c>
      <c r="H515" s="10">
        <v>3</v>
      </c>
      <c r="I515" s="10">
        <v>4637.38</v>
      </c>
      <c r="J515" s="10">
        <v>13912.14</v>
      </c>
      <c r="K515" s="10"/>
    </row>
    <row r="516" spans="1:11">
      <c r="A516" s="19">
        <v>45110</v>
      </c>
      <c r="B516" t="s">
        <v>1269</v>
      </c>
      <c r="C516" t="s">
        <v>1239</v>
      </c>
      <c r="D516" t="s">
        <v>1237</v>
      </c>
      <c r="E516" t="s">
        <v>1229</v>
      </c>
      <c r="F516" t="s">
        <v>145</v>
      </c>
      <c r="G516" t="s">
        <v>1274</v>
      </c>
      <c r="H516" s="10">
        <v>18</v>
      </c>
      <c r="I516" s="10">
        <v>4850.91</v>
      </c>
      <c r="J516" s="10">
        <v>87316.38</v>
      </c>
      <c r="K516" s="10"/>
    </row>
    <row r="517" spans="1:11">
      <c r="A517" s="19">
        <v>45110</v>
      </c>
      <c r="B517" t="s">
        <v>1254</v>
      </c>
      <c r="C517" t="s">
        <v>1248</v>
      </c>
      <c r="D517" t="s">
        <v>1230</v>
      </c>
      <c r="E517" t="s">
        <v>1229</v>
      </c>
      <c r="F517" t="s">
        <v>145</v>
      </c>
      <c r="G517" t="s">
        <v>1274</v>
      </c>
      <c r="H517" s="10">
        <v>11</v>
      </c>
      <c r="I517" s="10">
        <v>2416.1799999999998</v>
      </c>
      <c r="J517" s="10">
        <v>26577.98</v>
      </c>
      <c r="K517" s="10"/>
    </row>
    <row r="518" spans="1:11">
      <c r="A518" s="19">
        <v>45110</v>
      </c>
      <c r="B518" t="s">
        <v>1265</v>
      </c>
      <c r="C518" t="s">
        <v>1240</v>
      </c>
      <c r="D518" t="s">
        <v>1232</v>
      </c>
      <c r="E518" t="s">
        <v>1231</v>
      </c>
      <c r="F518" t="s">
        <v>128</v>
      </c>
      <c r="G518" t="s">
        <v>1273</v>
      </c>
      <c r="H518" s="10">
        <v>1</v>
      </c>
      <c r="I518" s="10">
        <v>1717.6</v>
      </c>
      <c r="J518" s="10">
        <v>1717.6</v>
      </c>
      <c r="K518" s="10"/>
    </row>
    <row r="519" spans="1:11">
      <c r="A519" s="19">
        <v>45110</v>
      </c>
      <c r="B519" t="s">
        <v>1252</v>
      </c>
      <c r="C519" t="s">
        <v>1248</v>
      </c>
      <c r="D519" t="s">
        <v>1230</v>
      </c>
      <c r="E519" t="s">
        <v>1229</v>
      </c>
      <c r="F519" t="s">
        <v>132</v>
      </c>
      <c r="G519" t="s">
        <v>1271</v>
      </c>
      <c r="H519" s="10">
        <v>14</v>
      </c>
      <c r="I519" s="10">
        <v>3507.75</v>
      </c>
      <c r="J519" s="10">
        <v>49108.5</v>
      </c>
      <c r="K519" s="10"/>
    </row>
    <row r="520" spans="1:11">
      <c r="A520" s="19">
        <v>45110</v>
      </c>
      <c r="B520" t="s">
        <v>1267</v>
      </c>
      <c r="C520" t="s">
        <v>1247</v>
      </c>
      <c r="D520" t="s">
        <v>1243</v>
      </c>
      <c r="E520" t="s">
        <v>1242</v>
      </c>
      <c r="F520" t="s">
        <v>128</v>
      </c>
      <c r="G520" t="s">
        <v>1266</v>
      </c>
      <c r="H520" s="10">
        <v>14</v>
      </c>
      <c r="I520" s="10">
        <v>2441.0700000000002</v>
      </c>
      <c r="J520" s="10">
        <v>34174.980000000003</v>
      </c>
      <c r="K520" s="10"/>
    </row>
    <row r="521" spans="1:11">
      <c r="A521" s="19">
        <v>45111</v>
      </c>
      <c r="B521" t="s">
        <v>1262</v>
      </c>
      <c r="C521" t="s">
        <v>1236</v>
      </c>
      <c r="D521" t="s">
        <v>1235</v>
      </c>
      <c r="E521" t="s">
        <v>1231</v>
      </c>
      <c r="F521" t="s">
        <v>128</v>
      </c>
      <c r="G521" t="s">
        <v>1257</v>
      </c>
      <c r="H521" s="10">
        <v>9</v>
      </c>
      <c r="I521" s="10">
        <v>2210.8000000000002</v>
      </c>
      <c r="J521" s="10">
        <v>19897.2</v>
      </c>
      <c r="K521" s="10"/>
    </row>
    <row r="522" spans="1:11">
      <c r="A522" s="19">
        <v>45111</v>
      </c>
      <c r="B522" t="s">
        <v>1260</v>
      </c>
      <c r="C522" t="s">
        <v>1233</v>
      </c>
      <c r="D522" t="s">
        <v>1232</v>
      </c>
      <c r="E522" t="s">
        <v>1231</v>
      </c>
      <c r="F522" t="s">
        <v>120</v>
      </c>
      <c r="G522" t="s">
        <v>1164</v>
      </c>
      <c r="H522" s="10">
        <v>14</v>
      </c>
      <c r="I522" s="10">
        <v>2161.65</v>
      </c>
      <c r="J522" s="10">
        <v>30263.1</v>
      </c>
      <c r="K522" s="10"/>
    </row>
    <row r="523" spans="1:11">
      <c r="A523" s="19">
        <v>45112</v>
      </c>
      <c r="B523" t="s">
        <v>1265</v>
      </c>
      <c r="C523" t="s">
        <v>1233</v>
      </c>
      <c r="D523" t="s">
        <v>1232</v>
      </c>
      <c r="E523" t="s">
        <v>1231</v>
      </c>
      <c r="F523" t="s">
        <v>120</v>
      </c>
      <c r="G523" t="s">
        <v>1276</v>
      </c>
      <c r="H523" s="10">
        <v>18</v>
      </c>
      <c r="I523" s="10">
        <v>1599.01</v>
      </c>
      <c r="J523" s="10">
        <v>28782.18</v>
      </c>
      <c r="K523" s="10"/>
    </row>
    <row r="524" spans="1:11">
      <c r="A524" s="19">
        <v>45113</v>
      </c>
      <c r="B524" t="s">
        <v>1254</v>
      </c>
      <c r="C524" t="s">
        <v>1171</v>
      </c>
      <c r="D524" t="s">
        <v>1237</v>
      </c>
      <c r="E524" t="s">
        <v>1229</v>
      </c>
      <c r="F524" t="s">
        <v>145</v>
      </c>
      <c r="G524" t="s">
        <v>1274</v>
      </c>
      <c r="H524" s="10">
        <v>4</v>
      </c>
      <c r="I524" s="10">
        <v>2836.34</v>
      </c>
      <c r="J524" s="10">
        <v>11345.36</v>
      </c>
      <c r="K524" s="10"/>
    </row>
    <row r="525" spans="1:11">
      <c r="A525" s="19">
        <v>45113</v>
      </c>
      <c r="B525" t="s">
        <v>1254</v>
      </c>
      <c r="C525" t="s">
        <v>1169</v>
      </c>
      <c r="D525" t="s">
        <v>1230</v>
      </c>
      <c r="E525" t="s">
        <v>1229</v>
      </c>
      <c r="F525" t="s">
        <v>132</v>
      </c>
      <c r="G525" t="s">
        <v>1253</v>
      </c>
      <c r="H525" s="10">
        <v>6</v>
      </c>
      <c r="I525" s="10">
        <v>1003.96</v>
      </c>
      <c r="J525" s="10">
        <v>6023.76</v>
      </c>
      <c r="K525" s="10"/>
    </row>
    <row r="526" spans="1:11">
      <c r="A526" s="19">
        <v>45114</v>
      </c>
      <c r="B526" t="s">
        <v>1252</v>
      </c>
      <c r="C526" t="s">
        <v>1248</v>
      </c>
      <c r="D526" t="s">
        <v>1230</v>
      </c>
      <c r="E526" t="s">
        <v>1229</v>
      </c>
      <c r="F526" t="s">
        <v>1249</v>
      </c>
      <c r="G526" t="s">
        <v>1268</v>
      </c>
      <c r="H526" s="10">
        <v>8</v>
      </c>
      <c r="I526" s="10">
        <v>3069.86</v>
      </c>
      <c r="J526" s="10">
        <v>24558.880000000001</v>
      </c>
      <c r="K526" s="10"/>
    </row>
    <row r="527" spans="1:11">
      <c r="A527" s="19">
        <v>45115</v>
      </c>
      <c r="B527" t="s">
        <v>1256</v>
      </c>
      <c r="C527" t="s">
        <v>1169</v>
      </c>
      <c r="D527" t="s">
        <v>1230</v>
      </c>
      <c r="E527" t="s">
        <v>1229</v>
      </c>
      <c r="F527" t="s">
        <v>1249</v>
      </c>
      <c r="G527" t="s">
        <v>1270</v>
      </c>
      <c r="H527" s="10">
        <v>4</v>
      </c>
      <c r="I527" s="10">
        <v>3214.1</v>
      </c>
      <c r="J527" s="10">
        <v>12856.4</v>
      </c>
      <c r="K527" s="10"/>
    </row>
    <row r="528" spans="1:11">
      <c r="A528" s="19">
        <v>45115</v>
      </c>
      <c r="B528" t="s">
        <v>1260</v>
      </c>
      <c r="C528" t="s">
        <v>1238</v>
      </c>
      <c r="D528" t="s">
        <v>1235</v>
      </c>
      <c r="E528" t="s">
        <v>1231</v>
      </c>
      <c r="F528" t="s">
        <v>1249</v>
      </c>
      <c r="G528" t="s">
        <v>1259</v>
      </c>
      <c r="H528" s="10">
        <v>12</v>
      </c>
      <c r="I528" s="10">
        <v>2393.9699999999998</v>
      </c>
      <c r="J528" s="10">
        <v>28727.64</v>
      </c>
      <c r="K528" s="10"/>
    </row>
    <row r="529" spans="1:11">
      <c r="A529" s="19">
        <v>45115</v>
      </c>
      <c r="B529" t="s">
        <v>1267</v>
      </c>
      <c r="C529" t="s">
        <v>1234</v>
      </c>
      <c r="D529" t="s">
        <v>1232</v>
      </c>
      <c r="E529" t="s">
        <v>1231</v>
      </c>
      <c r="F529" t="s">
        <v>1249</v>
      </c>
      <c r="G529" t="s">
        <v>1270</v>
      </c>
      <c r="H529" s="10">
        <v>13</v>
      </c>
      <c r="I529" s="10">
        <v>2526.1999999999998</v>
      </c>
      <c r="J529" s="10">
        <v>32840.6</v>
      </c>
      <c r="K529" s="10"/>
    </row>
    <row r="530" spans="1:11">
      <c r="A530" s="19">
        <v>45115</v>
      </c>
      <c r="B530" t="s">
        <v>1269</v>
      </c>
      <c r="C530" t="s">
        <v>1238</v>
      </c>
      <c r="D530" t="s">
        <v>1235</v>
      </c>
      <c r="E530" t="s">
        <v>1231</v>
      </c>
      <c r="F530" t="s">
        <v>145</v>
      </c>
      <c r="G530" t="s">
        <v>1274</v>
      </c>
      <c r="H530" s="10">
        <v>14</v>
      </c>
      <c r="I530" s="10">
        <v>4164.33</v>
      </c>
      <c r="J530" s="10">
        <v>58300.62</v>
      </c>
      <c r="K530" s="10"/>
    </row>
    <row r="531" spans="1:11">
      <c r="A531" s="19">
        <v>45115</v>
      </c>
      <c r="B531" t="s">
        <v>1263</v>
      </c>
      <c r="C531" t="s">
        <v>1248</v>
      </c>
      <c r="D531" t="s">
        <v>1230</v>
      </c>
      <c r="E531" t="s">
        <v>1229</v>
      </c>
      <c r="F531" t="s">
        <v>128</v>
      </c>
      <c r="G531" t="s">
        <v>1264</v>
      </c>
      <c r="H531" s="10">
        <v>12</v>
      </c>
      <c r="I531" s="10">
        <v>1804.27</v>
      </c>
      <c r="J531" s="10">
        <v>21651.24</v>
      </c>
      <c r="K531" s="10"/>
    </row>
    <row r="532" spans="1:11">
      <c r="A532" s="19">
        <v>45116</v>
      </c>
      <c r="B532" t="s">
        <v>1267</v>
      </c>
      <c r="C532" t="s">
        <v>1248</v>
      </c>
      <c r="D532" t="s">
        <v>1230</v>
      </c>
      <c r="E532" t="s">
        <v>1229</v>
      </c>
      <c r="F532" t="s">
        <v>120</v>
      </c>
      <c r="G532" t="s">
        <v>1165</v>
      </c>
      <c r="H532" s="10">
        <v>3</v>
      </c>
      <c r="I532" s="10">
        <v>1753.98</v>
      </c>
      <c r="J532" s="10">
        <v>5261.94</v>
      </c>
      <c r="K532" s="10"/>
    </row>
    <row r="533" spans="1:11">
      <c r="A533" s="19">
        <v>45116</v>
      </c>
      <c r="B533" t="s">
        <v>1265</v>
      </c>
      <c r="C533" t="s">
        <v>1238</v>
      </c>
      <c r="D533" t="s">
        <v>1235</v>
      </c>
      <c r="E533" t="s">
        <v>1231</v>
      </c>
      <c r="F533" t="s">
        <v>120</v>
      </c>
      <c r="G533" t="s">
        <v>1164</v>
      </c>
      <c r="H533" s="10">
        <v>19</v>
      </c>
      <c r="I533" s="10">
        <v>717.29</v>
      </c>
      <c r="J533" s="10">
        <v>13628.51</v>
      </c>
      <c r="K533" s="10"/>
    </row>
    <row r="534" spans="1:11">
      <c r="A534" s="19">
        <v>45116</v>
      </c>
      <c r="B534" t="s">
        <v>1269</v>
      </c>
      <c r="C534" t="s">
        <v>1248</v>
      </c>
      <c r="D534" t="s">
        <v>1230</v>
      </c>
      <c r="E534" t="s">
        <v>1229</v>
      </c>
      <c r="F534" t="s">
        <v>1249</v>
      </c>
      <c r="G534" t="s">
        <v>1270</v>
      </c>
      <c r="H534" s="10">
        <v>20</v>
      </c>
      <c r="I534" s="10">
        <v>1580.59</v>
      </c>
      <c r="J534" s="10">
        <v>31611.8</v>
      </c>
      <c r="K534" s="10"/>
    </row>
    <row r="535" spans="1:11">
      <c r="A535" s="19">
        <v>45116</v>
      </c>
      <c r="B535" t="s">
        <v>1256</v>
      </c>
      <c r="C535" t="s">
        <v>1244</v>
      </c>
      <c r="D535" t="s">
        <v>1243</v>
      </c>
      <c r="E535" t="s">
        <v>1242</v>
      </c>
      <c r="F535" t="s">
        <v>145</v>
      </c>
      <c r="G535" t="s">
        <v>1261</v>
      </c>
      <c r="H535" s="10">
        <v>7</v>
      </c>
      <c r="I535" s="10">
        <v>2861.67</v>
      </c>
      <c r="J535" s="10">
        <v>20031.689999999999</v>
      </c>
      <c r="K535" s="10"/>
    </row>
    <row r="536" spans="1:11">
      <c r="A536" s="19">
        <v>45116</v>
      </c>
      <c r="B536" t="s">
        <v>1267</v>
      </c>
      <c r="C536" t="s">
        <v>1245</v>
      </c>
      <c r="D536" t="s">
        <v>1243</v>
      </c>
      <c r="E536" t="s">
        <v>1242</v>
      </c>
      <c r="F536" t="s">
        <v>1249</v>
      </c>
      <c r="G536" t="s">
        <v>1270</v>
      </c>
      <c r="H536" s="10">
        <v>13</v>
      </c>
      <c r="I536" s="10">
        <v>2225.88</v>
      </c>
      <c r="J536" s="10">
        <v>28936.44</v>
      </c>
      <c r="K536" s="10"/>
    </row>
    <row r="537" spans="1:11">
      <c r="A537" s="19">
        <v>45117</v>
      </c>
      <c r="B537" t="s">
        <v>1252</v>
      </c>
      <c r="C537" t="s">
        <v>1171</v>
      </c>
      <c r="D537" t="s">
        <v>1237</v>
      </c>
      <c r="E537" t="s">
        <v>1229</v>
      </c>
      <c r="F537" t="s">
        <v>128</v>
      </c>
      <c r="G537" t="s">
        <v>1257</v>
      </c>
      <c r="H537" s="10">
        <v>16</v>
      </c>
      <c r="I537" s="10">
        <v>3858.12</v>
      </c>
      <c r="J537" s="10">
        <v>61729.919999999998</v>
      </c>
      <c r="K537" s="10"/>
    </row>
    <row r="538" spans="1:11">
      <c r="A538" s="19">
        <v>45118</v>
      </c>
      <c r="B538" t="s">
        <v>1252</v>
      </c>
      <c r="C538" t="s">
        <v>1239</v>
      </c>
      <c r="D538" t="s">
        <v>1237</v>
      </c>
      <c r="E538" t="s">
        <v>1229</v>
      </c>
      <c r="F538" t="s">
        <v>128</v>
      </c>
      <c r="G538" t="s">
        <v>1264</v>
      </c>
      <c r="H538" s="10">
        <v>18</v>
      </c>
      <c r="I538" s="10">
        <v>1120.0999999999999</v>
      </c>
      <c r="J538" s="10">
        <v>20161.8</v>
      </c>
      <c r="K538" s="10"/>
    </row>
    <row r="539" spans="1:11">
      <c r="A539" s="19">
        <v>45118</v>
      </c>
      <c r="B539" t="s">
        <v>1267</v>
      </c>
      <c r="C539" t="s">
        <v>1241</v>
      </c>
      <c r="D539" t="s">
        <v>1235</v>
      </c>
      <c r="E539" t="s">
        <v>1231</v>
      </c>
      <c r="F539" t="s">
        <v>1249</v>
      </c>
      <c r="G539" t="s">
        <v>1270</v>
      </c>
      <c r="H539" s="10">
        <v>3</v>
      </c>
      <c r="I539" s="10">
        <v>4234</v>
      </c>
      <c r="J539" s="10">
        <v>12702</v>
      </c>
      <c r="K539" s="10"/>
    </row>
    <row r="540" spans="1:11">
      <c r="A540" s="19">
        <v>45118</v>
      </c>
      <c r="B540" t="s">
        <v>1256</v>
      </c>
      <c r="C540" t="s">
        <v>1248</v>
      </c>
      <c r="D540" t="s">
        <v>1230</v>
      </c>
      <c r="E540" t="s">
        <v>1229</v>
      </c>
      <c r="F540" t="s">
        <v>1249</v>
      </c>
      <c r="G540" t="s">
        <v>1272</v>
      </c>
      <c r="H540" s="10">
        <v>14</v>
      </c>
      <c r="I540" s="10">
        <v>4566.12</v>
      </c>
      <c r="J540" s="10">
        <v>63925.68</v>
      </c>
      <c r="K540" s="10"/>
    </row>
    <row r="541" spans="1:11">
      <c r="A541" s="19">
        <v>45118</v>
      </c>
      <c r="B541" t="s">
        <v>1256</v>
      </c>
      <c r="C541" t="s">
        <v>1238</v>
      </c>
      <c r="D541" t="s">
        <v>1235</v>
      </c>
      <c r="E541" t="s">
        <v>1231</v>
      </c>
      <c r="F541" t="s">
        <v>1249</v>
      </c>
      <c r="G541" t="s">
        <v>1268</v>
      </c>
      <c r="H541" s="10">
        <v>13</v>
      </c>
      <c r="I541" s="10">
        <v>2244.77</v>
      </c>
      <c r="J541" s="10">
        <v>29182.01</v>
      </c>
      <c r="K541" s="10"/>
    </row>
    <row r="542" spans="1:11">
      <c r="A542" s="19">
        <v>45118</v>
      </c>
      <c r="B542" t="s">
        <v>1252</v>
      </c>
      <c r="C542" t="s">
        <v>1173</v>
      </c>
      <c r="D542" t="s">
        <v>1237</v>
      </c>
      <c r="E542" t="s">
        <v>1229</v>
      </c>
      <c r="F542" t="s">
        <v>132</v>
      </c>
      <c r="G542" t="s">
        <v>1271</v>
      </c>
      <c r="H542" s="10">
        <v>14</v>
      </c>
      <c r="I542" s="10">
        <v>3677.67</v>
      </c>
      <c r="J542" s="10">
        <v>51487.38</v>
      </c>
      <c r="K542" s="10"/>
    </row>
    <row r="543" spans="1:11">
      <c r="A543" s="19">
        <v>45119</v>
      </c>
      <c r="B543" t="s">
        <v>1252</v>
      </c>
      <c r="C543" t="s">
        <v>1248</v>
      </c>
      <c r="D543" t="s">
        <v>1230</v>
      </c>
      <c r="E543" t="s">
        <v>1229</v>
      </c>
      <c r="F543" t="s">
        <v>132</v>
      </c>
      <c r="G543" t="s">
        <v>1279</v>
      </c>
      <c r="H543" s="10">
        <v>14</v>
      </c>
      <c r="I543" s="10">
        <v>3099.57</v>
      </c>
      <c r="J543" s="10">
        <v>43393.98</v>
      </c>
      <c r="K543" s="10"/>
    </row>
    <row r="544" spans="1:11">
      <c r="A544" s="19">
        <v>45120</v>
      </c>
      <c r="B544" t="s">
        <v>1269</v>
      </c>
      <c r="C544" t="s">
        <v>1234</v>
      </c>
      <c r="D544" t="s">
        <v>1232</v>
      </c>
      <c r="E544" t="s">
        <v>1231</v>
      </c>
      <c r="F544" t="s">
        <v>145</v>
      </c>
      <c r="G544" t="s">
        <v>1274</v>
      </c>
      <c r="H544" s="10">
        <v>18</v>
      </c>
      <c r="I544" s="10">
        <v>4132.6899999999996</v>
      </c>
      <c r="J544" s="10">
        <v>74388.42</v>
      </c>
      <c r="K544" s="10"/>
    </row>
    <row r="545" spans="1:11">
      <c r="A545" s="19">
        <v>45120</v>
      </c>
      <c r="B545" t="s">
        <v>1252</v>
      </c>
      <c r="C545" t="s">
        <v>1173</v>
      </c>
      <c r="D545" t="s">
        <v>1237</v>
      </c>
      <c r="E545" t="s">
        <v>1229</v>
      </c>
      <c r="F545" t="s">
        <v>120</v>
      </c>
      <c r="G545" t="s">
        <v>1276</v>
      </c>
      <c r="H545" s="10">
        <v>10</v>
      </c>
      <c r="I545" s="10">
        <v>1823.34</v>
      </c>
      <c r="J545" s="10">
        <v>18233.400000000001</v>
      </c>
      <c r="K545" s="10"/>
    </row>
    <row r="546" spans="1:11">
      <c r="A546" s="19">
        <v>45121</v>
      </c>
      <c r="B546" t="s">
        <v>1262</v>
      </c>
      <c r="C546" t="s">
        <v>1246</v>
      </c>
      <c r="D546" t="s">
        <v>1230</v>
      </c>
      <c r="E546" t="s">
        <v>1229</v>
      </c>
      <c r="F546" t="s">
        <v>120</v>
      </c>
      <c r="G546" t="s">
        <v>1164</v>
      </c>
      <c r="H546" s="10">
        <v>17</v>
      </c>
      <c r="I546" s="10">
        <v>2809.13</v>
      </c>
      <c r="J546" s="10">
        <v>47755.21</v>
      </c>
      <c r="K546" s="10"/>
    </row>
    <row r="547" spans="1:11">
      <c r="A547" s="19">
        <v>45121</v>
      </c>
      <c r="B547" t="s">
        <v>1260</v>
      </c>
      <c r="C547" t="s">
        <v>1244</v>
      </c>
      <c r="D547" t="s">
        <v>1243</v>
      </c>
      <c r="E547" t="s">
        <v>1242</v>
      </c>
      <c r="F547" t="s">
        <v>128</v>
      </c>
      <c r="G547" t="s">
        <v>1264</v>
      </c>
      <c r="H547" s="10">
        <v>8</v>
      </c>
      <c r="I547" s="10">
        <v>4930.67</v>
      </c>
      <c r="J547" s="10">
        <v>39445.360000000001</v>
      </c>
      <c r="K547" s="10"/>
    </row>
    <row r="548" spans="1:11">
      <c r="A548" s="19">
        <v>45122</v>
      </c>
      <c r="B548" t="s">
        <v>1269</v>
      </c>
      <c r="C548" t="s">
        <v>1236</v>
      </c>
      <c r="D548" t="s">
        <v>1235</v>
      </c>
      <c r="E548" t="s">
        <v>1231</v>
      </c>
      <c r="F548" t="s">
        <v>120</v>
      </c>
      <c r="G548" t="s">
        <v>1165</v>
      </c>
      <c r="H548" s="10">
        <v>4</v>
      </c>
      <c r="I548" s="10">
        <v>894.64</v>
      </c>
      <c r="J548" s="10">
        <v>3578.56</v>
      </c>
      <c r="K548" s="10"/>
    </row>
    <row r="549" spans="1:11">
      <c r="A549" s="19">
        <v>45122</v>
      </c>
      <c r="B549" t="s">
        <v>1262</v>
      </c>
      <c r="C549" t="s">
        <v>1244</v>
      </c>
      <c r="D549" t="s">
        <v>1243</v>
      </c>
      <c r="E549" t="s">
        <v>1242</v>
      </c>
      <c r="F549" t="s">
        <v>1249</v>
      </c>
      <c r="G549" t="s">
        <v>1270</v>
      </c>
      <c r="H549" s="10">
        <v>20</v>
      </c>
      <c r="I549" s="10">
        <v>4711.51</v>
      </c>
      <c r="J549" s="10">
        <v>94230.2</v>
      </c>
      <c r="K549" s="10"/>
    </row>
    <row r="550" spans="1:11">
      <c r="A550" s="19">
        <v>45123</v>
      </c>
      <c r="B550" t="s">
        <v>1254</v>
      </c>
      <c r="C550" t="s">
        <v>1245</v>
      </c>
      <c r="D550" t="s">
        <v>1243</v>
      </c>
      <c r="E550" t="s">
        <v>1242</v>
      </c>
      <c r="F550" t="s">
        <v>1249</v>
      </c>
      <c r="G550" t="s">
        <v>1268</v>
      </c>
      <c r="H550" s="10">
        <v>9</v>
      </c>
      <c r="I550" s="10">
        <v>877.89</v>
      </c>
      <c r="J550" s="10">
        <v>7901.01</v>
      </c>
      <c r="K550" s="10"/>
    </row>
    <row r="551" spans="1:11">
      <c r="A551" s="19">
        <v>45123</v>
      </c>
      <c r="B551" t="s">
        <v>1256</v>
      </c>
      <c r="C551" t="s">
        <v>1236</v>
      </c>
      <c r="D551" t="s">
        <v>1235</v>
      </c>
      <c r="E551" t="s">
        <v>1231</v>
      </c>
      <c r="F551" t="s">
        <v>128</v>
      </c>
      <c r="G551" t="s">
        <v>1257</v>
      </c>
      <c r="H551" s="10">
        <v>3</v>
      </c>
      <c r="I551" s="10">
        <v>1129.8800000000001</v>
      </c>
      <c r="J551" s="10">
        <v>3389.64</v>
      </c>
      <c r="K551" s="10"/>
    </row>
    <row r="552" spans="1:11">
      <c r="A552" s="19">
        <v>45123</v>
      </c>
      <c r="B552" t="s">
        <v>1258</v>
      </c>
      <c r="C552" t="s">
        <v>1239</v>
      </c>
      <c r="D552" t="s">
        <v>1237</v>
      </c>
      <c r="E552" t="s">
        <v>1229</v>
      </c>
      <c r="F552" t="s">
        <v>128</v>
      </c>
      <c r="G552" t="s">
        <v>1257</v>
      </c>
      <c r="H552" s="10">
        <v>6</v>
      </c>
      <c r="I552" s="10">
        <v>3566.53</v>
      </c>
      <c r="J552" s="10">
        <v>21399.18</v>
      </c>
      <c r="K552" s="10"/>
    </row>
    <row r="553" spans="1:11">
      <c r="A553" s="19">
        <v>45124</v>
      </c>
      <c r="B553" t="s">
        <v>1262</v>
      </c>
      <c r="C553" t="s">
        <v>1247</v>
      </c>
      <c r="D553" t="s">
        <v>1243</v>
      </c>
      <c r="E553" t="s">
        <v>1242</v>
      </c>
      <c r="F553" t="s">
        <v>145</v>
      </c>
      <c r="G553" t="s">
        <v>1261</v>
      </c>
      <c r="H553" s="10">
        <v>1</v>
      </c>
      <c r="I553" s="10">
        <v>1323.63</v>
      </c>
      <c r="J553" s="10">
        <v>1323.63</v>
      </c>
      <c r="K553" s="10"/>
    </row>
    <row r="554" spans="1:11">
      <c r="A554" s="19">
        <v>45125</v>
      </c>
      <c r="B554" t="s">
        <v>1260</v>
      </c>
      <c r="C554" t="s">
        <v>1236</v>
      </c>
      <c r="D554" t="s">
        <v>1235</v>
      </c>
      <c r="E554" t="s">
        <v>1231</v>
      </c>
      <c r="F554" t="s">
        <v>128</v>
      </c>
      <c r="G554" t="s">
        <v>1264</v>
      </c>
      <c r="H554" s="10">
        <v>7</v>
      </c>
      <c r="I554" s="10">
        <v>3416.74</v>
      </c>
      <c r="J554" s="10">
        <v>23917.18</v>
      </c>
      <c r="K554" s="10"/>
    </row>
    <row r="555" spans="1:11">
      <c r="A555" s="19">
        <v>45125</v>
      </c>
      <c r="B555" t="s">
        <v>1265</v>
      </c>
      <c r="C555" t="s">
        <v>1233</v>
      </c>
      <c r="D555" t="s">
        <v>1232</v>
      </c>
      <c r="E555" t="s">
        <v>1231</v>
      </c>
      <c r="F555" t="s">
        <v>128</v>
      </c>
      <c r="G555" t="s">
        <v>1273</v>
      </c>
      <c r="H555" s="10">
        <v>13</v>
      </c>
      <c r="I555" s="10">
        <v>3101.42</v>
      </c>
      <c r="J555" s="10">
        <v>40318.46</v>
      </c>
      <c r="K555" s="10"/>
    </row>
    <row r="556" spans="1:11">
      <c r="A556" s="19">
        <v>45125</v>
      </c>
      <c r="B556" t="s">
        <v>1256</v>
      </c>
      <c r="C556" t="s">
        <v>1244</v>
      </c>
      <c r="D556" t="s">
        <v>1243</v>
      </c>
      <c r="E556" t="s">
        <v>1242</v>
      </c>
      <c r="F556" t="s">
        <v>132</v>
      </c>
      <c r="G556" t="s">
        <v>1279</v>
      </c>
      <c r="H556" s="10">
        <v>15</v>
      </c>
      <c r="I556" s="10">
        <v>834.13</v>
      </c>
      <c r="J556" s="10">
        <v>12511.95</v>
      </c>
      <c r="K556" s="10"/>
    </row>
    <row r="557" spans="1:11">
      <c r="A557" s="19">
        <v>45126</v>
      </c>
      <c r="B557" t="s">
        <v>1252</v>
      </c>
      <c r="C557" t="s">
        <v>1234</v>
      </c>
      <c r="D557" t="s">
        <v>1232</v>
      </c>
      <c r="E557" t="s">
        <v>1231</v>
      </c>
      <c r="F557" t="s">
        <v>128</v>
      </c>
      <c r="G557" t="s">
        <v>1266</v>
      </c>
      <c r="H557" s="10">
        <v>15</v>
      </c>
      <c r="I557" s="10">
        <v>2158.2199999999998</v>
      </c>
      <c r="J557" s="10">
        <v>32373.3</v>
      </c>
      <c r="K557" s="10"/>
    </row>
    <row r="558" spans="1:11">
      <c r="A558" s="19">
        <v>45126</v>
      </c>
      <c r="B558" t="s">
        <v>1256</v>
      </c>
      <c r="C558" t="s">
        <v>1234</v>
      </c>
      <c r="D558" t="s">
        <v>1232</v>
      </c>
      <c r="E558" t="s">
        <v>1231</v>
      </c>
      <c r="F558" t="s">
        <v>132</v>
      </c>
      <c r="G558" t="s">
        <v>1277</v>
      </c>
      <c r="H558" s="10">
        <v>8</v>
      </c>
      <c r="I558" s="10">
        <v>1990</v>
      </c>
      <c r="J558" s="10">
        <v>15920</v>
      </c>
      <c r="K558" s="10"/>
    </row>
    <row r="559" spans="1:11">
      <c r="A559" s="19">
        <v>45126</v>
      </c>
      <c r="B559" t="s">
        <v>1252</v>
      </c>
      <c r="C559" t="s">
        <v>1241</v>
      </c>
      <c r="D559" t="s">
        <v>1235</v>
      </c>
      <c r="E559" t="s">
        <v>1231</v>
      </c>
      <c r="F559" t="s">
        <v>132</v>
      </c>
      <c r="G559" t="s">
        <v>1253</v>
      </c>
      <c r="H559" s="10">
        <v>3</v>
      </c>
      <c r="I559" s="10">
        <v>559.70000000000005</v>
      </c>
      <c r="J559" s="10">
        <v>1679.1</v>
      </c>
      <c r="K559" s="10"/>
    </row>
    <row r="560" spans="1:11">
      <c r="A560" s="19">
        <v>45127</v>
      </c>
      <c r="B560" t="s">
        <v>1265</v>
      </c>
      <c r="C560" t="s">
        <v>1240</v>
      </c>
      <c r="D560" t="s">
        <v>1232</v>
      </c>
      <c r="E560" t="s">
        <v>1231</v>
      </c>
      <c r="F560" t="s">
        <v>120</v>
      </c>
      <c r="G560" t="s">
        <v>1165</v>
      </c>
      <c r="H560" s="10">
        <v>13</v>
      </c>
      <c r="I560" s="10">
        <v>1028.74</v>
      </c>
      <c r="J560" s="10">
        <v>13373.62</v>
      </c>
      <c r="K560" s="10"/>
    </row>
    <row r="561" spans="1:11">
      <c r="A561" s="19">
        <v>45128</v>
      </c>
      <c r="B561" t="s">
        <v>1258</v>
      </c>
      <c r="C561" t="s">
        <v>1247</v>
      </c>
      <c r="D561" t="s">
        <v>1243</v>
      </c>
      <c r="E561" t="s">
        <v>1242</v>
      </c>
      <c r="F561" t="s">
        <v>128</v>
      </c>
      <c r="G561" t="s">
        <v>1264</v>
      </c>
      <c r="H561" s="10">
        <v>4</v>
      </c>
      <c r="I561" s="10">
        <v>4373.75</v>
      </c>
      <c r="J561" s="10">
        <v>17495</v>
      </c>
      <c r="K561" s="10"/>
    </row>
    <row r="562" spans="1:11">
      <c r="A562" s="19">
        <v>45128</v>
      </c>
      <c r="B562" t="s">
        <v>1252</v>
      </c>
      <c r="C562" t="s">
        <v>1234</v>
      </c>
      <c r="D562" t="s">
        <v>1232</v>
      </c>
      <c r="E562" t="s">
        <v>1231</v>
      </c>
      <c r="F562" t="s">
        <v>132</v>
      </c>
      <c r="G562" t="s">
        <v>1279</v>
      </c>
      <c r="H562" s="10">
        <v>8</v>
      </c>
      <c r="I562" s="10">
        <v>2394.87</v>
      </c>
      <c r="J562" s="10">
        <v>19158.96</v>
      </c>
      <c r="K562" s="10"/>
    </row>
    <row r="563" spans="1:11">
      <c r="A563" s="19">
        <v>45129</v>
      </c>
      <c r="B563" t="s">
        <v>1256</v>
      </c>
      <c r="C563" t="s">
        <v>1239</v>
      </c>
      <c r="D563" t="s">
        <v>1237</v>
      </c>
      <c r="E563" t="s">
        <v>1229</v>
      </c>
      <c r="F563" t="s">
        <v>120</v>
      </c>
      <c r="G563" t="s">
        <v>1275</v>
      </c>
      <c r="H563" s="10">
        <v>10</v>
      </c>
      <c r="I563" s="10">
        <v>4282.18</v>
      </c>
      <c r="J563" s="10">
        <v>42821.8</v>
      </c>
      <c r="K563" s="10"/>
    </row>
    <row r="564" spans="1:11">
      <c r="A564" s="19">
        <v>45129</v>
      </c>
      <c r="B564" t="s">
        <v>1269</v>
      </c>
      <c r="C564" t="s">
        <v>1247</v>
      </c>
      <c r="D564" t="s">
        <v>1243</v>
      </c>
      <c r="E564" t="s">
        <v>1242</v>
      </c>
      <c r="F564" t="s">
        <v>132</v>
      </c>
      <c r="G564" t="s">
        <v>1279</v>
      </c>
      <c r="H564" s="10">
        <v>6</v>
      </c>
      <c r="I564" s="10">
        <v>3080.25</v>
      </c>
      <c r="J564" s="10">
        <v>18481.5</v>
      </c>
      <c r="K564" s="10"/>
    </row>
    <row r="565" spans="1:11">
      <c r="A565" s="19">
        <v>45129</v>
      </c>
      <c r="B565" t="s">
        <v>1267</v>
      </c>
      <c r="C565" t="s">
        <v>1247</v>
      </c>
      <c r="D565" t="s">
        <v>1243</v>
      </c>
      <c r="E565" t="s">
        <v>1242</v>
      </c>
      <c r="F565" t="s">
        <v>145</v>
      </c>
      <c r="G565" t="s">
        <v>1274</v>
      </c>
      <c r="H565" s="10">
        <v>4</v>
      </c>
      <c r="I565" s="10">
        <v>1009.78</v>
      </c>
      <c r="J565" s="10">
        <v>4039.12</v>
      </c>
      <c r="K565" s="10"/>
    </row>
    <row r="566" spans="1:11">
      <c r="A566" s="19">
        <v>45129</v>
      </c>
      <c r="B566" t="s">
        <v>1252</v>
      </c>
      <c r="C566" t="s">
        <v>1239</v>
      </c>
      <c r="D566" t="s">
        <v>1237</v>
      </c>
      <c r="E566" t="s">
        <v>1229</v>
      </c>
      <c r="F566" t="s">
        <v>128</v>
      </c>
      <c r="G566" t="s">
        <v>1266</v>
      </c>
      <c r="H566" s="10">
        <v>13</v>
      </c>
      <c r="I566" s="10">
        <v>4686.21</v>
      </c>
      <c r="J566" s="10">
        <v>60920.73</v>
      </c>
      <c r="K566" s="10"/>
    </row>
    <row r="567" spans="1:11">
      <c r="A567" s="19">
        <v>45130</v>
      </c>
      <c r="B567" t="s">
        <v>1256</v>
      </c>
      <c r="C567" t="s">
        <v>1233</v>
      </c>
      <c r="D567" t="s">
        <v>1232</v>
      </c>
      <c r="E567" t="s">
        <v>1231</v>
      </c>
      <c r="F567" t="s">
        <v>1249</v>
      </c>
      <c r="G567" t="s">
        <v>1268</v>
      </c>
      <c r="H567" s="10">
        <v>6</v>
      </c>
      <c r="I567" s="10">
        <v>2260.16</v>
      </c>
      <c r="J567" s="10">
        <v>13560.96</v>
      </c>
      <c r="K567" s="10"/>
    </row>
    <row r="568" spans="1:11">
      <c r="A568" s="19">
        <v>45131</v>
      </c>
      <c r="B568" t="s">
        <v>1263</v>
      </c>
      <c r="C568" t="s">
        <v>1248</v>
      </c>
      <c r="D568" t="s">
        <v>1230</v>
      </c>
      <c r="E568" t="s">
        <v>1229</v>
      </c>
      <c r="F568" t="s">
        <v>120</v>
      </c>
      <c r="G568" t="s">
        <v>1165</v>
      </c>
      <c r="H568" s="10">
        <v>4</v>
      </c>
      <c r="I568" s="10">
        <v>3751.49</v>
      </c>
      <c r="J568" s="10">
        <v>15005.96</v>
      </c>
      <c r="K568" s="10"/>
    </row>
    <row r="569" spans="1:11">
      <c r="A569" s="19">
        <v>45131</v>
      </c>
      <c r="B569" t="s">
        <v>1258</v>
      </c>
      <c r="C569" t="s">
        <v>1246</v>
      </c>
      <c r="D569" t="s">
        <v>1230</v>
      </c>
      <c r="E569" t="s">
        <v>1229</v>
      </c>
      <c r="F569" t="s">
        <v>120</v>
      </c>
      <c r="G569" t="s">
        <v>1164</v>
      </c>
      <c r="H569" s="10">
        <v>10</v>
      </c>
      <c r="I569" s="10">
        <v>4678.49</v>
      </c>
      <c r="J569" s="10">
        <v>46784.9</v>
      </c>
      <c r="K569" s="10"/>
    </row>
    <row r="570" spans="1:11">
      <c r="A570" s="19">
        <v>45131</v>
      </c>
      <c r="B570" t="s">
        <v>1254</v>
      </c>
      <c r="C570" t="s">
        <v>1236</v>
      </c>
      <c r="D570" t="s">
        <v>1235</v>
      </c>
      <c r="E570" t="s">
        <v>1231</v>
      </c>
      <c r="F570" t="s">
        <v>145</v>
      </c>
      <c r="G570" t="s">
        <v>1255</v>
      </c>
      <c r="H570" s="10">
        <v>3</v>
      </c>
      <c r="I570" s="10">
        <v>3853.05</v>
      </c>
      <c r="J570" s="10">
        <v>11559.15</v>
      </c>
      <c r="K570" s="10"/>
    </row>
    <row r="571" spans="1:11">
      <c r="A571" s="19">
        <v>45132</v>
      </c>
      <c r="B571" t="s">
        <v>1256</v>
      </c>
      <c r="C571" t="s">
        <v>1246</v>
      </c>
      <c r="D571" t="s">
        <v>1230</v>
      </c>
      <c r="E571" t="s">
        <v>1229</v>
      </c>
      <c r="F571" t="s">
        <v>128</v>
      </c>
      <c r="G571" t="s">
        <v>1266</v>
      </c>
      <c r="H571" s="10">
        <v>12</v>
      </c>
      <c r="I571" s="10">
        <v>219.32</v>
      </c>
      <c r="J571" s="10">
        <v>2631.84</v>
      </c>
      <c r="K571" s="10"/>
    </row>
    <row r="572" spans="1:11">
      <c r="A572" s="19">
        <v>45132</v>
      </c>
      <c r="B572" t="s">
        <v>1263</v>
      </c>
      <c r="C572" t="s">
        <v>1240</v>
      </c>
      <c r="D572" t="s">
        <v>1232</v>
      </c>
      <c r="E572" t="s">
        <v>1231</v>
      </c>
      <c r="F572" t="s">
        <v>128</v>
      </c>
      <c r="G572" t="s">
        <v>1264</v>
      </c>
      <c r="H572" s="10">
        <v>4</v>
      </c>
      <c r="I572" s="10">
        <v>4336.92</v>
      </c>
      <c r="J572" s="10">
        <v>17347.68</v>
      </c>
      <c r="K572" s="10"/>
    </row>
    <row r="573" spans="1:11">
      <c r="A573" s="19">
        <v>45133</v>
      </c>
      <c r="B573" t="s">
        <v>1252</v>
      </c>
      <c r="C573" t="s">
        <v>1238</v>
      </c>
      <c r="D573" t="s">
        <v>1235</v>
      </c>
      <c r="E573" t="s">
        <v>1231</v>
      </c>
      <c r="F573" t="s">
        <v>1249</v>
      </c>
      <c r="G573" t="s">
        <v>1268</v>
      </c>
      <c r="H573" s="10">
        <v>7</v>
      </c>
      <c r="I573" s="10">
        <v>3168.77</v>
      </c>
      <c r="J573" s="10">
        <v>22181.39</v>
      </c>
      <c r="K573" s="10"/>
    </row>
    <row r="574" spans="1:11">
      <c r="A574" s="19">
        <v>45134</v>
      </c>
      <c r="B574" t="s">
        <v>1263</v>
      </c>
      <c r="C574" t="s">
        <v>1173</v>
      </c>
      <c r="D574" t="s">
        <v>1237</v>
      </c>
      <c r="E574" t="s">
        <v>1229</v>
      </c>
      <c r="F574" t="s">
        <v>145</v>
      </c>
      <c r="G574" t="s">
        <v>1278</v>
      </c>
      <c r="H574" s="10">
        <v>18</v>
      </c>
      <c r="I574" s="10">
        <v>2490.14</v>
      </c>
      <c r="J574" s="10">
        <v>44822.52</v>
      </c>
      <c r="K574" s="10"/>
    </row>
    <row r="575" spans="1:11">
      <c r="A575" s="19">
        <v>45134</v>
      </c>
      <c r="B575" t="s">
        <v>1258</v>
      </c>
      <c r="C575" t="s">
        <v>1169</v>
      </c>
      <c r="D575" t="s">
        <v>1230</v>
      </c>
      <c r="E575" t="s">
        <v>1229</v>
      </c>
      <c r="F575" t="s">
        <v>1249</v>
      </c>
      <c r="G575" t="s">
        <v>1270</v>
      </c>
      <c r="H575" s="10">
        <v>7</v>
      </c>
      <c r="I575" s="10">
        <v>4116.9799999999996</v>
      </c>
      <c r="J575" s="10">
        <v>28818.86</v>
      </c>
      <c r="K575" s="10"/>
    </row>
    <row r="576" spans="1:11">
      <c r="A576" s="19">
        <v>45134</v>
      </c>
      <c r="B576" t="s">
        <v>1252</v>
      </c>
      <c r="C576" t="s">
        <v>1171</v>
      </c>
      <c r="D576" t="s">
        <v>1237</v>
      </c>
      <c r="E576" t="s">
        <v>1229</v>
      </c>
      <c r="F576" t="s">
        <v>128</v>
      </c>
      <c r="G576" t="s">
        <v>1257</v>
      </c>
      <c r="H576" s="10">
        <v>15</v>
      </c>
      <c r="I576" s="10">
        <v>4671.6899999999996</v>
      </c>
      <c r="J576" s="10">
        <v>70075.350000000006</v>
      </c>
      <c r="K576" s="10"/>
    </row>
    <row r="577" spans="1:11">
      <c r="A577" s="19">
        <v>45135</v>
      </c>
      <c r="B577" t="s">
        <v>1267</v>
      </c>
      <c r="C577" t="s">
        <v>1238</v>
      </c>
      <c r="D577" t="s">
        <v>1235</v>
      </c>
      <c r="E577" t="s">
        <v>1231</v>
      </c>
      <c r="F577" t="s">
        <v>132</v>
      </c>
      <c r="G577" t="s">
        <v>1279</v>
      </c>
      <c r="H577" s="10">
        <v>13</v>
      </c>
      <c r="I577" s="10">
        <v>1764.64</v>
      </c>
      <c r="J577" s="10">
        <v>22940.32</v>
      </c>
      <c r="K577" s="10"/>
    </row>
    <row r="578" spans="1:11">
      <c r="A578" s="19">
        <v>45136</v>
      </c>
      <c r="B578" t="s">
        <v>1256</v>
      </c>
      <c r="C578" t="s">
        <v>1169</v>
      </c>
      <c r="D578" t="s">
        <v>1230</v>
      </c>
      <c r="E578" t="s">
        <v>1229</v>
      </c>
      <c r="F578" t="s">
        <v>1249</v>
      </c>
      <c r="G578" t="s">
        <v>1270</v>
      </c>
      <c r="H578" s="10">
        <v>14</v>
      </c>
      <c r="I578" s="10">
        <v>2764.71</v>
      </c>
      <c r="J578" s="10">
        <v>38705.94</v>
      </c>
      <c r="K578" s="10"/>
    </row>
    <row r="579" spans="1:11">
      <c r="A579" s="19">
        <v>45136</v>
      </c>
      <c r="B579" t="s">
        <v>1267</v>
      </c>
      <c r="C579" t="s">
        <v>1234</v>
      </c>
      <c r="D579" t="s">
        <v>1232</v>
      </c>
      <c r="E579" t="s">
        <v>1231</v>
      </c>
      <c r="F579" t="s">
        <v>128</v>
      </c>
      <c r="G579" t="s">
        <v>1266</v>
      </c>
      <c r="H579" s="10">
        <v>14</v>
      </c>
      <c r="I579" s="10">
        <v>816.99</v>
      </c>
      <c r="J579" s="10">
        <v>11437.86</v>
      </c>
      <c r="K579" s="10"/>
    </row>
    <row r="580" spans="1:11">
      <c r="A580" s="19">
        <v>45136</v>
      </c>
      <c r="B580" t="s">
        <v>1269</v>
      </c>
      <c r="C580" t="s">
        <v>1236</v>
      </c>
      <c r="D580" t="s">
        <v>1235</v>
      </c>
      <c r="E580" t="s">
        <v>1231</v>
      </c>
      <c r="F580" t="s">
        <v>1249</v>
      </c>
      <c r="G580" t="s">
        <v>1270</v>
      </c>
      <c r="H580" s="10">
        <v>19</v>
      </c>
      <c r="I580" s="10">
        <v>1120.5999999999999</v>
      </c>
      <c r="J580" s="10">
        <v>21291.4</v>
      </c>
      <c r="K580" s="10"/>
    </row>
    <row r="581" spans="1:11">
      <c r="A581" s="19">
        <v>45137</v>
      </c>
      <c r="B581" t="s">
        <v>1262</v>
      </c>
      <c r="C581" t="s">
        <v>1241</v>
      </c>
      <c r="D581" t="s">
        <v>1235</v>
      </c>
      <c r="E581" t="s">
        <v>1231</v>
      </c>
      <c r="F581" t="s">
        <v>1249</v>
      </c>
      <c r="G581" t="s">
        <v>1272</v>
      </c>
      <c r="H581" s="10">
        <v>15</v>
      </c>
      <c r="I581" s="10">
        <v>3100.61</v>
      </c>
      <c r="J581" s="10">
        <v>46509.15</v>
      </c>
      <c r="K581" s="10"/>
    </row>
    <row r="582" spans="1:11">
      <c r="A582" s="19">
        <v>45137</v>
      </c>
      <c r="B582" t="s">
        <v>1269</v>
      </c>
      <c r="C582" t="s">
        <v>1247</v>
      </c>
      <c r="D582" t="s">
        <v>1243</v>
      </c>
      <c r="E582" t="s">
        <v>1242</v>
      </c>
      <c r="F582" t="s">
        <v>132</v>
      </c>
      <c r="G582" t="s">
        <v>1277</v>
      </c>
      <c r="H582" s="10">
        <v>4</v>
      </c>
      <c r="I582" s="10">
        <v>3015.93</v>
      </c>
      <c r="J582" s="10">
        <v>12063.72</v>
      </c>
      <c r="K582" s="10"/>
    </row>
    <row r="583" spans="1:11">
      <c r="A583" s="19">
        <v>45137</v>
      </c>
      <c r="B583" t="s">
        <v>1263</v>
      </c>
      <c r="C583" t="s">
        <v>1240</v>
      </c>
      <c r="D583" t="s">
        <v>1232</v>
      </c>
      <c r="E583" t="s">
        <v>1231</v>
      </c>
      <c r="F583" t="s">
        <v>128</v>
      </c>
      <c r="G583" t="s">
        <v>1266</v>
      </c>
      <c r="H583" s="10">
        <v>19</v>
      </c>
      <c r="I583" s="10">
        <v>2290.6799999999998</v>
      </c>
      <c r="J583" s="10">
        <v>43522.92</v>
      </c>
      <c r="K583" s="10"/>
    </row>
    <row r="584" spans="1:11">
      <c r="A584" s="19">
        <v>45138</v>
      </c>
      <c r="B584" t="s">
        <v>1265</v>
      </c>
      <c r="C584" t="s">
        <v>1169</v>
      </c>
      <c r="D584" t="s">
        <v>1230</v>
      </c>
      <c r="E584" t="s">
        <v>1229</v>
      </c>
      <c r="F584" t="s">
        <v>145</v>
      </c>
      <c r="G584" t="s">
        <v>1261</v>
      </c>
      <c r="H584" s="10">
        <v>10</v>
      </c>
      <c r="I584" s="10">
        <v>3400.28</v>
      </c>
      <c r="J584" s="10">
        <v>34002.800000000003</v>
      </c>
      <c r="K584" s="10"/>
    </row>
    <row r="585" spans="1:11">
      <c r="A585" s="19">
        <v>45138</v>
      </c>
      <c r="B585" t="s">
        <v>1267</v>
      </c>
      <c r="C585" t="s">
        <v>1248</v>
      </c>
      <c r="D585" t="s">
        <v>1230</v>
      </c>
      <c r="E585" t="s">
        <v>1229</v>
      </c>
      <c r="F585" t="s">
        <v>145</v>
      </c>
      <c r="G585" t="s">
        <v>1255</v>
      </c>
      <c r="H585" s="10">
        <v>6</v>
      </c>
      <c r="I585" s="10">
        <v>3847.76</v>
      </c>
      <c r="J585" s="10">
        <v>23086.560000000001</v>
      </c>
      <c r="K585" s="10"/>
    </row>
    <row r="586" spans="1:11">
      <c r="A586" s="19">
        <v>45138</v>
      </c>
      <c r="B586" t="s">
        <v>1260</v>
      </c>
      <c r="C586" t="s">
        <v>1245</v>
      </c>
      <c r="D586" t="s">
        <v>1243</v>
      </c>
      <c r="E586" t="s">
        <v>1242</v>
      </c>
      <c r="F586" t="s">
        <v>120</v>
      </c>
      <c r="G586" t="s">
        <v>1275</v>
      </c>
      <c r="H586" s="10">
        <v>6</v>
      </c>
      <c r="I586" s="10">
        <v>4197.59</v>
      </c>
      <c r="J586" s="10">
        <v>25185.54</v>
      </c>
      <c r="K586" s="10"/>
    </row>
    <row r="587" spans="1:11">
      <c r="A587" s="19">
        <v>45140</v>
      </c>
      <c r="B587" t="s">
        <v>1269</v>
      </c>
      <c r="C587" t="s">
        <v>1169</v>
      </c>
      <c r="D587" t="s">
        <v>1230</v>
      </c>
      <c r="E587" t="s">
        <v>1229</v>
      </c>
      <c r="F587" t="s">
        <v>128</v>
      </c>
      <c r="G587" t="s">
        <v>1266</v>
      </c>
      <c r="H587" s="10">
        <v>7</v>
      </c>
      <c r="I587" s="10">
        <v>1319.32</v>
      </c>
      <c r="J587" s="10">
        <v>9235.24</v>
      </c>
      <c r="K587" s="10"/>
    </row>
    <row r="588" spans="1:11">
      <c r="A588" s="19">
        <v>45141</v>
      </c>
      <c r="B588" t="s">
        <v>1265</v>
      </c>
      <c r="C588" t="s">
        <v>1246</v>
      </c>
      <c r="D588" t="s">
        <v>1230</v>
      </c>
      <c r="E588" t="s">
        <v>1229</v>
      </c>
      <c r="F588" t="s">
        <v>128</v>
      </c>
      <c r="G588" t="s">
        <v>1257</v>
      </c>
      <c r="H588" s="10">
        <v>6</v>
      </c>
      <c r="I588" s="10">
        <v>3617.81</v>
      </c>
      <c r="J588" s="10">
        <v>21706.86</v>
      </c>
      <c r="K588" s="10"/>
    </row>
    <row r="589" spans="1:11">
      <c r="A589" s="19">
        <v>45141</v>
      </c>
      <c r="B589" t="s">
        <v>1267</v>
      </c>
      <c r="C589" t="s">
        <v>1246</v>
      </c>
      <c r="D589" t="s">
        <v>1230</v>
      </c>
      <c r="E589" t="s">
        <v>1229</v>
      </c>
      <c r="F589" t="s">
        <v>132</v>
      </c>
      <c r="G589" t="s">
        <v>1277</v>
      </c>
      <c r="H589" s="10">
        <v>5</v>
      </c>
      <c r="I589" s="10">
        <v>1530.16</v>
      </c>
      <c r="J589" s="10">
        <v>7650.8</v>
      </c>
      <c r="K589" s="10"/>
    </row>
    <row r="590" spans="1:11">
      <c r="A590" s="19">
        <v>45142</v>
      </c>
      <c r="B590" t="s">
        <v>1252</v>
      </c>
      <c r="C590" t="s">
        <v>1241</v>
      </c>
      <c r="D590" t="s">
        <v>1235</v>
      </c>
      <c r="E590" t="s">
        <v>1231</v>
      </c>
      <c r="F590" t="s">
        <v>120</v>
      </c>
      <c r="G590" t="s">
        <v>1164</v>
      </c>
      <c r="H590" s="10">
        <v>16</v>
      </c>
      <c r="I590" s="10">
        <v>695.96</v>
      </c>
      <c r="J590" s="10">
        <v>11135.36</v>
      </c>
      <c r="K590" s="10"/>
    </row>
    <row r="591" spans="1:11">
      <c r="A591" s="19">
        <v>45142</v>
      </c>
      <c r="B591" t="s">
        <v>1267</v>
      </c>
      <c r="C591" t="s">
        <v>1240</v>
      </c>
      <c r="D591" t="s">
        <v>1232</v>
      </c>
      <c r="E591" t="s">
        <v>1231</v>
      </c>
      <c r="F591" t="s">
        <v>120</v>
      </c>
      <c r="G591" t="s">
        <v>1276</v>
      </c>
      <c r="H591" s="10">
        <v>8</v>
      </c>
      <c r="I591" s="10">
        <v>528.92999999999995</v>
      </c>
      <c r="J591" s="10">
        <v>4231.4399999999996</v>
      </c>
      <c r="K591" s="10"/>
    </row>
    <row r="592" spans="1:11">
      <c r="A592" s="19">
        <v>45142</v>
      </c>
      <c r="B592" t="s">
        <v>1254</v>
      </c>
      <c r="C592" t="s">
        <v>1169</v>
      </c>
      <c r="D592" t="s">
        <v>1230</v>
      </c>
      <c r="E592" t="s">
        <v>1229</v>
      </c>
      <c r="F592" t="s">
        <v>145</v>
      </c>
      <c r="G592" t="s">
        <v>1278</v>
      </c>
      <c r="H592" s="10">
        <v>19</v>
      </c>
      <c r="I592" s="10">
        <v>1372.28</v>
      </c>
      <c r="J592" s="10">
        <v>26073.32</v>
      </c>
      <c r="K592" s="10"/>
    </row>
    <row r="593" spans="1:11">
      <c r="A593" s="19">
        <v>45142</v>
      </c>
      <c r="B593" t="s">
        <v>1260</v>
      </c>
      <c r="C593" t="s">
        <v>1240</v>
      </c>
      <c r="D593" t="s">
        <v>1232</v>
      </c>
      <c r="E593" t="s">
        <v>1231</v>
      </c>
      <c r="F593" t="s">
        <v>1249</v>
      </c>
      <c r="G593" t="s">
        <v>1268</v>
      </c>
      <c r="H593" s="10">
        <v>15</v>
      </c>
      <c r="I593" s="10">
        <v>2472.8000000000002</v>
      </c>
      <c r="J593" s="10">
        <v>37092</v>
      </c>
      <c r="K593" s="10"/>
    </row>
    <row r="594" spans="1:11">
      <c r="A594" s="19">
        <v>45143</v>
      </c>
      <c r="B594" t="s">
        <v>1258</v>
      </c>
      <c r="C594" t="s">
        <v>1173</v>
      </c>
      <c r="D594" t="s">
        <v>1237</v>
      </c>
      <c r="E594" t="s">
        <v>1229</v>
      </c>
      <c r="F594" t="s">
        <v>1249</v>
      </c>
      <c r="G594" t="s">
        <v>1268</v>
      </c>
      <c r="H594" s="10">
        <v>14</v>
      </c>
      <c r="I594" s="10">
        <v>2134.06</v>
      </c>
      <c r="J594" s="10">
        <v>29876.84</v>
      </c>
      <c r="K594" s="10"/>
    </row>
    <row r="595" spans="1:11">
      <c r="A595" s="19">
        <v>45143</v>
      </c>
      <c r="B595" t="s">
        <v>1265</v>
      </c>
      <c r="C595" t="s">
        <v>1233</v>
      </c>
      <c r="D595" t="s">
        <v>1232</v>
      </c>
      <c r="E595" t="s">
        <v>1231</v>
      </c>
      <c r="F595" t="s">
        <v>120</v>
      </c>
      <c r="G595" t="s">
        <v>1276</v>
      </c>
      <c r="H595" s="10">
        <v>4</v>
      </c>
      <c r="I595" s="10">
        <v>4062.52</v>
      </c>
      <c r="J595" s="10">
        <v>16250.08</v>
      </c>
      <c r="K595" s="10"/>
    </row>
    <row r="596" spans="1:11">
      <c r="A596" s="19">
        <v>45143</v>
      </c>
      <c r="B596" t="s">
        <v>1256</v>
      </c>
      <c r="C596" t="s">
        <v>1236</v>
      </c>
      <c r="D596" t="s">
        <v>1235</v>
      </c>
      <c r="E596" t="s">
        <v>1231</v>
      </c>
      <c r="F596" t="s">
        <v>132</v>
      </c>
      <c r="G596" t="s">
        <v>1253</v>
      </c>
      <c r="H596" s="10">
        <v>4</v>
      </c>
      <c r="I596" s="10">
        <v>2457.5</v>
      </c>
      <c r="J596" s="10">
        <v>9830</v>
      </c>
      <c r="K596" s="10"/>
    </row>
    <row r="597" spans="1:11">
      <c r="A597" s="19">
        <v>45143</v>
      </c>
      <c r="B597" t="s">
        <v>1267</v>
      </c>
      <c r="C597" t="s">
        <v>1248</v>
      </c>
      <c r="D597" t="s">
        <v>1230</v>
      </c>
      <c r="E597" t="s">
        <v>1229</v>
      </c>
      <c r="F597" t="s">
        <v>128</v>
      </c>
      <c r="G597" t="s">
        <v>1257</v>
      </c>
      <c r="H597" s="10">
        <v>20</v>
      </c>
      <c r="I597" s="10">
        <v>4428.59</v>
      </c>
      <c r="J597" s="10">
        <v>88571.8</v>
      </c>
      <c r="K597" s="10"/>
    </row>
    <row r="598" spans="1:11">
      <c r="A598" s="19">
        <v>45143</v>
      </c>
      <c r="B598" t="s">
        <v>1256</v>
      </c>
      <c r="C598" t="s">
        <v>1247</v>
      </c>
      <c r="D598" t="s">
        <v>1243</v>
      </c>
      <c r="E598" t="s">
        <v>1242</v>
      </c>
      <c r="F598" t="s">
        <v>145</v>
      </c>
      <c r="G598" t="s">
        <v>1274</v>
      </c>
      <c r="H598" s="10">
        <v>1</v>
      </c>
      <c r="I598" s="10">
        <v>2366.64</v>
      </c>
      <c r="J598" s="10">
        <v>2366.64</v>
      </c>
      <c r="K598" s="10"/>
    </row>
    <row r="599" spans="1:11">
      <c r="A599" s="19">
        <v>45144</v>
      </c>
      <c r="B599" t="s">
        <v>1263</v>
      </c>
      <c r="C599" t="s">
        <v>1233</v>
      </c>
      <c r="D599" t="s">
        <v>1232</v>
      </c>
      <c r="E599" t="s">
        <v>1231</v>
      </c>
      <c r="F599" t="s">
        <v>1249</v>
      </c>
      <c r="G599" t="s">
        <v>1272</v>
      </c>
      <c r="H599" s="10">
        <v>6</v>
      </c>
      <c r="I599" s="10">
        <v>3842.46</v>
      </c>
      <c r="J599" s="10">
        <v>23054.76</v>
      </c>
      <c r="K599" s="10"/>
    </row>
    <row r="600" spans="1:11">
      <c r="A600" s="19">
        <v>45144</v>
      </c>
      <c r="B600" t="s">
        <v>1262</v>
      </c>
      <c r="C600" t="s">
        <v>1234</v>
      </c>
      <c r="D600" t="s">
        <v>1232</v>
      </c>
      <c r="E600" t="s">
        <v>1231</v>
      </c>
      <c r="F600" t="s">
        <v>128</v>
      </c>
      <c r="G600" t="s">
        <v>1273</v>
      </c>
      <c r="H600" s="10">
        <v>13</v>
      </c>
      <c r="I600" s="10">
        <v>566.55999999999995</v>
      </c>
      <c r="J600" s="10">
        <v>7365.28</v>
      </c>
      <c r="K600" s="10"/>
    </row>
    <row r="601" spans="1:11">
      <c r="A601" s="19">
        <v>45145</v>
      </c>
      <c r="B601" t="s">
        <v>1258</v>
      </c>
      <c r="C601" t="s">
        <v>1171</v>
      </c>
      <c r="D601" t="s">
        <v>1237</v>
      </c>
      <c r="E601" t="s">
        <v>1229</v>
      </c>
      <c r="F601" t="s">
        <v>1249</v>
      </c>
      <c r="G601" t="s">
        <v>1259</v>
      </c>
      <c r="H601" s="10">
        <v>17</v>
      </c>
      <c r="I601" s="10">
        <v>1240.77</v>
      </c>
      <c r="J601" s="10">
        <v>21093.09</v>
      </c>
      <c r="K601" s="10"/>
    </row>
    <row r="602" spans="1:11">
      <c r="A602" s="19">
        <v>45145</v>
      </c>
      <c r="B602" t="s">
        <v>1263</v>
      </c>
      <c r="C602" t="s">
        <v>1244</v>
      </c>
      <c r="D602" t="s">
        <v>1243</v>
      </c>
      <c r="E602" t="s">
        <v>1242</v>
      </c>
      <c r="F602" t="s">
        <v>128</v>
      </c>
      <c r="G602" t="s">
        <v>1264</v>
      </c>
      <c r="H602" s="10">
        <v>3</v>
      </c>
      <c r="I602" s="10">
        <v>2488.34</v>
      </c>
      <c r="J602" s="10">
        <v>7465.02</v>
      </c>
      <c r="K602" s="10"/>
    </row>
    <row r="603" spans="1:11">
      <c r="A603" s="19">
        <v>45145</v>
      </c>
      <c r="B603" t="s">
        <v>1252</v>
      </c>
      <c r="C603" t="s">
        <v>1169</v>
      </c>
      <c r="D603" t="s">
        <v>1230</v>
      </c>
      <c r="E603" t="s">
        <v>1229</v>
      </c>
      <c r="F603" t="s">
        <v>145</v>
      </c>
      <c r="G603" t="s">
        <v>1274</v>
      </c>
      <c r="H603" s="10">
        <v>11</v>
      </c>
      <c r="I603" s="10">
        <v>3687.73</v>
      </c>
      <c r="J603" s="10">
        <v>40565.03</v>
      </c>
      <c r="K603" s="10"/>
    </row>
    <row r="604" spans="1:11">
      <c r="A604" s="19">
        <v>45145</v>
      </c>
      <c r="B604" t="s">
        <v>1265</v>
      </c>
      <c r="C604" t="s">
        <v>1238</v>
      </c>
      <c r="D604" t="s">
        <v>1235</v>
      </c>
      <c r="E604" t="s">
        <v>1231</v>
      </c>
      <c r="F604" t="s">
        <v>1249</v>
      </c>
      <c r="G604" t="s">
        <v>1268</v>
      </c>
      <c r="H604" s="10">
        <v>2</v>
      </c>
      <c r="I604" s="10">
        <v>4883.5600000000004</v>
      </c>
      <c r="J604" s="10">
        <v>9767.1200000000008</v>
      </c>
      <c r="K604" s="10"/>
    </row>
    <row r="605" spans="1:11">
      <c r="A605" s="19">
        <v>45145</v>
      </c>
      <c r="B605" t="s">
        <v>1256</v>
      </c>
      <c r="C605" t="s">
        <v>1238</v>
      </c>
      <c r="D605" t="s">
        <v>1235</v>
      </c>
      <c r="E605" t="s">
        <v>1231</v>
      </c>
      <c r="F605" t="s">
        <v>145</v>
      </c>
      <c r="G605" t="s">
        <v>1278</v>
      </c>
      <c r="H605" s="10">
        <v>12</v>
      </c>
      <c r="I605" s="10">
        <v>2820.88</v>
      </c>
      <c r="J605" s="10">
        <v>33850.559999999998</v>
      </c>
      <c r="K605" s="10"/>
    </row>
    <row r="606" spans="1:11">
      <c r="A606" s="19">
        <v>45146</v>
      </c>
      <c r="B606" t="s">
        <v>1254</v>
      </c>
      <c r="C606" t="s">
        <v>1173</v>
      </c>
      <c r="D606" t="s">
        <v>1237</v>
      </c>
      <c r="E606" t="s">
        <v>1229</v>
      </c>
      <c r="F606" t="s">
        <v>132</v>
      </c>
      <c r="G606" t="s">
        <v>1271</v>
      </c>
      <c r="H606" s="10">
        <v>3</v>
      </c>
      <c r="I606" s="10">
        <v>1417.18</v>
      </c>
      <c r="J606" s="10">
        <v>4251.54</v>
      </c>
      <c r="K606" s="10"/>
    </row>
    <row r="607" spans="1:11">
      <c r="A607" s="19">
        <v>45146</v>
      </c>
      <c r="B607" t="s">
        <v>1267</v>
      </c>
      <c r="C607" t="s">
        <v>1173</v>
      </c>
      <c r="D607" t="s">
        <v>1237</v>
      </c>
      <c r="E607" t="s">
        <v>1229</v>
      </c>
      <c r="F607" t="s">
        <v>128</v>
      </c>
      <c r="G607" t="s">
        <v>1264</v>
      </c>
      <c r="H607" s="10">
        <v>10</v>
      </c>
      <c r="I607" s="10">
        <v>4304.71</v>
      </c>
      <c r="J607" s="10">
        <v>43047.1</v>
      </c>
      <c r="K607" s="10"/>
    </row>
    <row r="608" spans="1:11">
      <c r="A608" s="19">
        <v>45146</v>
      </c>
      <c r="B608" t="s">
        <v>1262</v>
      </c>
      <c r="C608" t="s">
        <v>1234</v>
      </c>
      <c r="D608" t="s">
        <v>1232</v>
      </c>
      <c r="E608" t="s">
        <v>1231</v>
      </c>
      <c r="F608" t="s">
        <v>120</v>
      </c>
      <c r="G608" t="s">
        <v>1276</v>
      </c>
      <c r="H608" s="10">
        <v>2</v>
      </c>
      <c r="I608" s="10">
        <v>2078.33</v>
      </c>
      <c r="J608" s="10">
        <v>4156.66</v>
      </c>
      <c r="K608" s="10"/>
    </row>
    <row r="609" spans="1:11">
      <c r="A609" s="19">
        <v>45147</v>
      </c>
      <c r="B609" t="s">
        <v>1260</v>
      </c>
      <c r="C609" t="s">
        <v>1246</v>
      </c>
      <c r="D609" t="s">
        <v>1230</v>
      </c>
      <c r="E609" t="s">
        <v>1229</v>
      </c>
      <c r="F609" t="s">
        <v>128</v>
      </c>
      <c r="G609" t="s">
        <v>1264</v>
      </c>
      <c r="H609" s="10">
        <v>18</v>
      </c>
      <c r="I609" s="10">
        <v>1582.02</v>
      </c>
      <c r="J609" s="10">
        <v>28476.36</v>
      </c>
      <c r="K609" s="10"/>
    </row>
    <row r="610" spans="1:11">
      <c r="A610" s="19">
        <v>45147</v>
      </c>
      <c r="B610" t="s">
        <v>1258</v>
      </c>
      <c r="C610" t="s">
        <v>1241</v>
      </c>
      <c r="D610" t="s">
        <v>1235</v>
      </c>
      <c r="E610" t="s">
        <v>1231</v>
      </c>
      <c r="F610" t="s">
        <v>120</v>
      </c>
      <c r="G610" t="s">
        <v>1275</v>
      </c>
      <c r="H610" s="10">
        <v>5</v>
      </c>
      <c r="I610" s="10">
        <v>194.7</v>
      </c>
      <c r="J610" s="10">
        <v>973.5</v>
      </c>
      <c r="K610" s="10"/>
    </row>
    <row r="611" spans="1:11">
      <c r="A611" s="19">
        <v>45147</v>
      </c>
      <c r="B611" t="s">
        <v>1265</v>
      </c>
      <c r="C611" t="s">
        <v>1171</v>
      </c>
      <c r="D611" t="s">
        <v>1237</v>
      </c>
      <c r="E611" t="s">
        <v>1229</v>
      </c>
      <c r="F611" t="s">
        <v>1249</v>
      </c>
      <c r="G611" t="s">
        <v>1259</v>
      </c>
      <c r="H611" s="10">
        <v>4</v>
      </c>
      <c r="I611" s="10">
        <v>3246.52</v>
      </c>
      <c r="J611" s="10">
        <v>12986.08</v>
      </c>
      <c r="K611" s="10"/>
    </row>
    <row r="612" spans="1:11">
      <c r="A612" s="19">
        <v>45148</v>
      </c>
      <c r="B612" t="s">
        <v>1258</v>
      </c>
      <c r="C612" t="s">
        <v>1171</v>
      </c>
      <c r="D612" t="s">
        <v>1237</v>
      </c>
      <c r="E612" t="s">
        <v>1229</v>
      </c>
      <c r="F612" t="s">
        <v>120</v>
      </c>
      <c r="G612" t="s">
        <v>1164</v>
      </c>
      <c r="H612" s="10">
        <v>10</v>
      </c>
      <c r="I612" s="10">
        <v>1693.46</v>
      </c>
      <c r="J612" s="10">
        <v>16934.599999999999</v>
      </c>
      <c r="K612" s="10"/>
    </row>
    <row r="613" spans="1:11">
      <c r="A613" s="19">
        <v>45148</v>
      </c>
      <c r="B613" t="s">
        <v>1260</v>
      </c>
      <c r="C613" t="s">
        <v>1244</v>
      </c>
      <c r="D613" t="s">
        <v>1243</v>
      </c>
      <c r="E613" t="s">
        <v>1242</v>
      </c>
      <c r="F613" t="s">
        <v>128</v>
      </c>
      <c r="G613" t="s">
        <v>1257</v>
      </c>
      <c r="H613" s="10">
        <v>17</v>
      </c>
      <c r="I613" s="10">
        <v>102.62</v>
      </c>
      <c r="J613" s="10">
        <v>1744.54</v>
      </c>
      <c r="K613" s="10"/>
    </row>
    <row r="614" spans="1:11">
      <c r="A614" s="19">
        <v>45148</v>
      </c>
      <c r="B614" t="s">
        <v>1269</v>
      </c>
      <c r="C614" t="s">
        <v>1233</v>
      </c>
      <c r="D614" t="s">
        <v>1232</v>
      </c>
      <c r="E614" t="s">
        <v>1231</v>
      </c>
      <c r="F614" t="s">
        <v>128</v>
      </c>
      <c r="G614" t="s">
        <v>1264</v>
      </c>
      <c r="H614" s="10">
        <v>7</v>
      </c>
      <c r="I614" s="10">
        <v>4029.58</v>
      </c>
      <c r="J614" s="10">
        <v>28207.06</v>
      </c>
      <c r="K614" s="10"/>
    </row>
    <row r="615" spans="1:11">
      <c r="A615" s="19">
        <v>45148</v>
      </c>
      <c r="B615" t="s">
        <v>1254</v>
      </c>
      <c r="C615" t="s">
        <v>1236</v>
      </c>
      <c r="D615" t="s">
        <v>1235</v>
      </c>
      <c r="E615" t="s">
        <v>1231</v>
      </c>
      <c r="F615" t="s">
        <v>120</v>
      </c>
      <c r="G615" t="s">
        <v>1164</v>
      </c>
      <c r="H615" s="10">
        <v>8</v>
      </c>
      <c r="I615" s="10">
        <v>2518.13</v>
      </c>
      <c r="J615" s="10">
        <v>20145.04</v>
      </c>
      <c r="K615" s="10"/>
    </row>
    <row r="616" spans="1:11">
      <c r="A616" s="19">
        <v>45148</v>
      </c>
      <c r="B616" t="s">
        <v>1262</v>
      </c>
      <c r="C616" t="s">
        <v>1247</v>
      </c>
      <c r="D616" t="s">
        <v>1243</v>
      </c>
      <c r="E616" t="s">
        <v>1242</v>
      </c>
      <c r="F616" t="s">
        <v>120</v>
      </c>
      <c r="G616" t="s">
        <v>1276</v>
      </c>
      <c r="H616" s="10">
        <v>9</v>
      </c>
      <c r="I616" s="10">
        <v>4726.68</v>
      </c>
      <c r="J616" s="10">
        <v>42540.12</v>
      </c>
      <c r="K616" s="10"/>
    </row>
    <row r="617" spans="1:11">
      <c r="A617" s="19">
        <v>45149</v>
      </c>
      <c r="B617" t="s">
        <v>1263</v>
      </c>
      <c r="C617" t="s">
        <v>1245</v>
      </c>
      <c r="D617" t="s">
        <v>1243</v>
      </c>
      <c r="E617" t="s">
        <v>1242</v>
      </c>
      <c r="F617" t="s">
        <v>120</v>
      </c>
      <c r="G617" t="s">
        <v>1275</v>
      </c>
      <c r="H617" s="10">
        <v>7</v>
      </c>
      <c r="I617" s="10">
        <v>2187.71</v>
      </c>
      <c r="J617" s="10">
        <v>15313.97</v>
      </c>
      <c r="K617" s="10"/>
    </row>
    <row r="618" spans="1:11">
      <c r="A618" s="19">
        <v>45149</v>
      </c>
      <c r="B618" t="s">
        <v>1252</v>
      </c>
      <c r="C618" t="s">
        <v>1234</v>
      </c>
      <c r="D618" t="s">
        <v>1232</v>
      </c>
      <c r="E618" t="s">
        <v>1231</v>
      </c>
      <c r="F618" t="s">
        <v>120</v>
      </c>
      <c r="G618" t="s">
        <v>1164</v>
      </c>
      <c r="H618" s="10">
        <v>13</v>
      </c>
      <c r="I618" s="10">
        <v>3994.86</v>
      </c>
      <c r="J618" s="10">
        <v>51933.18</v>
      </c>
      <c r="K618" s="10"/>
    </row>
    <row r="619" spans="1:11">
      <c r="A619" s="19">
        <v>45149</v>
      </c>
      <c r="B619" t="s">
        <v>1254</v>
      </c>
      <c r="C619" t="s">
        <v>1240</v>
      </c>
      <c r="D619" t="s">
        <v>1232</v>
      </c>
      <c r="E619" t="s">
        <v>1231</v>
      </c>
      <c r="F619" t="s">
        <v>1249</v>
      </c>
      <c r="G619" t="s">
        <v>1272</v>
      </c>
      <c r="H619" s="10">
        <v>11</v>
      </c>
      <c r="I619" s="10">
        <v>2182.46</v>
      </c>
      <c r="J619" s="10">
        <v>24007.06</v>
      </c>
      <c r="K619" s="10"/>
    </row>
    <row r="620" spans="1:11">
      <c r="A620" s="19">
        <v>45150</v>
      </c>
      <c r="B620" t="s">
        <v>1263</v>
      </c>
      <c r="C620" t="s">
        <v>1239</v>
      </c>
      <c r="D620" t="s">
        <v>1237</v>
      </c>
      <c r="E620" t="s">
        <v>1229</v>
      </c>
      <c r="F620" t="s">
        <v>145</v>
      </c>
      <c r="G620" t="s">
        <v>1278</v>
      </c>
      <c r="H620" s="10">
        <v>20</v>
      </c>
      <c r="I620" s="10">
        <v>3203.76</v>
      </c>
      <c r="J620" s="10">
        <v>64075.199999999997</v>
      </c>
      <c r="K620" s="10"/>
    </row>
    <row r="621" spans="1:11">
      <c r="A621" s="19">
        <v>45150</v>
      </c>
      <c r="B621" t="s">
        <v>1252</v>
      </c>
      <c r="C621" t="s">
        <v>1171</v>
      </c>
      <c r="D621" t="s">
        <v>1237</v>
      </c>
      <c r="E621" t="s">
        <v>1229</v>
      </c>
      <c r="F621" t="s">
        <v>1249</v>
      </c>
      <c r="G621" t="s">
        <v>1259</v>
      </c>
      <c r="H621" s="10">
        <v>11</v>
      </c>
      <c r="I621" s="10">
        <v>1749.31</v>
      </c>
      <c r="J621" s="10">
        <v>19242.41</v>
      </c>
      <c r="K621" s="10"/>
    </row>
    <row r="622" spans="1:11">
      <c r="A622" s="19">
        <v>45150</v>
      </c>
      <c r="B622" t="s">
        <v>1269</v>
      </c>
      <c r="C622" t="s">
        <v>1241</v>
      </c>
      <c r="D622" t="s">
        <v>1235</v>
      </c>
      <c r="E622" t="s">
        <v>1231</v>
      </c>
      <c r="F622" t="s">
        <v>1249</v>
      </c>
      <c r="G622" t="s">
        <v>1259</v>
      </c>
      <c r="H622" s="10">
        <v>6</v>
      </c>
      <c r="I622" s="10">
        <v>203.88</v>
      </c>
      <c r="J622" s="10">
        <v>1223.28</v>
      </c>
      <c r="K622" s="10"/>
    </row>
    <row r="623" spans="1:11">
      <c r="A623" s="19">
        <v>45151</v>
      </c>
      <c r="B623" t="s">
        <v>1260</v>
      </c>
      <c r="C623" t="s">
        <v>1245</v>
      </c>
      <c r="D623" t="s">
        <v>1243</v>
      </c>
      <c r="E623" t="s">
        <v>1242</v>
      </c>
      <c r="F623" t="s">
        <v>120</v>
      </c>
      <c r="G623" t="s">
        <v>1164</v>
      </c>
      <c r="H623" s="10">
        <v>11</v>
      </c>
      <c r="I623" s="10">
        <v>2133.36</v>
      </c>
      <c r="J623" s="10">
        <v>23466.959999999999</v>
      </c>
      <c r="K623" s="10"/>
    </row>
    <row r="624" spans="1:11">
      <c r="A624" s="19">
        <v>45151</v>
      </c>
      <c r="B624" t="s">
        <v>1254</v>
      </c>
      <c r="C624" t="s">
        <v>1238</v>
      </c>
      <c r="D624" t="s">
        <v>1235</v>
      </c>
      <c r="E624" t="s">
        <v>1231</v>
      </c>
      <c r="F624" t="s">
        <v>128</v>
      </c>
      <c r="G624" t="s">
        <v>1273</v>
      </c>
      <c r="H624" s="10">
        <v>4</v>
      </c>
      <c r="I624" s="10">
        <v>3659.61</v>
      </c>
      <c r="J624" s="10">
        <v>14638.44</v>
      </c>
      <c r="K624" s="10"/>
    </row>
    <row r="625" spans="1:11">
      <c r="A625" s="19">
        <v>45152</v>
      </c>
      <c r="B625" t="s">
        <v>1254</v>
      </c>
      <c r="C625" t="s">
        <v>1238</v>
      </c>
      <c r="D625" t="s">
        <v>1235</v>
      </c>
      <c r="E625" t="s">
        <v>1231</v>
      </c>
      <c r="F625" t="s">
        <v>132</v>
      </c>
      <c r="G625" t="s">
        <v>1271</v>
      </c>
      <c r="H625" s="10">
        <v>3</v>
      </c>
      <c r="I625" s="10">
        <v>3389.2</v>
      </c>
      <c r="J625" s="10">
        <v>10167.6</v>
      </c>
      <c r="K625" s="10"/>
    </row>
    <row r="626" spans="1:11">
      <c r="A626" s="19">
        <v>45152</v>
      </c>
      <c r="B626" t="s">
        <v>1258</v>
      </c>
      <c r="C626" t="s">
        <v>1236</v>
      </c>
      <c r="D626" t="s">
        <v>1235</v>
      </c>
      <c r="E626" t="s">
        <v>1231</v>
      </c>
      <c r="F626" t="s">
        <v>132</v>
      </c>
      <c r="G626" t="s">
        <v>1277</v>
      </c>
      <c r="H626" s="10">
        <v>20</v>
      </c>
      <c r="I626" s="10">
        <v>2791.25</v>
      </c>
      <c r="J626" s="10">
        <v>55825</v>
      </c>
      <c r="K626" s="10"/>
    </row>
    <row r="627" spans="1:11">
      <c r="A627" s="19">
        <v>45153</v>
      </c>
      <c r="B627" t="s">
        <v>1267</v>
      </c>
      <c r="C627" t="s">
        <v>1247</v>
      </c>
      <c r="D627" t="s">
        <v>1243</v>
      </c>
      <c r="E627" t="s">
        <v>1242</v>
      </c>
      <c r="F627" t="s">
        <v>145</v>
      </c>
      <c r="G627" t="s">
        <v>1274</v>
      </c>
      <c r="H627" s="10">
        <v>3</v>
      </c>
      <c r="I627" s="10">
        <v>2792.38</v>
      </c>
      <c r="J627" s="10">
        <v>8377.14</v>
      </c>
      <c r="K627" s="10"/>
    </row>
    <row r="628" spans="1:11">
      <c r="A628" s="19">
        <v>45153</v>
      </c>
      <c r="B628" t="s">
        <v>1254</v>
      </c>
      <c r="C628" t="s">
        <v>1245</v>
      </c>
      <c r="D628" t="s">
        <v>1243</v>
      </c>
      <c r="E628" t="s">
        <v>1242</v>
      </c>
      <c r="F628" t="s">
        <v>128</v>
      </c>
      <c r="G628" t="s">
        <v>1266</v>
      </c>
      <c r="H628" s="10">
        <v>19</v>
      </c>
      <c r="I628" s="10">
        <v>3822.54</v>
      </c>
      <c r="J628" s="10">
        <v>72628.259999999995</v>
      </c>
      <c r="K628" s="10"/>
    </row>
    <row r="629" spans="1:11">
      <c r="A629" s="19">
        <v>45154</v>
      </c>
      <c r="B629" t="s">
        <v>1265</v>
      </c>
      <c r="C629" t="s">
        <v>1171</v>
      </c>
      <c r="D629" t="s">
        <v>1237</v>
      </c>
      <c r="E629" t="s">
        <v>1229</v>
      </c>
      <c r="F629" t="s">
        <v>128</v>
      </c>
      <c r="G629" t="s">
        <v>1257</v>
      </c>
      <c r="H629" s="10">
        <v>4</v>
      </c>
      <c r="I629" s="10">
        <v>4298.3500000000004</v>
      </c>
      <c r="J629" s="10">
        <v>17193.400000000001</v>
      </c>
      <c r="K629" s="10"/>
    </row>
    <row r="630" spans="1:11">
      <c r="A630" s="19">
        <v>45156</v>
      </c>
      <c r="B630" t="s">
        <v>1252</v>
      </c>
      <c r="C630" t="s">
        <v>1233</v>
      </c>
      <c r="D630" t="s">
        <v>1232</v>
      </c>
      <c r="E630" t="s">
        <v>1231</v>
      </c>
      <c r="F630" t="s">
        <v>145</v>
      </c>
      <c r="G630" t="s">
        <v>1274</v>
      </c>
      <c r="H630" s="10">
        <v>15</v>
      </c>
      <c r="I630" s="10">
        <v>202.66</v>
      </c>
      <c r="J630" s="10">
        <v>3039.9</v>
      </c>
      <c r="K630" s="10"/>
    </row>
    <row r="631" spans="1:11">
      <c r="A631" s="19">
        <v>45157</v>
      </c>
      <c r="B631" t="s">
        <v>1252</v>
      </c>
      <c r="C631" t="s">
        <v>1239</v>
      </c>
      <c r="D631" t="s">
        <v>1237</v>
      </c>
      <c r="E631" t="s">
        <v>1229</v>
      </c>
      <c r="F631" t="s">
        <v>132</v>
      </c>
      <c r="G631" t="s">
        <v>1277</v>
      </c>
      <c r="H631" s="10">
        <v>16</v>
      </c>
      <c r="I631" s="10">
        <v>3369.55</v>
      </c>
      <c r="J631" s="10">
        <v>53912.800000000003</v>
      </c>
      <c r="K631" s="10"/>
    </row>
    <row r="632" spans="1:11">
      <c r="A632" s="19">
        <v>45157</v>
      </c>
      <c r="B632" t="s">
        <v>1265</v>
      </c>
      <c r="C632" t="s">
        <v>1241</v>
      </c>
      <c r="D632" t="s">
        <v>1235</v>
      </c>
      <c r="E632" t="s">
        <v>1231</v>
      </c>
      <c r="F632" t="s">
        <v>128</v>
      </c>
      <c r="G632" t="s">
        <v>1273</v>
      </c>
      <c r="H632" s="10">
        <v>14</v>
      </c>
      <c r="I632" s="10">
        <v>1729.16</v>
      </c>
      <c r="J632" s="10">
        <v>24208.240000000002</v>
      </c>
      <c r="K632" s="10"/>
    </row>
    <row r="633" spans="1:11">
      <c r="A633" s="19">
        <v>45157</v>
      </c>
      <c r="B633" t="s">
        <v>1265</v>
      </c>
      <c r="C633" t="s">
        <v>1247</v>
      </c>
      <c r="D633" t="s">
        <v>1243</v>
      </c>
      <c r="E633" t="s">
        <v>1242</v>
      </c>
      <c r="F633" t="s">
        <v>132</v>
      </c>
      <c r="G633" t="s">
        <v>1253</v>
      </c>
      <c r="H633" s="10">
        <v>9</v>
      </c>
      <c r="I633" s="10">
        <v>1720.47</v>
      </c>
      <c r="J633" s="10">
        <v>15484.23</v>
      </c>
      <c r="K633" s="10"/>
    </row>
    <row r="634" spans="1:11">
      <c r="A634" s="19">
        <v>45157</v>
      </c>
      <c r="B634" t="s">
        <v>1252</v>
      </c>
      <c r="C634" t="s">
        <v>1169</v>
      </c>
      <c r="D634" t="s">
        <v>1230</v>
      </c>
      <c r="E634" t="s">
        <v>1229</v>
      </c>
      <c r="F634" t="s">
        <v>132</v>
      </c>
      <c r="G634" t="s">
        <v>1279</v>
      </c>
      <c r="H634" s="10">
        <v>14</v>
      </c>
      <c r="I634" s="10">
        <v>4793.38</v>
      </c>
      <c r="J634" s="10">
        <v>67107.320000000007</v>
      </c>
      <c r="K634" s="10"/>
    </row>
    <row r="635" spans="1:11">
      <c r="A635" s="19">
        <v>45158</v>
      </c>
      <c r="B635" t="s">
        <v>1258</v>
      </c>
      <c r="C635" t="s">
        <v>1234</v>
      </c>
      <c r="D635" t="s">
        <v>1232</v>
      </c>
      <c r="E635" t="s">
        <v>1231</v>
      </c>
      <c r="F635" t="s">
        <v>1249</v>
      </c>
      <c r="G635" t="s">
        <v>1268</v>
      </c>
      <c r="H635" s="10">
        <v>11</v>
      </c>
      <c r="I635" s="10">
        <v>1527.71</v>
      </c>
      <c r="J635" s="10">
        <v>16804.810000000001</v>
      </c>
      <c r="K635" s="10"/>
    </row>
    <row r="636" spans="1:11">
      <c r="A636" s="19">
        <v>45158</v>
      </c>
      <c r="B636" t="s">
        <v>1260</v>
      </c>
      <c r="C636" t="s">
        <v>1246</v>
      </c>
      <c r="D636" t="s">
        <v>1230</v>
      </c>
      <c r="E636" t="s">
        <v>1229</v>
      </c>
      <c r="F636" t="s">
        <v>1249</v>
      </c>
      <c r="G636" t="s">
        <v>1272</v>
      </c>
      <c r="H636" s="10">
        <v>9</v>
      </c>
      <c r="I636" s="10">
        <v>1558.74</v>
      </c>
      <c r="J636" s="10">
        <v>14028.66</v>
      </c>
      <c r="K636" s="10"/>
    </row>
    <row r="637" spans="1:11">
      <c r="A637" s="19">
        <v>45158</v>
      </c>
      <c r="B637" t="s">
        <v>1267</v>
      </c>
      <c r="C637" t="s">
        <v>1240</v>
      </c>
      <c r="D637" t="s">
        <v>1232</v>
      </c>
      <c r="E637" t="s">
        <v>1231</v>
      </c>
      <c r="F637" t="s">
        <v>145</v>
      </c>
      <c r="G637" t="s">
        <v>1278</v>
      </c>
      <c r="H637" s="10">
        <v>18</v>
      </c>
      <c r="I637" s="10">
        <v>3002.55</v>
      </c>
      <c r="J637" s="10">
        <v>54045.9</v>
      </c>
      <c r="K637" s="10"/>
    </row>
    <row r="638" spans="1:11">
      <c r="A638" s="19">
        <v>45159</v>
      </c>
      <c r="B638" t="s">
        <v>1263</v>
      </c>
      <c r="C638" t="s">
        <v>1248</v>
      </c>
      <c r="D638" t="s">
        <v>1230</v>
      </c>
      <c r="E638" t="s">
        <v>1229</v>
      </c>
      <c r="F638" t="s">
        <v>132</v>
      </c>
      <c r="G638" t="s">
        <v>1271</v>
      </c>
      <c r="H638" s="10">
        <v>10</v>
      </c>
      <c r="I638" s="10">
        <v>1097.83</v>
      </c>
      <c r="J638" s="10">
        <v>10978.3</v>
      </c>
      <c r="K638" s="10"/>
    </row>
    <row r="639" spans="1:11">
      <c r="A639" s="19">
        <v>45159</v>
      </c>
      <c r="B639" t="s">
        <v>1252</v>
      </c>
      <c r="C639" t="s">
        <v>1234</v>
      </c>
      <c r="D639" t="s">
        <v>1232</v>
      </c>
      <c r="E639" t="s">
        <v>1231</v>
      </c>
      <c r="F639" t="s">
        <v>1249</v>
      </c>
      <c r="G639" t="s">
        <v>1268</v>
      </c>
      <c r="H639" s="10">
        <v>6</v>
      </c>
      <c r="I639" s="10">
        <v>746.23</v>
      </c>
      <c r="J639" s="10">
        <v>4477.38</v>
      </c>
      <c r="K639" s="10"/>
    </row>
    <row r="640" spans="1:11">
      <c r="A640" s="19">
        <v>45159</v>
      </c>
      <c r="B640" t="s">
        <v>1265</v>
      </c>
      <c r="C640" t="s">
        <v>1245</v>
      </c>
      <c r="D640" t="s">
        <v>1243</v>
      </c>
      <c r="E640" t="s">
        <v>1242</v>
      </c>
      <c r="F640" t="s">
        <v>120</v>
      </c>
      <c r="G640" t="s">
        <v>1275</v>
      </c>
      <c r="H640" s="10">
        <v>7</v>
      </c>
      <c r="I640" s="10">
        <v>3481</v>
      </c>
      <c r="J640" s="10">
        <v>24367</v>
      </c>
      <c r="K640" s="10"/>
    </row>
    <row r="641" spans="1:11">
      <c r="A641" s="19">
        <v>45160</v>
      </c>
      <c r="B641" t="s">
        <v>1265</v>
      </c>
      <c r="C641" t="s">
        <v>1240</v>
      </c>
      <c r="D641" t="s">
        <v>1232</v>
      </c>
      <c r="E641" t="s">
        <v>1231</v>
      </c>
      <c r="F641" t="s">
        <v>145</v>
      </c>
      <c r="G641" t="s">
        <v>1255</v>
      </c>
      <c r="H641" s="10">
        <v>8</v>
      </c>
      <c r="I641" s="10">
        <v>3043.72</v>
      </c>
      <c r="J641" s="10">
        <v>24349.759999999998</v>
      </c>
      <c r="K641" s="10"/>
    </row>
    <row r="642" spans="1:11">
      <c r="A642" s="19">
        <v>45160</v>
      </c>
      <c r="B642" t="s">
        <v>1262</v>
      </c>
      <c r="C642" t="s">
        <v>1239</v>
      </c>
      <c r="D642" t="s">
        <v>1237</v>
      </c>
      <c r="E642" t="s">
        <v>1229</v>
      </c>
      <c r="F642" t="s">
        <v>120</v>
      </c>
      <c r="G642" t="s">
        <v>1275</v>
      </c>
      <c r="H642" s="10">
        <v>9</v>
      </c>
      <c r="I642" s="10">
        <v>631.99</v>
      </c>
      <c r="J642" s="10">
        <v>5687.91</v>
      </c>
      <c r="K642" s="10"/>
    </row>
    <row r="643" spans="1:11">
      <c r="A643" s="19">
        <v>45160</v>
      </c>
      <c r="B643" t="s">
        <v>1260</v>
      </c>
      <c r="C643" t="s">
        <v>1240</v>
      </c>
      <c r="D643" t="s">
        <v>1232</v>
      </c>
      <c r="E643" t="s">
        <v>1231</v>
      </c>
      <c r="F643" t="s">
        <v>128</v>
      </c>
      <c r="G643" t="s">
        <v>1266</v>
      </c>
      <c r="H643" s="10">
        <v>14</v>
      </c>
      <c r="I643" s="10">
        <v>3631.62</v>
      </c>
      <c r="J643" s="10">
        <v>50842.68</v>
      </c>
      <c r="K643" s="10"/>
    </row>
    <row r="644" spans="1:11">
      <c r="A644" s="19">
        <v>45160</v>
      </c>
      <c r="B644" t="s">
        <v>1262</v>
      </c>
      <c r="C644" t="s">
        <v>1171</v>
      </c>
      <c r="D644" t="s">
        <v>1237</v>
      </c>
      <c r="E644" t="s">
        <v>1229</v>
      </c>
      <c r="F644" t="s">
        <v>1249</v>
      </c>
      <c r="G644" t="s">
        <v>1270</v>
      </c>
      <c r="H644" s="10">
        <v>9</v>
      </c>
      <c r="I644" s="10">
        <v>564.08000000000004</v>
      </c>
      <c r="J644" s="10">
        <v>5076.72</v>
      </c>
      <c r="K644" s="10"/>
    </row>
    <row r="645" spans="1:11">
      <c r="A645" s="19">
        <v>45161</v>
      </c>
      <c r="B645" t="s">
        <v>1265</v>
      </c>
      <c r="C645" t="s">
        <v>1238</v>
      </c>
      <c r="D645" t="s">
        <v>1235</v>
      </c>
      <c r="E645" t="s">
        <v>1231</v>
      </c>
      <c r="F645" t="s">
        <v>128</v>
      </c>
      <c r="G645" t="s">
        <v>1273</v>
      </c>
      <c r="H645" s="10">
        <v>11</v>
      </c>
      <c r="I645" s="10">
        <v>3385.93</v>
      </c>
      <c r="J645" s="10">
        <v>37245.230000000003</v>
      </c>
      <c r="K645" s="10"/>
    </row>
    <row r="646" spans="1:11">
      <c r="A646" s="19">
        <v>45161</v>
      </c>
      <c r="B646" t="s">
        <v>1263</v>
      </c>
      <c r="C646" t="s">
        <v>1236</v>
      </c>
      <c r="D646" t="s">
        <v>1235</v>
      </c>
      <c r="E646" t="s">
        <v>1231</v>
      </c>
      <c r="F646" t="s">
        <v>1249</v>
      </c>
      <c r="G646" t="s">
        <v>1259</v>
      </c>
      <c r="H646" s="10">
        <v>6</v>
      </c>
      <c r="I646" s="10">
        <v>2263.36</v>
      </c>
      <c r="J646" s="10">
        <v>13580.16</v>
      </c>
      <c r="K646" s="10"/>
    </row>
    <row r="647" spans="1:11">
      <c r="A647" s="19">
        <v>45161</v>
      </c>
      <c r="B647" t="s">
        <v>1269</v>
      </c>
      <c r="C647" t="s">
        <v>1239</v>
      </c>
      <c r="D647" t="s">
        <v>1237</v>
      </c>
      <c r="E647" t="s">
        <v>1229</v>
      </c>
      <c r="F647" t="s">
        <v>145</v>
      </c>
      <c r="G647" t="s">
        <v>1255</v>
      </c>
      <c r="H647" s="10">
        <v>17</v>
      </c>
      <c r="I647" s="10">
        <v>3677.4</v>
      </c>
      <c r="J647" s="10">
        <v>62515.8</v>
      </c>
      <c r="K647" s="10"/>
    </row>
    <row r="648" spans="1:11">
      <c r="A648" s="19">
        <v>45162</v>
      </c>
      <c r="B648" t="s">
        <v>1263</v>
      </c>
      <c r="C648" t="s">
        <v>1246</v>
      </c>
      <c r="D648" t="s">
        <v>1230</v>
      </c>
      <c r="E648" t="s">
        <v>1229</v>
      </c>
      <c r="F648" t="s">
        <v>1249</v>
      </c>
      <c r="G648" t="s">
        <v>1259</v>
      </c>
      <c r="H648" s="10">
        <v>10</v>
      </c>
      <c r="I648" s="10">
        <v>1167.21</v>
      </c>
      <c r="J648" s="10">
        <v>11672.1</v>
      </c>
      <c r="K648" s="10"/>
    </row>
    <row r="649" spans="1:11">
      <c r="A649" s="19">
        <v>45163</v>
      </c>
      <c r="B649" t="s">
        <v>1269</v>
      </c>
      <c r="C649" t="s">
        <v>1248</v>
      </c>
      <c r="D649" t="s">
        <v>1230</v>
      </c>
      <c r="E649" t="s">
        <v>1229</v>
      </c>
      <c r="F649" t="s">
        <v>120</v>
      </c>
      <c r="G649" t="s">
        <v>1165</v>
      </c>
      <c r="H649" s="10">
        <v>6</v>
      </c>
      <c r="I649" s="10">
        <v>1212.76</v>
      </c>
      <c r="J649" s="10">
        <v>7276.56</v>
      </c>
      <c r="K649" s="10"/>
    </row>
    <row r="650" spans="1:11">
      <c r="A650" s="19">
        <v>45163</v>
      </c>
      <c r="B650" t="s">
        <v>1265</v>
      </c>
      <c r="C650" t="s">
        <v>1171</v>
      </c>
      <c r="D650" t="s">
        <v>1237</v>
      </c>
      <c r="E650" t="s">
        <v>1229</v>
      </c>
      <c r="F650" t="s">
        <v>128</v>
      </c>
      <c r="G650" t="s">
        <v>1266</v>
      </c>
      <c r="H650" s="10">
        <v>9</v>
      </c>
      <c r="I650" s="10">
        <v>2935.97</v>
      </c>
      <c r="J650" s="10">
        <v>26423.73</v>
      </c>
      <c r="K650" s="10"/>
    </row>
    <row r="651" spans="1:11">
      <c r="A651" s="19">
        <v>45163</v>
      </c>
      <c r="B651" t="s">
        <v>1258</v>
      </c>
      <c r="C651" t="s">
        <v>1246</v>
      </c>
      <c r="D651" t="s">
        <v>1230</v>
      </c>
      <c r="E651" t="s">
        <v>1229</v>
      </c>
      <c r="F651" t="s">
        <v>145</v>
      </c>
      <c r="G651" t="s">
        <v>1278</v>
      </c>
      <c r="H651" s="10">
        <v>1</v>
      </c>
      <c r="I651" s="10">
        <v>1678.18</v>
      </c>
      <c r="J651" s="10">
        <v>1678.18</v>
      </c>
      <c r="K651" s="10"/>
    </row>
    <row r="652" spans="1:11">
      <c r="A652" s="19">
        <v>45163</v>
      </c>
      <c r="B652" t="s">
        <v>1252</v>
      </c>
      <c r="C652" t="s">
        <v>1246</v>
      </c>
      <c r="D652" t="s">
        <v>1230</v>
      </c>
      <c r="E652" t="s">
        <v>1229</v>
      </c>
      <c r="F652" t="s">
        <v>120</v>
      </c>
      <c r="G652" t="s">
        <v>1275</v>
      </c>
      <c r="H652" s="10">
        <v>15</v>
      </c>
      <c r="I652" s="10">
        <v>4406.3100000000004</v>
      </c>
      <c r="J652" s="10">
        <v>66094.649999999994</v>
      </c>
      <c r="K652" s="10"/>
    </row>
    <row r="653" spans="1:11">
      <c r="A653" s="19">
        <v>45163</v>
      </c>
      <c r="B653" t="s">
        <v>1260</v>
      </c>
      <c r="C653" t="s">
        <v>1244</v>
      </c>
      <c r="D653" t="s">
        <v>1243</v>
      </c>
      <c r="E653" t="s">
        <v>1242</v>
      </c>
      <c r="F653" t="s">
        <v>132</v>
      </c>
      <c r="G653" t="s">
        <v>1271</v>
      </c>
      <c r="H653" s="10">
        <v>5</v>
      </c>
      <c r="I653" s="10">
        <v>2536.65</v>
      </c>
      <c r="J653" s="10">
        <v>12683.25</v>
      </c>
      <c r="K653" s="10"/>
    </row>
    <row r="654" spans="1:11">
      <c r="A654" s="19">
        <v>45164</v>
      </c>
      <c r="B654" t="s">
        <v>1252</v>
      </c>
      <c r="C654" t="s">
        <v>1169</v>
      </c>
      <c r="D654" t="s">
        <v>1230</v>
      </c>
      <c r="E654" t="s">
        <v>1229</v>
      </c>
      <c r="F654" t="s">
        <v>128</v>
      </c>
      <c r="G654" t="s">
        <v>1266</v>
      </c>
      <c r="H654" s="10">
        <v>14</v>
      </c>
      <c r="I654" s="10">
        <v>3381.77</v>
      </c>
      <c r="J654" s="10">
        <v>47344.78</v>
      </c>
      <c r="K654" s="10"/>
    </row>
    <row r="655" spans="1:11">
      <c r="A655" s="19">
        <v>45164</v>
      </c>
      <c r="B655" t="s">
        <v>1256</v>
      </c>
      <c r="C655" t="s">
        <v>1173</v>
      </c>
      <c r="D655" t="s">
        <v>1237</v>
      </c>
      <c r="E655" t="s">
        <v>1229</v>
      </c>
      <c r="F655" t="s">
        <v>120</v>
      </c>
      <c r="G655" t="s">
        <v>1275</v>
      </c>
      <c r="H655" s="10">
        <v>1</v>
      </c>
      <c r="I655" s="10">
        <v>1903.53</v>
      </c>
      <c r="J655" s="10">
        <v>1903.53</v>
      </c>
      <c r="K655" s="10"/>
    </row>
    <row r="656" spans="1:11">
      <c r="A656" s="19">
        <v>45164</v>
      </c>
      <c r="B656" t="s">
        <v>1256</v>
      </c>
      <c r="C656" t="s">
        <v>1238</v>
      </c>
      <c r="D656" t="s">
        <v>1235</v>
      </c>
      <c r="E656" t="s">
        <v>1231</v>
      </c>
      <c r="F656" t="s">
        <v>120</v>
      </c>
      <c r="G656" t="s">
        <v>1165</v>
      </c>
      <c r="H656" s="10">
        <v>5</v>
      </c>
      <c r="I656" s="10">
        <v>2480.84</v>
      </c>
      <c r="J656" s="10">
        <v>12404.2</v>
      </c>
      <c r="K656" s="10"/>
    </row>
    <row r="657" spans="1:11">
      <c r="A657" s="19">
        <v>45165</v>
      </c>
      <c r="B657" t="s">
        <v>1258</v>
      </c>
      <c r="C657" t="s">
        <v>1240</v>
      </c>
      <c r="D657" t="s">
        <v>1232</v>
      </c>
      <c r="E657" t="s">
        <v>1231</v>
      </c>
      <c r="F657" t="s">
        <v>128</v>
      </c>
      <c r="G657" t="s">
        <v>1273</v>
      </c>
      <c r="H657" s="10">
        <v>5</v>
      </c>
      <c r="I657" s="10">
        <v>2024.36</v>
      </c>
      <c r="J657" s="10">
        <v>10121.799999999999</v>
      </c>
      <c r="K657" s="10"/>
    </row>
    <row r="658" spans="1:11">
      <c r="A658" s="19">
        <v>45165</v>
      </c>
      <c r="B658" t="s">
        <v>1269</v>
      </c>
      <c r="C658" t="s">
        <v>1171</v>
      </c>
      <c r="D658" t="s">
        <v>1237</v>
      </c>
      <c r="E658" t="s">
        <v>1229</v>
      </c>
      <c r="F658" t="s">
        <v>128</v>
      </c>
      <c r="G658" t="s">
        <v>1257</v>
      </c>
      <c r="H658" s="10">
        <v>2</v>
      </c>
      <c r="I658" s="10">
        <v>991.8</v>
      </c>
      <c r="J658" s="10">
        <v>1983.6</v>
      </c>
      <c r="K658" s="10"/>
    </row>
    <row r="659" spans="1:11">
      <c r="A659" s="19">
        <v>45166</v>
      </c>
      <c r="B659" t="s">
        <v>1254</v>
      </c>
      <c r="C659" t="s">
        <v>1248</v>
      </c>
      <c r="D659" t="s">
        <v>1230</v>
      </c>
      <c r="E659" t="s">
        <v>1229</v>
      </c>
      <c r="F659" t="s">
        <v>1249</v>
      </c>
      <c r="G659" t="s">
        <v>1259</v>
      </c>
      <c r="H659" s="10">
        <v>20</v>
      </c>
      <c r="I659" s="10">
        <v>3184.86</v>
      </c>
      <c r="J659" s="10">
        <v>63697.2</v>
      </c>
      <c r="K659" s="10"/>
    </row>
    <row r="660" spans="1:11">
      <c r="A660" s="19">
        <v>45166</v>
      </c>
      <c r="B660" t="s">
        <v>1269</v>
      </c>
      <c r="C660" t="s">
        <v>1171</v>
      </c>
      <c r="D660" t="s">
        <v>1237</v>
      </c>
      <c r="E660" t="s">
        <v>1229</v>
      </c>
      <c r="F660" t="s">
        <v>1249</v>
      </c>
      <c r="G660" t="s">
        <v>1268</v>
      </c>
      <c r="H660" s="10">
        <v>10</v>
      </c>
      <c r="I660" s="10">
        <v>3707.43</v>
      </c>
      <c r="J660" s="10">
        <v>37074.300000000003</v>
      </c>
      <c r="K660" s="10"/>
    </row>
    <row r="661" spans="1:11">
      <c r="A661" s="19">
        <v>45167</v>
      </c>
      <c r="B661" t="s">
        <v>1265</v>
      </c>
      <c r="C661" t="s">
        <v>1234</v>
      </c>
      <c r="D661" t="s">
        <v>1232</v>
      </c>
      <c r="E661" t="s">
        <v>1231</v>
      </c>
      <c r="F661" t="s">
        <v>128</v>
      </c>
      <c r="G661" t="s">
        <v>1264</v>
      </c>
      <c r="H661" s="10">
        <v>4</v>
      </c>
      <c r="I661" s="10">
        <v>791.28</v>
      </c>
      <c r="J661" s="10">
        <v>3165.12</v>
      </c>
      <c r="K661" s="10"/>
    </row>
    <row r="662" spans="1:11">
      <c r="A662" s="19">
        <v>45167</v>
      </c>
      <c r="B662" t="s">
        <v>1263</v>
      </c>
      <c r="C662" t="s">
        <v>1241</v>
      </c>
      <c r="D662" t="s">
        <v>1235</v>
      </c>
      <c r="E662" t="s">
        <v>1231</v>
      </c>
      <c r="F662" t="s">
        <v>1249</v>
      </c>
      <c r="G662" t="s">
        <v>1268</v>
      </c>
      <c r="H662" s="10">
        <v>8</v>
      </c>
      <c r="I662" s="10">
        <v>1011.67</v>
      </c>
      <c r="J662" s="10">
        <v>8093.36</v>
      </c>
      <c r="K662" s="10"/>
    </row>
    <row r="663" spans="1:11">
      <c r="A663" s="19">
        <v>45168</v>
      </c>
      <c r="B663" t="s">
        <v>1269</v>
      </c>
      <c r="C663" t="s">
        <v>1239</v>
      </c>
      <c r="D663" t="s">
        <v>1237</v>
      </c>
      <c r="E663" t="s">
        <v>1229</v>
      </c>
      <c r="F663" t="s">
        <v>145</v>
      </c>
      <c r="G663" t="s">
        <v>1274</v>
      </c>
      <c r="H663" s="10">
        <v>2</v>
      </c>
      <c r="I663" s="10">
        <v>1785.76</v>
      </c>
      <c r="J663" s="10">
        <v>3571.52</v>
      </c>
      <c r="K663" s="10"/>
    </row>
    <row r="664" spans="1:11">
      <c r="A664" s="19">
        <v>45168</v>
      </c>
      <c r="B664" t="s">
        <v>1258</v>
      </c>
      <c r="C664" t="s">
        <v>1239</v>
      </c>
      <c r="D664" t="s">
        <v>1237</v>
      </c>
      <c r="E664" t="s">
        <v>1229</v>
      </c>
      <c r="F664" t="s">
        <v>120</v>
      </c>
      <c r="G664" t="s">
        <v>1164</v>
      </c>
      <c r="H664" s="10">
        <v>12</v>
      </c>
      <c r="I664" s="10">
        <v>4405.1899999999996</v>
      </c>
      <c r="J664" s="10">
        <v>52862.28</v>
      </c>
      <c r="K664" s="10"/>
    </row>
    <row r="665" spans="1:11">
      <c r="A665" s="19">
        <v>45168</v>
      </c>
      <c r="B665" t="s">
        <v>1262</v>
      </c>
      <c r="C665" t="s">
        <v>1236</v>
      </c>
      <c r="D665" t="s">
        <v>1235</v>
      </c>
      <c r="E665" t="s">
        <v>1231</v>
      </c>
      <c r="F665" t="s">
        <v>145</v>
      </c>
      <c r="G665" t="s">
        <v>1274</v>
      </c>
      <c r="H665" s="10">
        <v>17</v>
      </c>
      <c r="I665" s="10">
        <v>583.88</v>
      </c>
      <c r="J665" s="10">
        <v>9925.9599999999991</v>
      </c>
      <c r="K665" s="10"/>
    </row>
    <row r="666" spans="1:11">
      <c r="A666" s="19">
        <v>45168</v>
      </c>
      <c r="B666" t="s">
        <v>1260</v>
      </c>
      <c r="C666" t="s">
        <v>1234</v>
      </c>
      <c r="D666" t="s">
        <v>1232</v>
      </c>
      <c r="E666" t="s">
        <v>1231</v>
      </c>
      <c r="F666" t="s">
        <v>128</v>
      </c>
      <c r="G666" t="s">
        <v>1273</v>
      </c>
      <c r="H666" s="10">
        <v>20</v>
      </c>
      <c r="I666" s="10">
        <v>4751.1400000000003</v>
      </c>
      <c r="J666" s="10">
        <v>95022.8</v>
      </c>
      <c r="K666" s="10"/>
    </row>
    <row r="667" spans="1:11">
      <c r="A667" s="19">
        <v>45168</v>
      </c>
      <c r="B667" t="s">
        <v>1254</v>
      </c>
      <c r="C667" t="s">
        <v>1234</v>
      </c>
      <c r="D667" t="s">
        <v>1232</v>
      </c>
      <c r="E667" t="s">
        <v>1231</v>
      </c>
      <c r="F667" t="s">
        <v>132</v>
      </c>
      <c r="G667" t="s">
        <v>1253</v>
      </c>
      <c r="H667" s="10">
        <v>7</v>
      </c>
      <c r="I667" s="10">
        <v>4847.62</v>
      </c>
      <c r="J667" s="10">
        <v>33933.339999999997</v>
      </c>
      <c r="K667" s="10"/>
    </row>
    <row r="668" spans="1:11">
      <c r="A668" s="19">
        <v>45168</v>
      </c>
      <c r="B668" t="s">
        <v>1258</v>
      </c>
      <c r="C668" t="s">
        <v>1236</v>
      </c>
      <c r="D668" t="s">
        <v>1235</v>
      </c>
      <c r="E668" t="s">
        <v>1231</v>
      </c>
      <c r="F668" t="s">
        <v>1249</v>
      </c>
      <c r="G668" t="s">
        <v>1272</v>
      </c>
      <c r="H668" s="10">
        <v>3</v>
      </c>
      <c r="I668" s="10">
        <v>4766.28</v>
      </c>
      <c r="J668" s="10">
        <v>14298.84</v>
      </c>
      <c r="K668" s="10"/>
    </row>
    <row r="669" spans="1:11">
      <c r="A669" s="19">
        <v>45168</v>
      </c>
      <c r="B669" t="s">
        <v>1269</v>
      </c>
      <c r="C669" t="s">
        <v>1238</v>
      </c>
      <c r="D669" t="s">
        <v>1235</v>
      </c>
      <c r="E669" t="s">
        <v>1231</v>
      </c>
      <c r="F669" t="s">
        <v>132</v>
      </c>
      <c r="G669" t="s">
        <v>1277</v>
      </c>
      <c r="H669" s="10">
        <v>14</v>
      </c>
      <c r="I669" s="10">
        <v>3726.3</v>
      </c>
      <c r="J669" s="10">
        <v>52168.2</v>
      </c>
      <c r="K669" s="10"/>
    </row>
    <row r="670" spans="1:11">
      <c r="A670" s="19">
        <v>45169</v>
      </c>
      <c r="B670" t="s">
        <v>1258</v>
      </c>
      <c r="C670" t="s">
        <v>1171</v>
      </c>
      <c r="D670" t="s">
        <v>1237</v>
      </c>
      <c r="E670" t="s">
        <v>1229</v>
      </c>
      <c r="F670" t="s">
        <v>145</v>
      </c>
      <c r="G670" t="s">
        <v>1255</v>
      </c>
      <c r="H670" s="10">
        <v>19</v>
      </c>
      <c r="I670" s="10">
        <v>3316.87</v>
      </c>
      <c r="J670" s="10">
        <v>63020.53</v>
      </c>
      <c r="K670" s="10"/>
    </row>
    <row r="671" spans="1:11">
      <c r="A671" s="19">
        <v>45169</v>
      </c>
      <c r="B671" t="s">
        <v>1263</v>
      </c>
      <c r="C671" t="s">
        <v>1247</v>
      </c>
      <c r="D671" t="s">
        <v>1243</v>
      </c>
      <c r="E671" t="s">
        <v>1242</v>
      </c>
      <c r="F671" t="s">
        <v>1249</v>
      </c>
      <c r="G671" t="s">
        <v>1268</v>
      </c>
      <c r="H671" s="10">
        <v>7</v>
      </c>
      <c r="I671" s="10">
        <v>1830.46</v>
      </c>
      <c r="J671" s="10">
        <v>12813.22</v>
      </c>
      <c r="K671" s="10"/>
    </row>
    <row r="672" spans="1:11">
      <c r="A672" s="19">
        <v>45170</v>
      </c>
      <c r="B672" t="s">
        <v>1263</v>
      </c>
      <c r="C672" t="s">
        <v>1241</v>
      </c>
      <c r="D672" t="s">
        <v>1235</v>
      </c>
      <c r="E672" t="s">
        <v>1231</v>
      </c>
      <c r="F672" t="s">
        <v>1249</v>
      </c>
      <c r="G672" t="s">
        <v>1270</v>
      </c>
      <c r="H672" s="10">
        <v>17</v>
      </c>
      <c r="I672" s="10">
        <v>2920.06</v>
      </c>
      <c r="J672" s="10">
        <v>49641.02</v>
      </c>
      <c r="K672" s="10"/>
    </row>
    <row r="673" spans="1:11">
      <c r="A673" s="19">
        <v>45171</v>
      </c>
      <c r="B673" t="s">
        <v>1252</v>
      </c>
      <c r="C673" t="s">
        <v>1244</v>
      </c>
      <c r="D673" t="s">
        <v>1243</v>
      </c>
      <c r="E673" t="s">
        <v>1242</v>
      </c>
      <c r="F673" t="s">
        <v>145</v>
      </c>
      <c r="G673" t="s">
        <v>1255</v>
      </c>
      <c r="H673" s="10">
        <v>12</v>
      </c>
      <c r="I673" s="10">
        <v>3040.08</v>
      </c>
      <c r="J673" s="10">
        <v>36480.959999999999</v>
      </c>
      <c r="K673" s="10"/>
    </row>
    <row r="674" spans="1:11">
      <c r="A674" s="19">
        <v>45171</v>
      </c>
      <c r="B674" t="s">
        <v>1267</v>
      </c>
      <c r="C674" t="s">
        <v>1234</v>
      </c>
      <c r="D674" t="s">
        <v>1232</v>
      </c>
      <c r="E674" t="s">
        <v>1231</v>
      </c>
      <c r="F674" t="s">
        <v>120</v>
      </c>
      <c r="G674" t="s">
        <v>1164</v>
      </c>
      <c r="H674" s="10">
        <v>16</v>
      </c>
      <c r="I674" s="10">
        <v>3942.95</v>
      </c>
      <c r="J674" s="10">
        <v>63087.199999999997</v>
      </c>
      <c r="K674" s="10"/>
    </row>
    <row r="675" spans="1:11">
      <c r="A675" s="19">
        <v>45171</v>
      </c>
      <c r="B675" t="s">
        <v>1256</v>
      </c>
      <c r="C675" t="s">
        <v>1248</v>
      </c>
      <c r="D675" t="s">
        <v>1230</v>
      </c>
      <c r="E675" t="s">
        <v>1229</v>
      </c>
      <c r="F675" t="s">
        <v>132</v>
      </c>
      <c r="G675" t="s">
        <v>1253</v>
      </c>
      <c r="H675" s="10">
        <v>13</v>
      </c>
      <c r="I675" s="10">
        <v>2835.8</v>
      </c>
      <c r="J675" s="10">
        <v>36865.4</v>
      </c>
      <c r="K675" s="10"/>
    </row>
    <row r="676" spans="1:11">
      <c r="A676" s="19">
        <v>45171</v>
      </c>
      <c r="B676" t="s">
        <v>1260</v>
      </c>
      <c r="C676" t="s">
        <v>1171</v>
      </c>
      <c r="D676" t="s">
        <v>1237</v>
      </c>
      <c r="E676" t="s">
        <v>1229</v>
      </c>
      <c r="F676" t="s">
        <v>132</v>
      </c>
      <c r="G676" t="s">
        <v>1277</v>
      </c>
      <c r="H676" s="10">
        <v>10</v>
      </c>
      <c r="I676" s="10">
        <v>2750.69</v>
      </c>
      <c r="J676" s="10">
        <v>27506.9</v>
      </c>
      <c r="K676" s="10"/>
    </row>
    <row r="677" spans="1:11">
      <c r="A677" s="19">
        <v>45172</v>
      </c>
      <c r="B677" t="s">
        <v>1267</v>
      </c>
      <c r="C677" t="s">
        <v>1236</v>
      </c>
      <c r="D677" t="s">
        <v>1235</v>
      </c>
      <c r="E677" t="s">
        <v>1231</v>
      </c>
      <c r="F677" t="s">
        <v>120</v>
      </c>
      <c r="G677" t="s">
        <v>1165</v>
      </c>
      <c r="H677" s="10">
        <v>8</v>
      </c>
      <c r="I677" s="10">
        <v>4649.3500000000004</v>
      </c>
      <c r="J677" s="10">
        <v>37194.800000000003</v>
      </c>
      <c r="K677" s="10"/>
    </row>
    <row r="678" spans="1:11">
      <c r="A678" s="19">
        <v>45172</v>
      </c>
      <c r="B678" t="s">
        <v>1260</v>
      </c>
      <c r="C678" t="s">
        <v>1173</v>
      </c>
      <c r="D678" t="s">
        <v>1237</v>
      </c>
      <c r="E678" t="s">
        <v>1229</v>
      </c>
      <c r="F678" t="s">
        <v>128</v>
      </c>
      <c r="G678" t="s">
        <v>1266</v>
      </c>
      <c r="H678" s="10">
        <v>14</v>
      </c>
      <c r="I678" s="10">
        <v>3404.4</v>
      </c>
      <c r="J678" s="10">
        <v>47661.599999999999</v>
      </c>
      <c r="K678" s="10"/>
    </row>
    <row r="679" spans="1:11">
      <c r="A679" s="19">
        <v>45172</v>
      </c>
      <c r="B679" t="s">
        <v>1265</v>
      </c>
      <c r="C679" t="s">
        <v>1169</v>
      </c>
      <c r="D679" t="s">
        <v>1230</v>
      </c>
      <c r="E679" t="s">
        <v>1229</v>
      </c>
      <c r="F679" t="s">
        <v>1249</v>
      </c>
      <c r="G679" t="s">
        <v>1272</v>
      </c>
      <c r="H679" s="10">
        <v>11</v>
      </c>
      <c r="I679" s="10">
        <v>2951.18</v>
      </c>
      <c r="J679" s="10">
        <v>32462.98</v>
      </c>
      <c r="K679" s="10"/>
    </row>
    <row r="680" spans="1:11">
      <c r="A680" s="19">
        <v>45173</v>
      </c>
      <c r="B680" t="s">
        <v>1252</v>
      </c>
      <c r="C680" t="s">
        <v>1169</v>
      </c>
      <c r="D680" t="s">
        <v>1230</v>
      </c>
      <c r="E680" t="s">
        <v>1229</v>
      </c>
      <c r="F680" t="s">
        <v>128</v>
      </c>
      <c r="G680" t="s">
        <v>1257</v>
      </c>
      <c r="H680" s="10">
        <v>17</v>
      </c>
      <c r="I680" s="10">
        <v>3857.33</v>
      </c>
      <c r="J680" s="10">
        <v>65574.61</v>
      </c>
      <c r="K680" s="10"/>
    </row>
    <row r="681" spans="1:11">
      <c r="A681" s="19">
        <v>45173</v>
      </c>
      <c r="B681" t="s">
        <v>1260</v>
      </c>
      <c r="C681" t="s">
        <v>1169</v>
      </c>
      <c r="D681" t="s">
        <v>1230</v>
      </c>
      <c r="E681" t="s">
        <v>1229</v>
      </c>
      <c r="F681" t="s">
        <v>1249</v>
      </c>
      <c r="G681" t="s">
        <v>1270</v>
      </c>
      <c r="H681" s="10">
        <v>2</v>
      </c>
      <c r="I681" s="10">
        <v>2713.34</v>
      </c>
      <c r="J681" s="10">
        <v>5426.68</v>
      </c>
      <c r="K681" s="10"/>
    </row>
    <row r="682" spans="1:11">
      <c r="A682" s="19">
        <v>45173</v>
      </c>
      <c r="B682" t="s">
        <v>1265</v>
      </c>
      <c r="C682" t="s">
        <v>1169</v>
      </c>
      <c r="D682" t="s">
        <v>1230</v>
      </c>
      <c r="E682" t="s">
        <v>1229</v>
      </c>
      <c r="F682" t="s">
        <v>145</v>
      </c>
      <c r="G682" t="s">
        <v>1261</v>
      </c>
      <c r="H682" s="10">
        <v>13</v>
      </c>
      <c r="I682" s="10">
        <v>2669.5</v>
      </c>
      <c r="J682" s="10">
        <v>34703.5</v>
      </c>
      <c r="K682" s="10"/>
    </row>
    <row r="683" spans="1:11">
      <c r="A683" s="19">
        <v>45175</v>
      </c>
      <c r="B683" t="s">
        <v>1254</v>
      </c>
      <c r="C683" t="s">
        <v>1239</v>
      </c>
      <c r="D683" t="s">
        <v>1237</v>
      </c>
      <c r="E683" t="s">
        <v>1229</v>
      </c>
      <c r="F683" t="s">
        <v>120</v>
      </c>
      <c r="G683" t="s">
        <v>1165</v>
      </c>
      <c r="H683" s="10">
        <v>6</v>
      </c>
      <c r="I683" s="10">
        <v>2920.43</v>
      </c>
      <c r="J683" s="10">
        <v>17522.580000000002</v>
      </c>
      <c r="K683" s="10"/>
    </row>
    <row r="684" spans="1:11">
      <c r="A684" s="19">
        <v>45175</v>
      </c>
      <c r="B684" t="s">
        <v>1269</v>
      </c>
      <c r="C684" t="s">
        <v>1238</v>
      </c>
      <c r="D684" t="s">
        <v>1235</v>
      </c>
      <c r="E684" t="s">
        <v>1231</v>
      </c>
      <c r="F684" t="s">
        <v>132</v>
      </c>
      <c r="G684" t="s">
        <v>1279</v>
      </c>
      <c r="H684" s="10">
        <v>5</v>
      </c>
      <c r="I684" s="10">
        <v>4423.53</v>
      </c>
      <c r="J684" s="10">
        <v>22117.65</v>
      </c>
      <c r="K684" s="10"/>
    </row>
    <row r="685" spans="1:11">
      <c r="A685" s="19">
        <v>45175</v>
      </c>
      <c r="B685" t="s">
        <v>1267</v>
      </c>
      <c r="C685" t="s">
        <v>1233</v>
      </c>
      <c r="D685" t="s">
        <v>1232</v>
      </c>
      <c r="E685" t="s">
        <v>1231</v>
      </c>
      <c r="F685" t="s">
        <v>1249</v>
      </c>
      <c r="G685" t="s">
        <v>1272</v>
      </c>
      <c r="H685" s="10">
        <v>17</v>
      </c>
      <c r="I685" s="10">
        <v>2448.5100000000002</v>
      </c>
      <c r="J685" s="10">
        <v>41624.67</v>
      </c>
      <c r="K685" s="10"/>
    </row>
    <row r="686" spans="1:11">
      <c r="A686" s="19">
        <v>45176</v>
      </c>
      <c r="B686" t="s">
        <v>1258</v>
      </c>
      <c r="C686" t="s">
        <v>1169</v>
      </c>
      <c r="D686" t="s">
        <v>1230</v>
      </c>
      <c r="E686" t="s">
        <v>1229</v>
      </c>
      <c r="F686" t="s">
        <v>145</v>
      </c>
      <c r="G686" t="s">
        <v>1274</v>
      </c>
      <c r="H686" s="10">
        <v>16</v>
      </c>
      <c r="I686" s="10">
        <v>1473.98</v>
      </c>
      <c r="J686" s="10">
        <v>23583.68</v>
      </c>
      <c r="K686" s="10"/>
    </row>
    <row r="687" spans="1:11">
      <c r="A687" s="19">
        <v>45176</v>
      </c>
      <c r="B687" t="s">
        <v>1262</v>
      </c>
      <c r="C687" t="s">
        <v>1239</v>
      </c>
      <c r="D687" t="s">
        <v>1237</v>
      </c>
      <c r="E687" t="s">
        <v>1229</v>
      </c>
      <c r="F687" t="s">
        <v>145</v>
      </c>
      <c r="G687" t="s">
        <v>1255</v>
      </c>
      <c r="H687" s="10">
        <v>18</v>
      </c>
      <c r="I687" s="10">
        <v>3575.04</v>
      </c>
      <c r="J687" s="10">
        <v>64350.720000000001</v>
      </c>
      <c r="K687" s="10"/>
    </row>
    <row r="688" spans="1:11">
      <c r="A688" s="19">
        <v>45178</v>
      </c>
      <c r="B688" t="s">
        <v>1265</v>
      </c>
      <c r="C688" t="s">
        <v>1233</v>
      </c>
      <c r="D688" t="s">
        <v>1232</v>
      </c>
      <c r="E688" t="s">
        <v>1231</v>
      </c>
      <c r="F688" t="s">
        <v>145</v>
      </c>
      <c r="G688" t="s">
        <v>1274</v>
      </c>
      <c r="H688" s="10">
        <v>8</v>
      </c>
      <c r="I688" s="10">
        <v>3927.74</v>
      </c>
      <c r="J688" s="10">
        <v>31421.919999999998</v>
      </c>
      <c r="K688" s="10"/>
    </row>
    <row r="689" spans="1:11">
      <c r="A689" s="19">
        <v>45179</v>
      </c>
      <c r="B689" t="s">
        <v>1265</v>
      </c>
      <c r="C689" t="s">
        <v>1239</v>
      </c>
      <c r="D689" t="s">
        <v>1237</v>
      </c>
      <c r="E689" t="s">
        <v>1229</v>
      </c>
      <c r="F689" t="s">
        <v>1249</v>
      </c>
      <c r="G689" t="s">
        <v>1272</v>
      </c>
      <c r="H689" s="10">
        <v>14</v>
      </c>
      <c r="I689" s="10">
        <v>1245.9000000000001</v>
      </c>
      <c r="J689" s="10">
        <v>17442.599999999999</v>
      </c>
      <c r="K689" s="10"/>
    </row>
    <row r="690" spans="1:11">
      <c r="A690" s="19">
        <v>45179</v>
      </c>
      <c r="B690" t="s">
        <v>1267</v>
      </c>
      <c r="C690" t="s">
        <v>1234</v>
      </c>
      <c r="D690" t="s">
        <v>1232</v>
      </c>
      <c r="E690" t="s">
        <v>1231</v>
      </c>
      <c r="F690" t="s">
        <v>120</v>
      </c>
      <c r="G690" t="s">
        <v>1276</v>
      </c>
      <c r="H690" s="10">
        <v>14</v>
      </c>
      <c r="I690" s="10">
        <v>2833.44</v>
      </c>
      <c r="J690" s="10">
        <v>39668.160000000003</v>
      </c>
      <c r="K690" s="10"/>
    </row>
    <row r="691" spans="1:11">
      <c r="A691" s="19">
        <v>45179</v>
      </c>
      <c r="B691" t="s">
        <v>1254</v>
      </c>
      <c r="C691" t="s">
        <v>1173</v>
      </c>
      <c r="D691" t="s">
        <v>1237</v>
      </c>
      <c r="E691" t="s">
        <v>1229</v>
      </c>
      <c r="F691" t="s">
        <v>132</v>
      </c>
      <c r="G691" t="s">
        <v>1279</v>
      </c>
      <c r="H691" s="10">
        <v>13</v>
      </c>
      <c r="I691" s="10">
        <v>298.08999999999997</v>
      </c>
      <c r="J691" s="10">
        <v>3875.17</v>
      </c>
      <c r="K691" s="10"/>
    </row>
    <row r="692" spans="1:11">
      <c r="A692" s="19">
        <v>45180</v>
      </c>
      <c r="B692" t="s">
        <v>1262</v>
      </c>
      <c r="C692" t="s">
        <v>1248</v>
      </c>
      <c r="D692" t="s">
        <v>1230</v>
      </c>
      <c r="E692" t="s">
        <v>1229</v>
      </c>
      <c r="F692" t="s">
        <v>132</v>
      </c>
      <c r="G692" t="s">
        <v>1279</v>
      </c>
      <c r="H692" s="10">
        <v>20</v>
      </c>
      <c r="I692" s="10">
        <v>4055.72</v>
      </c>
      <c r="J692" s="10">
        <v>81114.399999999994</v>
      </c>
      <c r="K692" s="10"/>
    </row>
    <row r="693" spans="1:11">
      <c r="A693" s="19">
        <v>45181</v>
      </c>
      <c r="B693" t="s">
        <v>1252</v>
      </c>
      <c r="C693" t="s">
        <v>1247</v>
      </c>
      <c r="D693" t="s">
        <v>1243</v>
      </c>
      <c r="E693" t="s">
        <v>1242</v>
      </c>
      <c r="F693" t="s">
        <v>132</v>
      </c>
      <c r="G693" t="s">
        <v>1253</v>
      </c>
      <c r="H693" s="10">
        <v>7</v>
      </c>
      <c r="I693" s="10">
        <v>2286.4</v>
      </c>
      <c r="J693" s="10">
        <v>16004.8</v>
      </c>
      <c r="K693" s="10"/>
    </row>
    <row r="694" spans="1:11">
      <c r="A694" s="19">
        <v>45181</v>
      </c>
      <c r="B694" t="s">
        <v>1254</v>
      </c>
      <c r="C694" t="s">
        <v>1247</v>
      </c>
      <c r="D694" t="s">
        <v>1243</v>
      </c>
      <c r="E694" t="s">
        <v>1242</v>
      </c>
      <c r="F694" t="s">
        <v>1249</v>
      </c>
      <c r="G694" t="s">
        <v>1259</v>
      </c>
      <c r="H694" s="10">
        <v>16</v>
      </c>
      <c r="I694" s="10">
        <v>4826.2</v>
      </c>
      <c r="J694" s="10">
        <v>77219.199999999997</v>
      </c>
      <c r="K694" s="10"/>
    </row>
    <row r="695" spans="1:11">
      <c r="A695" s="19">
        <v>45181</v>
      </c>
      <c r="B695" t="s">
        <v>1262</v>
      </c>
      <c r="C695" t="s">
        <v>1245</v>
      </c>
      <c r="D695" t="s">
        <v>1243</v>
      </c>
      <c r="E695" t="s">
        <v>1242</v>
      </c>
      <c r="F695" t="s">
        <v>132</v>
      </c>
      <c r="G695" t="s">
        <v>1271</v>
      </c>
      <c r="H695" s="10">
        <v>16</v>
      </c>
      <c r="I695" s="10">
        <v>1795.37</v>
      </c>
      <c r="J695" s="10">
        <v>28725.919999999998</v>
      </c>
      <c r="K695" s="10"/>
    </row>
    <row r="696" spans="1:11">
      <c r="A696" s="19">
        <v>45182</v>
      </c>
      <c r="B696" t="s">
        <v>1256</v>
      </c>
      <c r="C696" t="s">
        <v>1246</v>
      </c>
      <c r="D696" t="s">
        <v>1230</v>
      </c>
      <c r="E696" t="s">
        <v>1229</v>
      </c>
      <c r="F696" t="s">
        <v>132</v>
      </c>
      <c r="G696" t="s">
        <v>1271</v>
      </c>
      <c r="H696" s="10">
        <v>5</v>
      </c>
      <c r="I696" s="10">
        <v>4988.76</v>
      </c>
      <c r="J696" s="10">
        <v>24943.8</v>
      </c>
      <c r="K696" s="10"/>
    </row>
    <row r="697" spans="1:11">
      <c r="A697" s="19">
        <v>45182</v>
      </c>
      <c r="B697" t="s">
        <v>1260</v>
      </c>
      <c r="C697" t="s">
        <v>1241</v>
      </c>
      <c r="D697" t="s">
        <v>1235</v>
      </c>
      <c r="E697" t="s">
        <v>1231</v>
      </c>
      <c r="F697" t="s">
        <v>120</v>
      </c>
      <c r="G697" t="s">
        <v>1165</v>
      </c>
      <c r="H697" s="10">
        <v>3</v>
      </c>
      <c r="I697" s="10">
        <v>916.53</v>
      </c>
      <c r="J697" s="10">
        <v>2749.59</v>
      </c>
      <c r="K697" s="10"/>
    </row>
    <row r="698" spans="1:11">
      <c r="A698" s="19">
        <v>45183</v>
      </c>
      <c r="B698" t="s">
        <v>1258</v>
      </c>
      <c r="C698" t="s">
        <v>1236</v>
      </c>
      <c r="D698" t="s">
        <v>1235</v>
      </c>
      <c r="E698" t="s">
        <v>1231</v>
      </c>
      <c r="F698" t="s">
        <v>145</v>
      </c>
      <c r="G698" t="s">
        <v>1278</v>
      </c>
      <c r="H698" s="10">
        <v>9</v>
      </c>
      <c r="I698" s="10">
        <v>1609.98</v>
      </c>
      <c r="J698" s="10">
        <v>14489.82</v>
      </c>
      <c r="K698" s="10"/>
    </row>
    <row r="699" spans="1:11">
      <c r="A699" s="19">
        <v>45183</v>
      </c>
      <c r="B699" t="s">
        <v>1258</v>
      </c>
      <c r="C699" t="s">
        <v>1240</v>
      </c>
      <c r="D699" t="s">
        <v>1232</v>
      </c>
      <c r="E699" t="s">
        <v>1231</v>
      </c>
      <c r="F699" t="s">
        <v>1249</v>
      </c>
      <c r="G699" t="s">
        <v>1268</v>
      </c>
      <c r="H699" s="10">
        <v>15</v>
      </c>
      <c r="I699" s="10">
        <v>3999.29</v>
      </c>
      <c r="J699" s="10">
        <v>59989.35</v>
      </c>
      <c r="K699" s="10"/>
    </row>
    <row r="700" spans="1:11">
      <c r="A700" s="19">
        <v>45183</v>
      </c>
      <c r="B700" t="s">
        <v>1265</v>
      </c>
      <c r="C700" t="s">
        <v>1234</v>
      </c>
      <c r="D700" t="s">
        <v>1232</v>
      </c>
      <c r="E700" t="s">
        <v>1231</v>
      </c>
      <c r="F700" t="s">
        <v>132</v>
      </c>
      <c r="G700" t="s">
        <v>1271</v>
      </c>
      <c r="H700" s="10">
        <v>7</v>
      </c>
      <c r="I700" s="10">
        <v>1373.41</v>
      </c>
      <c r="J700" s="10">
        <v>9613.8700000000008</v>
      </c>
      <c r="K700" s="10"/>
    </row>
    <row r="701" spans="1:11">
      <c r="A701" s="19">
        <v>45184</v>
      </c>
      <c r="B701" t="s">
        <v>1260</v>
      </c>
      <c r="C701" t="s">
        <v>1246</v>
      </c>
      <c r="D701" t="s">
        <v>1230</v>
      </c>
      <c r="E701" t="s">
        <v>1229</v>
      </c>
      <c r="F701" t="s">
        <v>120</v>
      </c>
      <c r="G701" t="s">
        <v>1275</v>
      </c>
      <c r="H701" s="10">
        <v>11</v>
      </c>
      <c r="I701" s="10">
        <v>4463.4799999999996</v>
      </c>
      <c r="J701" s="10">
        <v>49098.28</v>
      </c>
      <c r="K701" s="10"/>
    </row>
    <row r="702" spans="1:11">
      <c r="A702" s="19">
        <v>45184</v>
      </c>
      <c r="B702" t="s">
        <v>1262</v>
      </c>
      <c r="C702" t="s">
        <v>1245</v>
      </c>
      <c r="D702" t="s">
        <v>1243</v>
      </c>
      <c r="E702" t="s">
        <v>1242</v>
      </c>
      <c r="F702" t="s">
        <v>1249</v>
      </c>
      <c r="G702" t="s">
        <v>1259</v>
      </c>
      <c r="H702" s="10">
        <v>16</v>
      </c>
      <c r="I702" s="10">
        <v>2687.77</v>
      </c>
      <c r="J702" s="10">
        <v>43004.32</v>
      </c>
      <c r="K702" s="10"/>
    </row>
    <row r="703" spans="1:11">
      <c r="A703" s="19">
        <v>45185</v>
      </c>
      <c r="B703" t="s">
        <v>1258</v>
      </c>
      <c r="C703" t="s">
        <v>1169</v>
      </c>
      <c r="D703" t="s">
        <v>1230</v>
      </c>
      <c r="E703" t="s">
        <v>1229</v>
      </c>
      <c r="F703" t="s">
        <v>120</v>
      </c>
      <c r="G703" t="s">
        <v>1165</v>
      </c>
      <c r="H703" s="10">
        <v>6</v>
      </c>
      <c r="I703" s="10">
        <v>297.27</v>
      </c>
      <c r="J703" s="10">
        <v>1783.62</v>
      </c>
      <c r="K703" s="10"/>
    </row>
    <row r="704" spans="1:11">
      <c r="A704" s="19">
        <v>45185</v>
      </c>
      <c r="B704" t="s">
        <v>1258</v>
      </c>
      <c r="C704" t="s">
        <v>1248</v>
      </c>
      <c r="D704" t="s">
        <v>1230</v>
      </c>
      <c r="E704" t="s">
        <v>1229</v>
      </c>
      <c r="F704" t="s">
        <v>120</v>
      </c>
      <c r="G704" t="s">
        <v>1275</v>
      </c>
      <c r="H704" s="10">
        <v>10</v>
      </c>
      <c r="I704" s="10">
        <v>3829.38</v>
      </c>
      <c r="J704" s="10">
        <v>38293.800000000003</v>
      </c>
      <c r="K704" s="10"/>
    </row>
    <row r="705" spans="1:11">
      <c r="A705" s="19">
        <v>45186</v>
      </c>
      <c r="B705" t="s">
        <v>1254</v>
      </c>
      <c r="C705" t="s">
        <v>1240</v>
      </c>
      <c r="D705" t="s">
        <v>1232</v>
      </c>
      <c r="E705" t="s">
        <v>1231</v>
      </c>
      <c r="F705" t="s">
        <v>128</v>
      </c>
      <c r="G705" t="s">
        <v>1264</v>
      </c>
      <c r="H705" s="10">
        <v>2</v>
      </c>
      <c r="I705" s="10">
        <v>1264.68</v>
      </c>
      <c r="J705" s="10">
        <v>2529.36</v>
      </c>
      <c r="K705" s="10"/>
    </row>
    <row r="706" spans="1:11">
      <c r="A706" s="19">
        <v>45186</v>
      </c>
      <c r="B706" t="s">
        <v>1265</v>
      </c>
      <c r="C706" t="s">
        <v>1236</v>
      </c>
      <c r="D706" t="s">
        <v>1235</v>
      </c>
      <c r="E706" t="s">
        <v>1231</v>
      </c>
      <c r="F706" t="s">
        <v>132</v>
      </c>
      <c r="G706" t="s">
        <v>1253</v>
      </c>
      <c r="H706" s="10">
        <v>7</v>
      </c>
      <c r="I706" s="10">
        <v>4741.12</v>
      </c>
      <c r="J706" s="10">
        <v>33187.839999999997</v>
      </c>
      <c r="K706" s="10"/>
    </row>
    <row r="707" spans="1:11">
      <c r="A707" s="19">
        <v>45186</v>
      </c>
      <c r="B707" t="s">
        <v>1267</v>
      </c>
      <c r="C707" t="s">
        <v>1173</v>
      </c>
      <c r="D707" t="s">
        <v>1237</v>
      </c>
      <c r="E707" t="s">
        <v>1229</v>
      </c>
      <c r="F707" t="s">
        <v>145</v>
      </c>
      <c r="G707" t="s">
        <v>1278</v>
      </c>
      <c r="H707" s="10">
        <v>18</v>
      </c>
      <c r="I707" s="10">
        <v>138.01</v>
      </c>
      <c r="J707" s="10">
        <v>2484.1799999999998</v>
      </c>
      <c r="K707" s="10"/>
    </row>
    <row r="708" spans="1:11">
      <c r="A708" s="19">
        <v>45186</v>
      </c>
      <c r="B708" t="s">
        <v>1262</v>
      </c>
      <c r="C708" t="s">
        <v>1173</v>
      </c>
      <c r="D708" t="s">
        <v>1237</v>
      </c>
      <c r="E708" t="s">
        <v>1229</v>
      </c>
      <c r="F708" t="s">
        <v>128</v>
      </c>
      <c r="G708" t="s">
        <v>1266</v>
      </c>
      <c r="H708" s="10">
        <v>6</v>
      </c>
      <c r="I708" s="10">
        <v>4079.26</v>
      </c>
      <c r="J708" s="10">
        <v>24475.56</v>
      </c>
      <c r="K708" s="10"/>
    </row>
    <row r="709" spans="1:11">
      <c r="A709" s="19">
        <v>45186</v>
      </c>
      <c r="B709" t="s">
        <v>1254</v>
      </c>
      <c r="C709" t="s">
        <v>1173</v>
      </c>
      <c r="D709" t="s">
        <v>1237</v>
      </c>
      <c r="E709" t="s">
        <v>1229</v>
      </c>
      <c r="F709" t="s">
        <v>145</v>
      </c>
      <c r="G709" t="s">
        <v>1278</v>
      </c>
      <c r="H709" s="10">
        <v>5</v>
      </c>
      <c r="I709" s="10">
        <v>4600.38</v>
      </c>
      <c r="J709" s="10">
        <v>23001.9</v>
      </c>
      <c r="K709" s="10"/>
    </row>
    <row r="710" spans="1:11">
      <c r="A710" s="19">
        <v>45187</v>
      </c>
      <c r="B710" t="s">
        <v>1252</v>
      </c>
      <c r="C710" t="s">
        <v>1233</v>
      </c>
      <c r="D710" t="s">
        <v>1232</v>
      </c>
      <c r="E710" t="s">
        <v>1231</v>
      </c>
      <c r="F710" t="s">
        <v>132</v>
      </c>
      <c r="G710" t="s">
        <v>1277</v>
      </c>
      <c r="H710" s="10">
        <v>19</v>
      </c>
      <c r="I710" s="10">
        <v>618.02</v>
      </c>
      <c r="J710" s="10">
        <v>11742.38</v>
      </c>
      <c r="K710" s="10"/>
    </row>
    <row r="711" spans="1:11">
      <c r="A711" s="19">
        <v>45187</v>
      </c>
      <c r="B711" t="s">
        <v>1265</v>
      </c>
      <c r="C711" t="s">
        <v>1173</v>
      </c>
      <c r="D711" t="s">
        <v>1237</v>
      </c>
      <c r="E711" t="s">
        <v>1229</v>
      </c>
      <c r="F711" t="s">
        <v>128</v>
      </c>
      <c r="G711" t="s">
        <v>1264</v>
      </c>
      <c r="H711" s="10">
        <v>10</v>
      </c>
      <c r="I711" s="10">
        <v>2523.59</v>
      </c>
      <c r="J711" s="10">
        <v>25235.9</v>
      </c>
      <c r="K711" s="10"/>
    </row>
    <row r="712" spans="1:11">
      <c r="A712" s="19">
        <v>45188</v>
      </c>
      <c r="B712" t="s">
        <v>1262</v>
      </c>
      <c r="C712" t="s">
        <v>1241</v>
      </c>
      <c r="D712" t="s">
        <v>1235</v>
      </c>
      <c r="E712" t="s">
        <v>1231</v>
      </c>
      <c r="F712" t="s">
        <v>128</v>
      </c>
      <c r="G712" t="s">
        <v>1264</v>
      </c>
      <c r="H712" s="10">
        <v>15</v>
      </c>
      <c r="I712" s="10">
        <v>1299.55</v>
      </c>
      <c r="J712" s="10">
        <v>19493.25</v>
      </c>
      <c r="K712" s="10"/>
    </row>
    <row r="713" spans="1:11">
      <c r="A713" s="19">
        <v>45188</v>
      </c>
      <c r="B713" t="s">
        <v>1267</v>
      </c>
      <c r="C713" t="s">
        <v>1169</v>
      </c>
      <c r="D713" t="s">
        <v>1230</v>
      </c>
      <c r="E713" t="s">
        <v>1229</v>
      </c>
      <c r="F713" t="s">
        <v>128</v>
      </c>
      <c r="G713" t="s">
        <v>1264</v>
      </c>
      <c r="H713" s="10">
        <v>2</v>
      </c>
      <c r="I713" s="10">
        <v>3726.58</v>
      </c>
      <c r="J713" s="10">
        <v>7453.16</v>
      </c>
      <c r="K713" s="10"/>
    </row>
    <row r="714" spans="1:11">
      <c r="A714" s="19">
        <v>45188</v>
      </c>
      <c r="B714" t="s">
        <v>1265</v>
      </c>
      <c r="C714" t="s">
        <v>1246</v>
      </c>
      <c r="D714" t="s">
        <v>1230</v>
      </c>
      <c r="E714" t="s">
        <v>1229</v>
      </c>
      <c r="F714" t="s">
        <v>132</v>
      </c>
      <c r="G714" t="s">
        <v>1279</v>
      </c>
      <c r="H714" s="10">
        <v>13</v>
      </c>
      <c r="I714" s="10">
        <v>3531.03</v>
      </c>
      <c r="J714" s="10">
        <v>45903.39</v>
      </c>
      <c r="K714" s="10"/>
    </row>
    <row r="715" spans="1:11">
      <c r="A715" s="19">
        <v>45189</v>
      </c>
      <c r="B715" t="s">
        <v>1267</v>
      </c>
      <c r="C715" t="s">
        <v>1238</v>
      </c>
      <c r="D715" t="s">
        <v>1235</v>
      </c>
      <c r="E715" t="s">
        <v>1231</v>
      </c>
      <c r="F715" t="s">
        <v>132</v>
      </c>
      <c r="G715" t="s">
        <v>1271</v>
      </c>
      <c r="H715" s="10">
        <v>1</v>
      </c>
      <c r="I715" s="10">
        <v>1083.26</v>
      </c>
      <c r="J715" s="10">
        <v>1083.26</v>
      </c>
      <c r="K715" s="10"/>
    </row>
    <row r="716" spans="1:11">
      <c r="A716" s="19">
        <v>45189</v>
      </c>
      <c r="B716" t="s">
        <v>1260</v>
      </c>
      <c r="C716" t="s">
        <v>1233</v>
      </c>
      <c r="D716" t="s">
        <v>1232</v>
      </c>
      <c r="E716" t="s">
        <v>1231</v>
      </c>
      <c r="F716" t="s">
        <v>120</v>
      </c>
      <c r="G716" t="s">
        <v>1276</v>
      </c>
      <c r="H716" s="10">
        <v>1</v>
      </c>
      <c r="I716" s="10">
        <v>4175.7</v>
      </c>
      <c r="J716" s="10">
        <v>4175.7</v>
      </c>
      <c r="K716" s="10"/>
    </row>
    <row r="717" spans="1:11">
      <c r="A717" s="19">
        <v>45189</v>
      </c>
      <c r="B717" t="s">
        <v>1260</v>
      </c>
      <c r="C717" t="s">
        <v>1173</v>
      </c>
      <c r="D717" t="s">
        <v>1237</v>
      </c>
      <c r="E717" t="s">
        <v>1229</v>
      </c>
      <c r="F717" t="s">
        <v>128</v>
      </c>
      <c r="G717" t="s">
        <v>1266</v>
      </c>
      <c r="H717" s="10">
        <v>9</v>
      </c>
      <c r="I717" s="10">
        <v>566.91999999999996</v>
      </c>
      <c r="J717" s="10">
        <v>5102.28</v>
      </c>
      <c r="K717" s="10"/>
    </row>
    <row r="718" spans="1:11">
      <c r="A718" s="19">
        <v>45190</v>
      </c>
      <c r="B718" t="s">
        <v>1265</v>
      </c>
      <c r="C718" t="s">
        <v>1173</v>
      </c>
      <c r="D718" t="s">
        <v>1237</v>
      </c>
      <c r="E718" t="s">
        <v>1229</v>
      </c>
      <c r="F718" t="s">
        <v>132</v>
      </c>
      <c r="G718" t="s">
        <v>1277</v>
      </c>
      <c r="H718" s="10">
        <v>9</v>
      </c>
      <c r="I718" s="10">
        <v>722.44</v>
      </c>
      <c r="J718" s="10">
        <v>6501.96</v>
      </c>
      <c r="K718" s="10"/>
    </row>
    <row r="719" spans="1:11">
      <c r="A719" s="19">
        <v>45190</v>
      </c>
      <c r="B719" t="s">
        <v>1256</v>
      </c>
      <c r="C719" t="s">
        <v>1238</v>
      </c>
      <c r="D719" t="s">
        <v>1235</v>
      </c>
      <c r="E719" t="s">
        <v>1231</v>
      </c>
      <c r="F719" t="s">
        <v>128</v>
      </c>
      <c r="G719" t="s">
        <v>1266</v>
      </c>
      <c r="H719" s="10">
        <v>14</v>
      </c>
      <c r="I719" s="10">
        <v>1024.22</v>
      </c>
      <c r="J719" s="10">
        <v>14339.08</v>
      </c>
      <c r="K719" s="10"/>
    </row>
    <row r="720" spans="1:11">
      <c r="A720" s="19">
        <v>45190</v>
      </c>
      <c r="B720" t="s">
        <v>1258</v>
      </c>
      <c r="C720" t="s">
        <v>1233</v>
      </c>
      <c r="D720" t="s">
        <v>1232</v>
      </c>
      <c r="E720" t="s">
        <v>1231</v>
      </c>
      <c r="F720" t="s">
        <v>1249</v>
      </c>
      <c r="G720" t="s">
        <v>1268</v>
      </c>
      <c r="H720" s="10">
        <v>6</v>
      </c>
      <c r="I720" s="10">
        <v>4911.79</v>
      </c>
      <c r="J720" s="10">
        <v>29470.74</v>
      </c>
      <c r="K720" s="10"/>
    </row>
    <row r="721" spans="1:11">
      <c r="A721" s="19">
        <v>45190</v>
      </c>
      <c r="B721" t="s">
        <v>1265</v>
      </c>
      <c r="C721" t="s">
        <v>1241</v>
      </c>
      <c r="D721" t="s">
        <v>1235</v>
      </c>
      <c r="E721" t="s">
        <v>1231</v>
      </c>
      <c r="F721" t="s">
        <v>128</v>
      </c>
      <c r="G721" t="s">
        <v>1257</v>
      </c>
      <c r="H721" s="10">
        <v>6</v>
      </c>
      <c r="I721" s="10">
        <v>470.36</v>
      </c>
      <c r="J721" s="10">
        <v>2822.16</v>
      </c>
      <c r="K721" s="10"/>
    </row>
    <row r="722" spans="1:11">
      <c r="A722" s="19">
        <v>45190</v>
      </c>
      <c r="B722" t="s">
        <v>1252</v>
      </c>
      <c r="C722" t="s">
        <v>1169</v>
      </c>
      <c r="D722" t="s">
        <v>1230</v>
      </c>
      <c r="E722" t="s">
        <v>1229</v>
      </c>
      <c r="F722" t="s">
        <v>145</v>
      </c>
      <c r="G722" t="s">
        <v>1255</v>
      </c>
      <c r="H722" s="10">
        <v>18</v>
      </c>
      <c r="I722" s="10">
        <v>4150.7700000000004</v>
      </c>
      <c r="J722" s="10">
        <v>74713.86</v>
      </c>
      <c r="K722" s="10"/>
    </row>
    <row r="723" spans="1:11">
      <c r="A723" s="19">
        <v>45190</v>
      </c>
      <c r="B723" t="s">
        <v>1252</v>
      </c>
      <c r="C723" t="s">
        <v>1239</v>
      </c>
      <c r="D723" t="s">
        <v>1237</v>
      </c>
      <c r="E723" t="s">
        <v>1229</v>
      </c>
      <c r="F723" t="s">
        <v>132</v>
      </c>
      <c r="G723" t="s">
        <v>1271</v>
      </c>
      <c r="H723" s="10">
        <v>7</v>
      </c>
      <c r="I723" s="10">
        <v>1940.86</v>
      </c>
      <c r="J723" s="10">
        <v>13586.02</v>
      </c>
      <c r="K723" s="10"/>
    </row>
    <row r="724" spans="1:11">
      <c r="A724" s="19">
        <v>45192</v>
      </c>
      <c r="B724" t="s">
        <v>1252</v>
      </c>
      <c r="C724" t="s">
        <v>1247</v>
      </c>
      <c r="D724" t="s">
        <v>1243</v>
      </c>
      <c r="E724" t="s">
        <v>1242</v>
      </c>
      <c r="F724" t="s">
        <v>120</v>
      </c>
      <c r="G724" t="s">
        <v>1165</v>
      </c>
      <c r="H724" s="10">
        <v>20</v>
      </c>
      <c r="I724" s="10">
        <v>598.97</v>
      </c>
      <c r="J724" s="10">
        <v>11979.4</v>
      </c>
      <c r="K724" s="10"/>
    </row>
    <row r="725" spans="1:11">
      <c r="A725" s="19">
        <v>45192</v>
      </c>
      <c r="B725" t="s">
        <v>1265</v>
      </c>
      <c r="C725" t="s">
        <v>1247</v>
      </c>
      <c r="D725" t="s">
        <v>1243</v>
      </c>
      <c r="E725" t="s">
        <v>1242</v>
      </c>
      <c r="F725" t="s">
        <v>120</v>
      </c>
      <c r="G725" t="s">
        <v>1276</v>
      </c>
      <c r="H725" s="10">
        <v>13</v>
      </c>
      <c r="I725" s="10">
        <v>4121.8</v>
      </c>
      <c r="J725" s="10">
        <v>53583.4</v>
      </c>
      <c r="K725" s="10"/>
    </row>
    <row r="726" spans="1:11">
      <c r="A726" s="19">
        <v>45192</v>
      </c>
      <c r="B726" t="s">
        <v>1267</v>
      </c>
      <c r="C726" t="s">
        <v>1245</v>
      </c>
      <c r="D726" t="s">
        <v>1243</v>
      </c>
      <c r="E726" t="s">
        <v>1242</v>
      </c>
      <c r="F726" t="s">
        <v>132</v>
      </c>
      <c r="G726" t="s">
        <v>1279</v>
      </c>
      <c r="H726" s="10">
        <v>6</v>
      </c>
      <c r="I726" s="10">
        <v>4109.0200000000004</v>
      </c>
      <c r="J726" s="10">
        <v>24654.12</v>
      </c>
      <c r="K726" s="10"/>
    </row>
    <row r="727" spans="1:11">
      <c r="A727" s="19">
        <v>45192</v>
      </c>
      <c r="B727" t="s">
        <v>1254</v>
      </c>
      <c r="C727" t="s">
        <v>1169</v>
      </c>
      <c r="D727" t="s">
        <v>1230</v>
      </c>
      <c r="E727" t="s">
        <v>1229</v>
      </c>
      <c r="F727" t="s">
        <v>1249</v>
      </c>
      <c r="G727" t="s">
        <v>1259</v>
      </c>
      <c r="H727" s="10">
        <v>9</v>
      </c>
      <c r="I727" s="10">
        <v>4639.93</v>
      </c>
      <c r="J727" s="10">
        <v>41759.370000000003</v>
      </c>
      <c r="K727" s="10"/>
    </row>
    <row r="728" spans="1:11">
      <c r="A728" s="19">
        <v>45193</v>
      </c>
      <c r="B728" t="s">
        <v>1269</v>
      </c>
      <c r="C728" t="s">
        <v>1234</v>
      </c>
      <c r="D728" t="s">
        <v>1232</v>
      </c>
      <c r="E728" t="s">
        <v>1231</v>
      </c>
      <c r="F728" t="s">
        <v>1249</v>
      </c>
      <c r="G728" t="s">
        <v>1270</v>
      </c>
      <c r="H728" s="10">
        <v>11</v>
      </c>
      <c r="I728" s="10">
        <v>4446.37</v>
      </c>
      <c r="J728" s="10">
        <v>48910.07</v>
      </c>
      <c r="K728" s="10"/>
    </row>
    <row r="729" spans="1:11">
      <c r="A729" s="19">
        <v>45194</v>
      </c>
      <c r="B729" t="s">
        <v>1267</v>
      </c>
      <c r="C729" t="s">
        <v>1241</v>
      </c>
      <c r="D729" t="s">
        <v>1235</v>
      </c>
      <c r="E729" t="s">
        <v>1231</v>
      </c>
      <c r="F729" t="s">
        <v>145</v>
      </c>
      <c r="G729" t="s">
        <v>1255</v>
      </c>
      <c r="H729" s="10">
        <v>4</v>
      </c>
      <c r="I729" s="10">
        <v>4837.17</v>
      </c>
      <c r="J729" s="10">
        <v>19348.68</v>
      </c>
      <c r="K729" s="10"/>
    </row>
    <row r="730" spans="1:11">
      <c r="A730" s="19">
        <v>45195</v>
      </c>
      <c r="B730" t="s">
        <v>1254</v>
      </c>
      <c r="C730" t="s">
        <v>1246</v>
      </c>
      <c r="D730" t="s">
        <v>1230</v>
      </c>
      <c r="E730" t="s">
        <v>1229</v>
      </c>
      <c r="F730" t="s">
        <v>128</v>
      </c>
      <c r="G730" t="s">
        <v>1264</v>
      </c>
      <c r="H730" s="10">
        <v>1</v>
      </c>
      <c r="I730" s="10">
        <v>2970.66</v>
      </c>
      <c r="J730" s="10">
        <v>2970.66</v>
      </c>
      <c r="K730" s="10"/>
    </row>
    <row r="731" spans="1:11">
      <c r="A731" s="19">
        <v>45195</v>
      </c>
      <c r="B731" t="s">
        <v>1269</v>
      </c>
      <c r="C731" t="s">
        <v>1171</v>
      </c>
      <c r="D731" t="s">
        <v>1237</v>
      </c>
      <c r="E731" t="s">
        <v>1229</v>
      </c>
      <c r="F731" t="s">
        <v>128</v>
      </c>
      <c r="G731" t="s">
        <v>1266</v>
      </c>
      <c r="H731" s="10">
        <v>18</v>
      </c>
      <c r="I731" s="10">
        <v>1957.78</v>
      </c>
      <c r="J731" s="10">
        <v>35240.04</v>
      </c>
      <c r="K731" s="10"/>
    </row>
    <row r="732" spans="1:11">
      <c r="A732" s="19">
        <v>45195</v>
      </c>
      <c r="B732" t="s">
        <v>1260</v>
      </c>
      <c r="C732" t="s">
        <v>1248</v>
      </c>
      <c r="D732" t="s">
        <v>1230</v>
      </c>
      <c r="E732" t="s">
        <v>1229</v>
      </c>
      <c r="F732" t="s">
        <v>120</v>
      </c>
      <c r="G732" t="s">
        <v>1276</v>
      </c>
      <c r="H732" s="10">
        <v>14</v>
      </c>
      <c r="I732" s="10">
        <v>2251.87</v>
      </c>
      <c r="J732" s="10">
        <v>31526.18</v>
      </c>
      <c r="K732" s="10"/>
    </row>
    <row r="733" spans="1:11">
      <c r="A733" s="19">
        <v>45195</v>
      </c>
      <c r="B733" t="s">
        <v>1256</v>
      </c>
      <c r="C733" t="s">
        <v>1247</v>
      </c>
      <c r="D733" t="s">
        <v>1243</v>
      </c>
      <c r="E733" t="s">
        <v>1242</v>
      </c>
      <c r="F733" t="s">
        <v>145</v>
      </c>
      <c r="G733" t="s">
        <v>1255</v>
      </c>
      <c r="H733" s="10">
        <v>2</v>
      </c>
      <c r="I733" s="10">
        <v>2851.64</v>
      </c>
      <c r="J733" s="10">
        <v>5703.28</v>
      </c>
      <c r="K733" s="10"/>
    </row>
    <row r="734" spans="1:11">
      <c r="A734" s="19">
        <v>45195</v>
      </c>
      <c r="B734" t="s">
        <v>1258</v>
      </c>
      <c r="C734" t="s">
        <v>1239</v>
      </c>
      <c r="D734" t="s">
        <v>1237</v>
      </c>
      <c r="E734" t="s">
        <v>1229</v>
      </c>
      <c r="F734" t="s">
        <v>120</v>
      </c>
      <c r="G734" t="s">
        <v>1165</v>
      </c>
      <c r="H734" s="10">
        <v>4</v>
      </c>
      <c r="I734" s="10">
        <v>3684.5</v>
      </c>
      <c r="J734" s="10">
        <v>14738</v>
      </c>
      <c r="K734" s="10"/>
    </row>
    <row r="735" spans="1:11">
      <c r="A735" s="19">
        <v>45196</v>
      </c>
      <c r="B735" t="s">
        <v>1258</v>
      </c>
      <c r="C735" t="s">
        <v>1173</v>
      </c>
      <c r="D735" t="s">
        <v>1237</v>
      </c>
      <c r="E735" t="s">
        <v>1229</v>
      </c>
      <c r="F735" t="s">
        <v>1249</v>
      </c>
      <c r="G735" t="s">
        <v>1272</v>
      </c>
      <c r="H735" s="10">
        <v>10</v>
      </c>
      <c r="I735" s="10">
        <v>4788</v>
      </c>
      <c r="J735" s="10">
        <v>47880</v>
      </c>
      <c r="K735" s="10"/>
    </row>
    <row r="736" spans="1:11">
      <c r="A736" s="19">
        <v>45196</v>
      </c>
      <c r="B736" t="s">
        <v>1265</v>
      </c>
      <c r="C736" t="s">
        <v>1173</v>
      </c>
      <c r="D736" t="s">
        <v>1237</v>
      </c>
      <c r="E736" t="s">
        <v>1229</v>
      </c>
      <c r="F736" t="s">
        <v>145</v>
      </c>
      <c r="G736" t="s">
        <v>1255</v>
      </c>
      <c r="H736" s="10">
        <v>20</v>
      </c>
      <c r="I736" s="10">
        <v>3193.18</v>
      </c>
      <c r="J736" s="10">
        <v>63863.6</v>
      </c>
      <c r="K736" s="10"/>
    </row>
    <row r="737" spans="1:11">
      <c r="A737" s="19">
        <v>45197</v>
      </c>
      <c r="B737" t="s">
        <v>1269</v>
      </c>
      <c r="C737" t="s">
        <v>1239</v>
      </c>
      <c r="D737" t="s">
        <v>1237</v>
      </c>
      <c r="E737" t="s">
        <v>1229</v>
      </c>
      <c r="F737" t="s">
        <v>132</v>
      </c>
      <c r="G737" t="s">
        <v>1271</v>
      </c>
      <c r="H737" s="10">
        <v>9</v>
      </c>
      <c r="I737" s="10">
        <v>3195.18</v>
      </c>
      <c r="J737" s="10">
        <v>28756.62</v>
      </c>
      <c r="K737" s="10"/>
    </row>
    <row r="738" spans="1:11">
      <c r="A738" s="19">
        <v>45197</v>
      </c>
      <c r="B738" t="s">
        <v>1258</v>
      </c>
      <c r="C738" t="s">
        <v>1233</v>
      </c>
      <c r="D738" t="s">
        <v>1232</v>
      </c>
      <c r="E738" t="s">
        <v>1231</v>
      </c>
      <c r="F738" t="s">
        <v>120</v>
      </c>
      <c r="G738" t="s">
        <v>1275</v>
      </c>
      <c r="H738" s="10">
        <v>13</v>
      </c>
      <c r="I738" s="10">
        <v>3520.87</v>
      </c>
      <c r="J738" s="10">
        <v>45771.31</v>
      </c>
      <c r="K738" s="10"/>
    </row>
    <row r="739" spans="1:11">
      <c r="A739" s="19">
        <v>45198</v>
      </c>
      <c r="B739" t="s">
        <v>1258</v>
      </c>
      <c r="C739" t="s">
        <v>1171</v>
      </c>
      <c r="D739" t="s">
        <v>1237</v>
      </c>
      <c r="E739" t="s">
        <v>1229</v>
      </c>
      <c r="F739" t="s">
        <v>132</v>
      </c>
      <c r="G739" t="s">
        <v>1277</v>
      </c>
      <c r="H739" s="10">
        <v>20</v>
      </c>
      <c r="I739" s="10">
        <v>1365.33</v>
      </c>
      <c r="J739" s="10">
        <v>27306.6</v>
      </c>
      <c r="K739" s="10"/>
    </row>
    <row r="740" spans="1:11">
      <c r="A740" s="19">
        <v>45198</v>
      </c>
      <c r="B740" t="s">
        <v>1258</v>
      </c>
      <c r="C740" t="s">
        <v>1245</v>
      </c>
      <c r="D740" t="s">
        <v>1243</v>
      </c>
      <c r="E740" t="s">
        <v>1242</v>
      </c>
      <c r="F740" t="s">
        <v>132</v>
      </c>
      <c r="G740" t="s">
        <v>1271</v>
      </c>
      <c r="H740" s="10">
        <v>17</v>
      </c>
      <c r="I740" s="10">
        <v>2042</v>
      </c>
      <c r="J740" s="10">
        <v>34714</v>
      </c>
      <c r="K740" s="10"/>
    </row>
    <row r="741" spans="1:11">
      <c r="A741" s="19">
        <v>45199</v>
      </c>
      <c r="B741" t="s">
        <v>1258</v>
      </c>
      <c r="C741" t="s">
        <v>1238</v>
      </c>
      <c r="D741" t="s">
        <v>1235</v>
      </c>
      <c r="E741" t="s">
        <v>1231</v>
      </c>
      <c r="F741" t="s">
        <v>145</v>
      </c>
      <c r="G741" t="s">
        <v>1261</v>
      </c>
      <c r="H741" s="10">
        <v>15</v>
      </c>
      <c r="I741" s="10">
        <v>1738.86</v>
      </c>
      <c r="J741" s="10">
        <v>26082.9</v>
      </c>
      <c r="K741" s="10"/>
    </row>
    <row r="742" spans="1:11">
      <c r="A742" s="19">
        <v>45199</v>
      </c>
      <c r="B742" t="s">
        <v>1256</v>
      </c>
      <c r="C742" t="s">
        <v>1240</v>
      </c>
      <c r="D742" t="s">
        <v>1232</v>
      </c>
      <c r="E742" t="s">
        <v>1231</v>
      </c>
      <c r="F742" t="s">
        <v>120</v>
      </c>
      <c r="G742" t="s">
        <v>1164</v>
      </c>
      <c r="H742" s="10">
        <v>16</v>
      </c>
      <c r="I742" s="10">
        <v>284.02</v>
      </c>
      <c r="J742" s="10">
        <v>4544.32</v>
      </c>
      <c r="K742" s="10"/>
    </row>
    <row r="743" spans="1:11">
      <c r="A743" s="19">
        <v>45200</v>
      </c>
      <c r="B743" t="s">
        <v>1254</v>
      </c>
      <c r="C743" t="s">
        <v>1236</v>
      </c>
      <c r="D743" t="s">
        <v>1235</v>
      </c>
      <c r="E743" t="s">
        <v>1231</v>
      </c>
      <c r="F743" t="s">
        <v>128</v>
      </c>
      <c r="G743" t="s">
        <v>1273</v>
      </c>
      <c r="H743" s="10">
        <v>18</v>
      </c>
      <c r="I743" s="10">
        <v>1412.15</v>
      </c>
      <c r="J743" s="10">
        <v>25418.7</v>
      </c>
      <c r="K743" s="10"/>
    </row>
    <row r="744" spans="1:11">
      <c r="A744" s="19">
        <v>45200</v>
      </c>
      <c r="B744" t="s">
        <v>1263</v>
      </c>
      <c r="C744" t="s">
        <v>1244</v>
      </c>
      <c r="D744" t="s">
        <v>1243</v>
      </c>
      <c r="E744" t="s">
        <v>1242</v>
      </c>
      <c r="F744" t="s">
        <v>132</v>
      </c>
      <c r="G744" t="s">
        <v>1253</v>
      </c>
      <c r="H744" s="10">
        <v>7</v>
      </c>
      <c r="I744" s="10">
        <v>405.27</v>
      </c>
      <c r="J744" s="10">
        <v>2836.89</v>
      </c>
      <c r="K744" s="10"/>
    </row>
    <row r="745" spans="1:11">
      <c r="A745" s="19">
        <v>45201</v>
      </c>
      <c r="B745" t="s">
        <v>1260</v>
      </c>
      <c r="C745" t="s">
        <v>1244</v>
      </c>
      <c r="D745" t="s">
        <v>1243</v>
      </c>
      <c r="E745" t="s">
        <v>1242</v>
      </c>
      <c r="F745" t="s">
        <v>132</v>
      </c>
      <c r="G745" t="s">
        <v>1277</v>
      </c>
      <c r="H745" s="10">
        <v>14</v>
      </c>
      <c r="I745" s="10">
        <v>2145.21</v>
      </c>
      <c r="J745" s="10">
        <v>30032.94</v>
      </c>
      <c r="K745" s="10"/>
    </row>
    <row r="746" spans="1:11">
      <c r="A746" s="19">
        <v>45201</v>
      </c>
      <c r="B746" t="s">
        <v>1262</v>
      </c>
      <c r="C746" t="s">
        <v>1241</v>
      </c>
      <c r="D746" t="s">
        <v>1235</v>
      </c>
      <c r="E746" t="s">
        <v>1231</v>
      </c>
      <c r="F746" t="s">
        <v>1249</v>
      </c>
      <c r="G746" t="s">
        <v>1272</v>
      </c>
      <c r="H746" s="10">
        <v>19</v>
      </c>
      <c r="I746" s="10">
        <v>797.02</v>
      </c>
      <c r="J746" s="10">
        <v>15143.38</v>
      </c>
      <c r="K746" s="10"/>
    </row>
    <row r="747" spans="1:11">
      <c r="A747" s="19">
        <v>45201</v>
      </c>
      <c r="B747" t="s">
        <v>1265</v>
      </c>
      <c r="C747" t="s">
        <v>1245</v>
      </c>
      <c r="D747" t="s">
        <v>1243</v>
      </c>
      <c r="E747" t="s">
        <v>1242</v>
      </c>
      <c r="F747" t="s">
        <v>1249</v>
      </c>
      <c r="G747" t="s">
        <v>1272</v>
      </c>
      <c r="H747" s="10">
        <v>14</v>
      </c>
      <c r="I747" s="10">
        <v>4235.22</v>
      </c>
      <c r="J747" s="10">
        <v>59293.08</v>
      </c>
      <c r="K747" s="10"/>
    </row>
    <row r="748" spans="1:11">
      <c r="A748" s="19">
        <v>45201</v>
      </c>
      <c r="B748" t="s">
        <v>1252</v>
      </c>
      <c r="C748" t="s">
        <v>1234</v>
      </c>
      <c r="D748" t="s">
        <v>1232</v>
      </c>
      <c r="E748" t="s">
        <v>1231</v>
      </c>
      <c r="F748" t="s">
        <v>1249</v>
      </c>
      <c r="G748" t="s">
        <v>1268</v>
      </c>
      <c r="H748" s="10">
        <v>1</v>
      </c>
      <c r="I748" s="10">
        <v>414.64</v>
      </c>
      <c r="J748" s="10">
        <v>414.64</v>
      </c>
      <c r="K748" s="10"/>
    </row>
    <row r="749" spans="1:11">
      <c r="A749" s="19">
        <v>45202</v>
      </c>
      <c r="B749" t="s">
        <v>1254</v>
      </c>
      <c r="C749" t="s">
        <v>1233</v>
      </c>
      <c r="D749" t="s">
        <v>1232</v>
      </c>
      <c r="E749" t="s">
        <v>1231</v>
      </c>
      <c r="F749" t="s">
        <v>132</v>
      </c>
      <c r="G749" t="s">
        <v>1277</v>
      </c>
      <c r="H749" s="10">
        <v>3</v>
      </c>
      <c r="I749" s="10">
        <v>3613.98</v>
      </c>
      <c r="J749" s="10">
        <v>10841.94</v>
      </c>
      <c r="K749" s="10"/>
    </row>
    <row r="750" spans="1:11">
      <c r="A750" s="19">
        <v>45202</v>
      </c>
      <c r="B750" t="s">
        <v>1263</v>
      </c>
      <c r="C750" t="s">
        <v>1240</v>
      </c>
      <c r="D750" t="s">
        <v>1232</v>
      </c>
      <c r="E750" t="s">
        <v>1231</v>
      </c>
      <c r="F750" t="s">
        <v>132</v>
      </c>
      <c r="G750" t="s">
        <v>1279</v>
      </c>
      <c r="H750" s="10">
        <v>8</v>
      </c>
      <c r="I750" s="10">
        <v>2986.89</v>
      </c>
      <c r="J750" s="10">
        <v>23895.119999999999</v>
      </c>
      <c r="K750" s="10"/>
    </row>
    <row r="751" spans="1:11">
      <c r="A751" s="19">
        <v>45202</v>
      </c>
      <c r="B751" t="s">
        <v>1267</v>
      </c>
      <c r="C751" t="s">
        <v>1240</v>
      </c>
      <c r="D751" t="s">
        <v>1232</v>
      </c>
      <c r="E751" t="s">
        <v>1231</v>
      </c>
      <c r="F751" t="s">
        <v>120</v>
      </c>
      <c r="G751" t="s">
        <v>1275</v>
      </c>
      <c r="H751" s="10">
        <v>6</v>
      </c>
      <c r="I751" s="10">
        <v>4086.27</v>
      </c>
      <c r="J751" s="10">
        <v>24517.62</v>
      </c>
      <c r="K751" s="10"/>
    </row>
    <row r="752" spans="1:11">
      <c r="A752" s="19">
        <v>45203</v>
      </c>
      <c r="B752" t="s">
        <v>1263</v>
      </c>
      <c r="C752" t="s">
        <v>1247</v>
      </c>
      <c r="D752" t="s">
        <v>1243</v>
      </c>
      <c r="E752" t="s">
        <v>1242</v>
      </c>
      <c r="F752" t="s">
        <v>145</v>
      </c>
      <c r="G752" t="s">
        <v>1255</v>
      </c>
      <c r="H752" s="10">
        <v>1</v>
      </c>
      <c r="I752" s="10">
        <v>4813.2299999999996</v>
      </c>
      <c r="J752" s="10">
        <v>4813.2299999999996</v>
      </c>
      <c r="K752" s="10"/>
    </row>
    <row r="753" spans="1:11">
      <c r="A753" s="19">
        <v>45203</v>
      </c>
      <c r="B753" t="s">
        <v>1258</v>
      </c>
      <c r="C753" t="s">
        <v>1234</v>
      </c>
      <c r="D753" t="s">
        <v>1232</v>
      </c>
      <c r="E753" t="s">
        <v>1231</v>
      </c>
      <c r="F753" t="s">
        <v>132</v>
      </c>
      <c r="G753" t="s">
        <v>1277</v>
      </c>
      <c r="H753" s="10">
        <v>3</v>
      </c>
      <c r="I753" s="10">
        <v>384.96</v>
      </c>
      <c r="J753" s="10">
        <v>1154.8800000000001</v>
      </c>
      <c r="K753" s="10"/>
    </row>
    <row r="754" spans="1:11">
      <c r="A754" s="19">
        <v>45203</v>
      </c>
      <c r="B754" t="s">
        <v>1252</v>
      </c>
      <c r="C754" t="s">
        <v>1240</v>
      </c>
      <c r="D754" t="s">
        <v>1232</v>
      </c>
      <c r="E754" t="s">
        <v>1231</v>
      </c>
      <c r="F754" t="s">
        <v>120</v>
      </c>
      <c r="G754" t="s">
        <v>1164</v>
      </c>
      <c r="H754" s="10">
        <v>12</v>
      </c>
      <c r="I754" s="10">
        <v>231.07</v>
      </c>
      <c r="J754" s="10">
        <v>2772.84</v>
      </c>
      <c r="K754" s="10"/>
    </row>
    <row r="755" spans="1:11">
      <c r="A755" s="19">
        <v>45203</v>
      </c>
      <c r="B755" t="s">
        <v>1256</v>
      </c>
      <c r="C755" t="s">
        <v>1238</v>
      </c>
      <c r="D755" t="s">
        <v>1235</v>
      </c>
      <c r="E755" t="s">
        <v>1231</v>
      </c>
      <c r="F755" t="s">
        <v>145</v>
      </c>
      <c r="G755" t="s">
        <v>1261</v>
      </c>
      <c r="H755" s="10">
        <v>7</v>
      </c>
      <c r="I755" s="10">
        <v>1073.54</v>
      </c>
      <c r="J755" s="10">
        <v>7514.78</v>
      </c>
      <c r="K755" s="10"/>
    </row>
    <row r="756" spans="1:11">
      <c r="A756" s="19">
        <v>45204</v>
      </c>
      <c r="B756" t="s">
        <v>1265</v>
      </c>
      <c r="C756" t="s">
        <v>1241</v>
      </c>
      <c r="D756" t="s">
        <v>1235</v>
      </c>
      <c r="E756" t="s">
        <v>1231</v>
      </c>
      <c r="F756" t="s">
        <v>1249</v>
      </c>
      <c r="G756" t="s">
        <v>1268</v>
      </c>
      <c r="H756" s="10">
        <v>16</v>
      </c>
      <c r="I756" s="10">
        <v>1880.67</v>
      </c>
      <c r="J756" s="10">
        <v>30090.720000000001</v>
      </c>
      <c r="K756" s="10"/>
    </row>
    <row r="757" spans="1:11">
      <c r="A757" s="19">
        <v>45204</v>
      </c>
      <c r="B757" t="s">
        <v>1265</v>
      </c>
      <c r="C757" t="s">
        <v>1240</v>
      </c>
      <c r="D757" t="s">
        <v>1232</v>
      </c>
      <c r="E757" t="s">
        <v>1231</v>
      </c>
      <c r="F757" t="s">
        <v>132</v>
      </c>
      <c r="G757" t="s">
        <v>1271</v>
      </c>
      <c r="H757" s="10">
        <v>11</v>
      </c>
      <c r="I757" s="10">
        <v>1673.53</v>
      </c>
      <c r="J757" s="10">
        <v>18408.830000000002</v>
      </c>
      <c r="K757" s="10"/>
    </row>
    <row r="758" spans="1:11">
      <c r="A758" s="19">
        <v>45204</v>
      </c>
      <c r="B758" t="s">
        <v>1269</v>
      </c>
      <c r="C758" t="s">
        <v>1246</v>
      </c>
      <c r="D758" t="s">
        <v>1230</v>
      </c>
      <c r="E758" t="s">
        <v>1229</v>
      </c>
      <c r="F758" t="s">
        <v>120</v>
      </c>
      <c r="G758" t="s">
        <v>1165</v>
      </c>
      <c r="H758" s="10">
        <v>9</v>
      </c>
      <c r="I758" s="10">
        <v>1605.02</v>
      </c>
      <c r="J758" s="10">
        <v>14445.18</v>
      </c>
      <c r="K758" s="10"/>
    </row>
    <row r="759" spans="1:11">
      <c r="A759" s="19">
        <v>45204</v>
      </c>
      <c r="B759" t="s">
        <v>1260</v>
      </c>
      <c r="C759" t="s">
        <v>1245</v>
      </c>
      <c r="D759" t="s">
        <v>1243</v>
      </c>
      <c r="E759" t="s">
        <v>1242</v>
      </c>
      <c r="F759" t="s">
        <v>132</v>
      </c>
      <c r="G759" t="s">
        <v>1271</v>
      </c>
      <c r="H759" s="10">
        <v>5</v>
      </c>
      <c r="I759" s="10">
        <v>1568.68</v>
      </c>
      <c r="J759" s="10">
        <v>7843.4</v>
      </c>
      <c r="K759" s="10"/>
    </row>
    <row r="760" spans="1:11">
      <c r="A760" s="19">
        <v>45204</v>
      </c>
      <c r="B760" t="s">
        <v>1267</v>
      </c>
      <c r="C760" t="s">
        <v>1245</v>
      </c>
      <c r="D760" t="s">
        <v>1243</v>
      </c>
      <c r="E760" t="s">
        <v>1242</v>
      </c>
      <c r="F760" t="s">
        <v>120</v>
      </c>
      <c r="G760" t="s">
        <v>1275</v>
      </c>
      <c r="H760" s="10">
        <v>2</v>
      </c>
      <c r="I760" s="10">
        <v>4112.53</v>
      </c>
      <c r="J760" s="10">
        <v>8225.06</v>
      </c>
      <c r="K760" s="10"/>
    </row>
    <row r="761" spans="1:11">
      <c r="A761" s="19">
        <v>45205</v>
      </c>
      <c r="B761" t="s">
        <v>1254</v>
      </c>
      <c r="C761" t="s">
        <v>1245</v>
      </c>
      <c r="D761" t="s">
        <v>1243</v>
      </c>
      <c r="E761" t="s">
        <v>1242</v>
      </c>
      <c r="F761" t="s">
        <v>1249</v>
      </c>
      <c r="G761" t="s">
        <v>1270</v>
      </c>
      <c r="H761" s="10">
        <v>16</v>
      </c>
      <c r="I761" s="10">
        <v>242.23</v>
      </c>
      <c r="J761" s="10">
        <v>3875.68</v>
      </c>
      <c r="K761" s="10"/>
    </row>
    <row r="762" spans="1:11">
      <c r="A762" s="19">
        <v>45205</v>
      </c>
      <c r="B762" t="s">
        <v>1269</v>
      </c>
      <c r="C762" t="s">
        <v>1241</v>
      </c>
      <c r="D762" t="s">
        <v>1235</v>
      </c>
      <c r="E762" t="s">
        <v>1231</v>
      </c>
      <c r="F762" t="s">
        <v>132</v>
      </c>
      <c r="G762" t="s">
        <v>1277</v>
      </c>
      <c r="H762" s="10">
        <v>20</v>
      </c>
      <c r="I762" s="10">
        <v>1710.93</v>
      </c>
      <c r="J762" s="10">
        <v>34218.6</v>
      </c>
      <c r="K762" s="10"/>
    </row>
    <row r="763" spans="1:11">
      <c r="A763" s="19">
        <v>45205</v>
      </c>
      <c r="B763" t="s">
        <v>1252</v>
      </c>
      <c r="C763" t="s">
        <v>1248</v>
      </c>
      <c r="D763" t="s">
        <v>1230</v>
      </c>
      <c r="E763" t="s">
        <v>1229</v>
      </c>
      <c r="F763" t="s">
        <v>132</v>
      </c>
      <c r="G763" t="s">
        <v>1277</v>
      </c>
      <c r="H763" s="10">
        <v>15</v>
      </c>
      <c r="I763" s="10">
        <v>4146.03</v>
      </c>
      <c r="J763" s="10">
        <v>62190.45</v>
      </c>
      <c r="K763" s="10"/>
    </row>
    <row r="764" spans="1:11">
      <c r="A764" s="19">
        <v>45205</v>
      </c>
      <c r="B764" t="s">
        <v>1265</v>
      </c>
      <c r="C764" t="s">
        <v>1169</v>
      </c>
      <c r="D764" t="s">
        <v>1230</v>
      </c>
      <c r="E764" t="s">
        <v>1229</v>
      </c>
      <c r="F764" t="s">
        <v>120</v>
      </c>
      <c r="G764" t="s">
        <v>1275</v>
      </c>
      <c r="H764" s="10">
        <v>5</v>
      </c>
      <c r="I764" s="10">
        <v>4106.79</v>
      </c>
      <c r="J764" s="10">
        <v>20533.95</v>
      </c>
      <c r="K764" s="10"/>
    </row>
    <row r="765" spans="1:11">
      <c r="A765" s="19">
        <v>45205</v>
      </c>
      <c r="B765" t="s">
        <v>1260</v>
      </c>
      <c r="C765" t="s">
        <v>1247</v>
      </c>
      <c r="D765" t="s">
        <v>1243</v>
      </c>
      <c r="E765" t="s">
        <v>1242</v>
      </c>
      <c r="F765" t="s">
        <v>120</v>
      </c>
      <c r="G765" t="s">
        <v>1276</v>
      </c>
      <c r="H765" s="10">
        <v>11</v>
      </c>
      <c r="I765" s="10">
        <v>3424.45</v>
      </c>
      <c r="J765" s="10">
        <v>37668.949999999997</v>
      </c>
      <c r="K765" s="10"/>
    </row>
    <row r="766" spans="1:11">
      <c r="A766" s="19">
        <v>45206</v>
      </c>
      <c r="B766" t="s">
        <v>1254</v>
      </c>
      <c r="C766" t="s">
        <v>1239</v>
      </c>
      <c r="D766" t="s">
        <v>1237</v>
      </c>
      <c r="E766" t="s">
        <v>1229</v>
      </c>
      <c r="F766" t="s">
        <v>145</v>
      </c>
      <c r="G766" t="s">
        <v>1255</v>
      </c>
      <c r="H766" s="10">
        <v>14</v>
      </c>
      <c r="I766" s="10">
        <v>3414.59</v>
      </c>
      <c r="J766" s="10">
        <v>47804.26</v>
      </c>
      <c r="K766" s="10"/>
    </row>
    <row r="767" spans="1:11">
      <c r="A767" s="19">
        <v>45206</v>
      </c>
      <c r="B767" t="s">
        <v>1263</v>
      </c>
      <c r="C767" t="s">
        <v>1244</v>
      </c>
      <c r="D767" t="s">
        <v>1243</v>
      </c>
      <c r="E767" t="s">
        <v>1242</v>
      </c>
      <c r="F767" t="s">
        <v>132</v>
      </c>
      <c r="G767" t="s">
        <v>1277</v>
      </c>
      <c r="H767" s="10">
        <v>16</v>
      </c>
      <c r="I767" s="10">
        <v>3296.61</v>
      </c>
      <c r="J767" s="10">
        <v>52745.760000000002</v>
      </c>
      <c r="K767" s="10"/>
    </row>
    <row r="768" spans="1:11">
      <c r="A768" s="19">
        <v>45206</v>
      </c>
      <c r="B768" t="s">
        <v>1256</v>
      </c>
      <c r="C768" t="s">
        <v>1233</v>
      </c>
      <c r="D768" t="s">
        <v>1232</v>
      </c>
      <c r="E768" t="s">
        <v>1231</v>
      </c>
      <c r="F768" t="s">
        <v>120</v>
      </c>
      <c r="G768" t="s">
        <v>1276</v>
      </c>
      <c r="H768" s="10">
        <v>19</v>
      </c>
      <c r="I768" s="10">
        <v>4996.28</v>
      </c>
      <c r="J768" s="10">
        <v>94929.32</v>
      </c>
      <c r="K768" s="10"/>
    </row>
    <row r="769" spans="1:11">
      <c r="A769" s="19">
        <v>45206</v>
      </c>
      <c r="B769" t="s">
        <v>1262</v>
      </c>
      <c r="C769" t="s">
        <v>1244</v>
      </c>
      <c r="D769" t="s">
        <v>1243</v>
      </c>
      <c r="E769" t="s">
        <v>1242</v>
      </c>
      <c r="F769" t="s">
        <v>132</v>
      </c>
      <c r="G769" t="s">
        <v>1277</v>
      </c>
      <c r="H769" s="10">
        <v>19</v>
      </c>
      <c r="I769" s="10">
        <v>4089.21</v>
      </c>
      <c r="J769" s="10">
        <v>77694.990000000005</v>
      </c>
      <c r="K769" s="10"/>
    </row>
    <row r="770" spans="1:11">
      <c r="A770" s="19">
        <v>45207</v>
      </c>
      <c r="B770" t="s">
        <v>1269</v>
      </c>
      <c r="C770" t="s">
        <v>1171</v>
      </c>
      <c r="D770" t="s">
        <v>1237</v>
      </c>
      <c r="E770" t="s">
        <v>1229</v>
      </c>
      <c r="F770" t="s">
        <v>132</v>
      </c>
      <c r="G770" t="s">
        <v>1277</v>
      </c>
      <c r="H770" s="10">
        <v>3</v>
      </c>
      <c r="I770" s="10">
        <v>2950.28</v>
      </c>
      <c r="J770" s="10">
        <v>8850.84</v>
      </c>
      <c r="K770" s="10"/>
    </row>
    <row r="771" spans="1:11">
      <c r="A771" s="19">
        <v>45207</v>
      </c>
      <c r="B771" t="s">
        <v>1256</v>
      </c>
      <c r="C771" t="s">
        <v>1247</v>
      </c>
      <c r="D771" t="s">
        <v>1243</v>
      </c>
      <c r="E771" t="s">
        <v>1242</v>
      </c>
      <c r="F771" t="s">
        <v>128</v>
      </c>
      <c r="G771" t="s">
        <v>1257</v>
      </c>
      <c r="H771" s="10">
        <v>19</v>
      </c>
      <c r="I771" s="10">
        <v>2862.47</v>
      </c>
      <c r="J771" s="10">
        <v>54386.93</v>
      </c>
      <c r="K771" s="10"/>
    </row>
    <row r="772" spans="1:11">
      <c r="A772" s="19">
        <v>45207</v>
      </c>
      <c r="B772" t="s">
        <v>1260</v>
      </c>
      <c r="C772" t="s">
        <v>1236</v>
      </c>
      <c r="D772" t="s">
        <v>1235</v>
      </c>
      <c r="E772" t="s">
        <v>1231</v>
      </c>
      <c r="F772" t="s">
        <v>145</v>
      </c>
      <c r="G772" t="s">
        <v>1261</v>
      </c>
      <c r="H772" s="10">
        <v>7</v>
      </c>
      <c r="I772" s="10">
        <v>3820.3</v>
      </c>
      <c r="J772" s="10">
        <v>26742.1</v>
      </c>
      <c r="K772" s="10"/>
    </row>
    <row r="773" spans="1:11">
      <c r="A773" s="19">
        <v>45207</v>
      </c>
      <c r="B773" t="s">
        <v>1254</v>
      </c>
      <c r="C773" t="s">
        <v>1246</v>
      </c>
      <c r="D773" t="s">
        <v>1230</v>
      </c>
      <c r="E773" t="s">
        <v>1229</v>
      </c>
      <c r="F773" t="s">
        <v>1249</v>
      </c>
      <c r="G773" t="s">
        <v>1272</v>
      </c>
      <c r="H773" s="10">
        <v>16</v>
      </c>
      <c r="I773" s="10">
        <v>2347.21</v>
      </c>
      <c r="J773" s="10">
        <v>37555.360000000001</v>
      </c>
      <c r="K773" s="10"/>
    </row>
    <row r="774" spans="1:11">
      <c r="A774" s="19">
        <v>45208</v>
      </c>
      <c r="B774" t="s">
        <v>1256</v>
      </c>
      <c r="C774" t="s">
        <v>1240</v>
      </c>
      <c r="D774" t="s">
        <v>1232</v>
      </c>
      <c r="E774" t="s">
        <v>1231</v>
      </c>
      <c r="F774" t="s">
        <v>120</v>
      </c>
      <c r="G774" t="s">
        <v>1275</v>
      </c>
      <c r="H774" s="10">
        <v>7</v>
      </c>
      <c r="I774" s="10">
        <v>1557.83</v>
      </c>
      <c r="J774" s="10">
        <v>10904.81</v>
      </c>
      <c r="K774" s="10"/>
    </row>
    <row r="775" spans="1:11">
      <c r="A775" s="19">
        <v>45208</v>
      </c>
      <c r="B775" t="s">
        <v>1260</v>
      </c>
      <c r="C775" t="s">
        <v>1240</v>
      </c>
      <c r="D775" t="s">
        <v>1232</v>
      </c>
      <c r="E775" t="s">
        <v>1231</v>
      </c>
      <c r="F775" t="s">
        <v>145</v>
      </c>
      <c r="G775" t="s">
        <v>1274</v>
      </c>
      <c r="H775" s="10">
        <v>16</v>
      </c>
      <c r="I775" s="10">
        <v>1873.12</v>
      </c>
      <c r="J775" s="10">
        <v>29969.919999999998</v>
      </c>
      <c r="K775" s="10"/>
    </row>
    <row r="776" spans="1:11">
      <c r="A776" s="19">
        <v>45208</v>
      </c>
      <c r="B776" t="s">
        <v>1263</v>
      </c>
      <c r="C776" t="s">
        <v>1173</v>
      </c>
      <c r="D776" t="s">
        <v>1237</v>
      </c>
      <c r="E776" t="s">
        <v>1229</v>
      </c>
      <c r="F776" t="s">
        <v>128</v>
      </c>
      <c r="G776" t="s">
        <v>1273</v>
      </c>
      <c r="H776" s="10">
        <v>19</v>
      </c>
      <c r="I776" s="10">
        <v>4186.6400000000003</v>
      </c>
      <c r="J776" s="10">
        <v>79546.16</v>
      </c>
      <c r="K776" s="10"/>
    </row>
    <row r="777" spans="1:11">
      <c r="A777" s="19">
        <v>45209</v>
      </c>
      <c r="B777" t="s">
        <v>1260</v>
      </c>
      <c r="C777" t="s">
        <v>1238</v>
      </c>
      <c r="D777" t="s">
        <v>1235</v>
      </c>
      <c r="E777" t="s">
        <v>1231</v>
      </c>
      <c r="F777" t="s">
        <v>132</v>
      </c>
      <c r="G777" t="s">
        <v>1271</v>
      </c>
      <c r="H777" s="10">
        <v>3</v>
      </c>
      <c r="I777" s="10">
        <v>3591.92</v>
      </c>
      <c r="J777" s="10">
        <v>10775.76</v>
      </c>
      <c r="K777" s="10"/>
    </row>
    <row r="778" spans="1:11">
      <c r="A778" s="19">
        <v>45209</v>
      </c>
      <c r="B778" t="s">
        <v>1265</v>
      </c>
      <c r="C778" t="s">
        <v>1240</v>
      </c>
      <c r="D778" t="s">
        <v>1232</v>
      </c>
      <c r="E778" t="s">
        <v>1231</v>
      </c>
      <c r="F778" t="s">
        <v>120</v>
      </c>
      <c r="G778" t="s">
        <v>1275</v>
      </c>
      <c r="H778" s="10">
        <v>18</v>
      </c>
      <c r="I778" s="10">
        <v>584.4</v>
      </c>
      <c r="J778" s="10">
        <v>10519.2</v>
      </c>
      <c r="K778" s="10"/>
    </row>
    <row r="779" spans="1:11">
      <c r="A779" s="19">
        <v>45210</v>
      </c>
      <c r="B779" t="s">
        <v>1263</v>
      </c>
      <c r="C779" t="s">
        <v>1173</v>
      </c>
      <c r="D779" t="s">
        <v>1237</v>
      </c>
      <c r="E779" t="s">
        <v>1229</v>
      </c>
      <c r="F779" t="s">
        <v>120</v>
      </c>
      <c r="G779" t="s">
        <v>1275</v>
      </c>
      <c r="H779" s="10">
        <v>4</v>
      </c>
      <c r="I779" s="10">
        <v>3896.69</v>
      </c>
      <c r="J779" s="10">
        <v>15586.76</v>
      </c>
      <c r="K779" s="10"/>
    </row>
    <row r="780" spans="1:11">
      <c r="A780" s="19">
        <v>45211</v>
      </c>
      <c r="B780" t="s">
        <v>1263</v>
      </c>
      <c r="C780" t="s">
        <v>1171</v>
      </c>
      <c r="D780" t="s">
        <v>1237</v>
      </c>
      <c r="E780" t="s">
        <v>1229</v>
      </c>
      <c r="F780" t="s">
        <v>1249</v>
      </c>
      <c r="G780" t="s">
        <v>1268</v>
      </c>
      <c r="H780" s="10">
        <v>5</v>
      </c>
      <c r="I780" s="10">
        <v>2819.92</v>
      </c>
      <c r="J780" s="10">
        <v>14099.6</v>
      </c>
      <c r="K780" s="10"/>
    </row>
    <row r="781" spans="1:11">
      <c r="A781" s="19">
        <v>45211</v>
      </c>
      <c r="B781" t="s">
        <v>1252</v>
      </c>
      <c r="C781" t="s">
        <v>1244</v>
      </c>
      <c r="D781" t="s">
        <v>1243</v>
      </c>
      <c r="E781" t="s">
        <v>1242</v>
      </c>
      <c r="F781" t="s">
        <v>120</v>
      </c>
      <c r="G781" t="s">
        <v>1276</v>
      </c>
      <c r="H781" s="10">
        <v>20</v>
      </c>
      <c r="I781" s="10">
        <v>4049.4</v>
      </c>
      <c r="J781" s="10">
        <v>80988</v>
      </c>
      <c r="K781" s="10"/>
    </row>
    <row r="782" spans="1:11">
      <c r="A782" s="19">
        <v>45212</v>
      </c>
      <c r="B782" t="s">
        <v>1256</v>
      </c>
      <c r="C782" t="s">
        <v>1234</v>
      </c>
      <c r="D782" t="s">
        <v>1232</v>
      </c>
      <c r="E782" t="s">
        <v>1231</v>
      </c>
      <c r="F782" t="s">
        <v>132</v>
      </c>
      <c r="G782" t="s">
        <v>1279</v>
      </c>
      <c r="H782" s="10">
        <v>20</v>
      </c>
      <c r="I782" s="10">
        <v>2449.44</v>
      </c>
      <c r="J782" s="10">
        <v>48988.800000000003</v>
      </c>
      <c r="K782" s="10"/>
    </row>
    <row r="783" spans="1:11">
      <c r="A783" s="19">
        <v>45212</v>
      </c>
      <c r="B783" t="s">
        <v>1256</v>
      </c>
      <c r="C783" t="s">
        <v>1236</v>
      </c>
      <c r="D783" t="s">
        <v>1235</v>
      </c>
      <c r="E783" t="s">
        <v>1231</v>
      </c>
      <c r="F783" t="s">
        <v>1249</v>
      </c>
      <c r="G783" t="s">
        <v>1268</v>
      </c>
      <c r="H783" s="10">
        <v>17</v>
      </c>
      <c r="I783" s="10">
        <v>1975.71</v>
      </c>
      <c r="J783" s="10">
        <v>33587.07</v>
      </c>
      <c r="K783" s="10"/>
    </row>
    <row r="784" spans="1:11">
      <c r="A784" s="19">
        <v>45213</v>
      </c>
      <c r="B784" t="s">
        <v>1260</v>
      </c>
      <c r="C784" t="s">
        <v>1239</v>
      </c>
      <c r="D784" t="s">
        <v>1237</v>
      </c>
      <c r="E784" t="s">
        <v>1229</v>
      </c>
      <c r="F784" t="s">
        <v>132</v>
      </c>
      <c r="G784" t="s">
        <v>1271</v>
      </c>
      <c r="H784" s="10">
        <v>20</v>
      </c>
      <c r="I784" s="10">
        <v>1108.83</v>
      </c>
      <c r="J784" s="10">
        <v>22176.6</v>
      </c>
      <c r="K784" s="10"/>
    </row>
    <row r="785" spans="1:11">
      <c r="A785" s="19">
        <v>45213</v>
      </c>
      <c r="B785" t="s">
        <v>1254</v>
      </c>
      <c r="C785" t="s">
        <v>1248</v>
      </c>
      <c r="D785" t="s">
        <v>1230</v>
      </c>
      <c r="E785" t="s">
        <v>1229</v>
      </c>
      <c r="F785" t="s">
        <v>132</v>
      </c>
      <c r="G785" t="s">
        <v>1277</v>
      </c>
      <c r="H785" s="10">
        <v>13</v>
      </c>
      <c r="I785" s="10">
        <v>956.49</v>
      </c>
      <c r="J785" s="10">
        <v>12434.37</v>
      </c>
      <c r="K785" s="10"/>
    </row>
    <row r="786" spans="1:11">
      <c r="A786" s="19">
        <v>45214</v>
      </c>
      <c r="B786" t="s">
        <v>1254</v>
      </c>
      <c r="C786" t="s">
        <v>1240</v>
      </c>
      <c r="D786" t="s">
        <v>1232</v>
      </c>
      <c r="E786" t="s">
        <v>1231</v>
      </c>
      <c r="F786" t="s">
        <v>128</v>
      </c>
      <c r="G786" t="s">
        <v>1257</v>
      </c>
      <c r="H786" s="10">
        <v>9</v>
      </c>
      <c r="I786" s="10">
        <v>4487</v>
      </c>
      <c r="J786" s="10">
        <v>40383</v>
      </c>
      <c r="K786" s="10"/>
    </row>
    <row r="787" spans="1:11">
      <c r="A787" s="19">
        <v>45214</v>
      </c>
      <c r="B787" t="s">
        <v>1263</v>
      </c>
      <c r="C787" t="s">
        <v>1244</v>
      </c>
      <c r="D787" t="s">
        <v>1243</v>
      </c>
      <c r="E787" t="s">
        <v>1242</v>
      </c>
      <c r="F787" t="s">
        <v>1249</v>
      </c>
      <c r="G787" t="s">
        <v>1270</v>
      </c>
      <c r="H787" s="10">
        <v>6</v>
      </c>
      <c r="I787" s="10">
        <v>830.82</v>
      </c>
      <c r="J787" s="10">
        <v>4984.92</v>
      </c>
      <c r="K787" s="10"/>
    </row>
    <row r="788" spans="1:11">
      <c r="A788" s="19">
        <v>45214</v>
      </c>
      <c r="B788" t="s">
        <v>1269</v>
      </c>
      <c r="C788" t="s">
        <v>1233</v>
      </c>
      <c r="D788" t="s">
        <v>1232</v>
      </c>
      <c r="E788" t="s">
        <v>1231</v>
      </c>
      <c r="F788" t="s">
        <v>120</v>
      </c>
      <c r="G788" t="s">
        <v>1276</v>
      </c>
      <c r="H788" s="10">
        <v>4</v>
      </c>
      <c r="I788" s="10">
        <v>1241.21</v>
      </c>
      <c r="J788" s="10">
        <v>4964.84</v>
      </c>
      <c r="K788" s="10"/>
    </row>
    <row r="789" spans="1:11">
      <c r="A789" s="19">
        <v>45214</v>
      </c>
      <c r="B789" t="s">
        <v>1262</v>
      </c>
      <c r="C789" t="s">
        <v>1248</v>
      </c>
      <c r="D789" t="s">
        <v>1230</v>
      </c>
      <c r="E789" t="s">
        <v>1229</v>
      </c>
      <c r="F789" t="s">
        <v>132</v>
      </c>
      <c r="G789" t="s">
        <v>1271</v>
      </c>
      <c r="H789" s="10">
        <v>5</v>
      </c>
      <c r="I789" s="10">
        <v>606.49</v>
      </c>
      <c r="J789" s="10">
        <v>3032.45</v>
      </c>
      <c r="K789" s="10"/>
    </row>
    <row r="790" spans="1:11">
      <c r="A790" s="19">
        <v>45214</v>
      </c>
      <c r="B790" t="s">
        <v>1258</v>
      </c>
      <c r="C790" t="s">
        <v>1233</v>
      </c>
      <c r="D790" t="s">
        <v>1232</v>
      </c>
      <c r="E790" t="s">
        <v>1231</v>
      </c>
      <c r="F790" t="s">
        <v>128</v>
      </c>
      <c r="G790" t="s">
        <v>1264</v>
      </c>
      <c r="H790" s="10">
        <v>10</v>
      </c>
      <c r="I790" s="10">
        <v>651.83000000000004</v>
      </c>
      <c r="J790" s="10">
        <v>6518.3</v>
      </c>
      <c r="K790" s="10"/>
    </row>
    <row r="791" spans="1:11">
      <c r="A791" s="19">
        <v>45215</v>
      </c>
      <c r="B791" t="s">
        <v>1265</v>
      </c>
      <c r="C791" t="s">
        <v>1173</v>
      </c>
      <c r="D791" t="s">
        <v>1237</v>
      </c>
      <c r="E791" t="s">
        <v>1229</v>
      </c>
      <c r="F791" t="s">
        <v>120</v>
      </c>
      <c r="G791" t="s">
        <v>1276</v>
      </c>
      <c r="H791" s="10">
        <v>19</v>
      </c>
      <c r="I791" s="10">
        <v>1844.31</v>
      </c>
      <c r="J791" s="10">
        <v>35041.89</v>
      </c>
      <c r="K791" s="10"/>
    </row>
    <row r="792" spans="1:11">
      <c r="A792" s="19">
        <v>45215</v>
      </c>
      <c r="B792" t="s">
        <v>1269</v>
      </c>
      <c r="C792" t="s">
        <v>1248</v>
      </c>
      <c r="D792" t="s">
        <v>1230</v>
      </c>
      <c r="E792" t="s">
        <v>1229</v>
      </c>
      <c r="F792" t="s">
        <v>132</v>
      </c>
      <c r="G792" t="s">
        <v>1253</v>
      </c>
      <c r="H792" s="10">
        <v>16</v>
      </c>
      <c r="I792" s="10">
        <v>4608.55</v>
      </c>
      <c r="J792" s="10">
        <v>73736.800000000003</v>
      </c>
      <c r="K792" s="10"/>
    </row>
    <row r="793" spans="1:11">
      <c r="A793" s="19">
        <v>45216</v>
      </c>
      <c r="B793" t="s">
        <v>1263</v>
      </c>
      <c r="C793" t="s">
        <v>1240</v>
      </c>
      <c r="D793" t="s">
        <v>1232</v>
      </c>
      <c r="E793" t="s">
        <v>1231</v>
      </c>
      <c r="F793" t="s">
        <v>1249</v>
      </c>
      <c r="G793" t="s">
        <v>1270</v>
      </c>
      <c r="H793" s="10">
        <v>11</v>
      </c>
      <c r="I793" s="10">
        <v>4325.83</v>
      </c>
      <c r="J793" s="10">
        <v>47584.13</v>
      </c>
      <c r="K793" s="10"/>
    </row>
    <row r="794" spans="1:11">
      <c r="A794" s="19">
        <v>45216</v>
      </c>
      <c r="B794" t="s">
        <v>1263</v>
      </c>
      <c r="C794" t="s">
        <v>1240</v>
      </c>
      <c r="D794" t="s">
        <v>1232</v>
      </c>
      <c r="E794" t="s">
        <v>1231</v>
      </c>
      <c r="F794" t="s">
        <v>128</v>
      </c>
      <c r="G794" t="s">
        <v>1266</v>
      </c>
      <c r="H794" s="10">
        <v>19</v>
      </c>
      <c r="I794" s="10">
        <v>4080.77</v>
      </c>
      <c r="J794" s="10">
        <v>77534.63</v>
      </c>
      <c r="K794" s="10"/>
    </row>
    <row r="795" spans="1:11">
      <c r="A795" s="19">
        <v>45217</v>
      </c>
      <c r="B795" t="s">
        <v>1263</v>
      </c>
      <c r="C795" t="s">
        <v>1169</v>
      </c>
      <c r="D795" t="s">
        <v>1230</v>
      </c>
      <c r="E795" t="s">
        <v>1229</v>
      </c>
      <c r="F795" t="s">
        <v>145</v>
      </c>
      <c r="G795" t="s">
        <v>1274</v>
      </c>
      <c r="H795" s="10">
        <v>7</v>
      </c>
      <c r="I795" s="10">
        <v>560.58000000000004</v>
      </c>
      <c r="J795" s="10">
        <v>3924.06</v>
      </c>
      <c r="K795" s="10"/>
    </row>
    <row r="796" spans="1:11">
      <c r="A796" s="19">
        <v>45218</v>
      </c>
      <c r="B796" t="s">
        <v>1269</v>
      </c>
      <c r="C796" t="s">
        <v>1239</v>
      </c>
      <c r="D796" t="s">
        <v>1237</v>
      </c>
      <c r="E796" t="s">
        <v>1229</v>
      </c>
      <c r="F796" t="s">
        <v>1249</v>
      </c>
      <c r="G796" t="s">
        <v>1270</v>
      </c>
      <c r="H796" s="10">
        <v>6</v>
      </c>
      <c r="I796" s="10">
        <v>2332.11</v>
      </c>
      <c r="J796" s="10">
        <v>13992.66</v>
      </c>
      <c r="K796" s="10"/>
    </row>
    <row r="797" spans="1:11">
      <c r="A797" s="19">
        <v>45218</v>
      </c>
      <c r="B797" t="s">
        <v>1254</v>
      </c>
      <c r="C797" t="s">
        <v>1248</v>
      </c>
      <c r="D797" t="s">
        <v>1230</v>
      </c>
      <c r="E797" t="s">
        <v>1229</v>
      </c>
      <c r="F797" t="s">
        <v>1249</v>
      </c>
      <c r="G797" t="s">
        <v>1272</v>
      </c>
      <c r="H797" s="10">
        <v>12</v>
      </c>
      <c r="I797" s="10">
        <v>548.36</v>
      </c>
      <c r="J797" s="10">
        <v>6580.32</v>
      </c>
      <c r="K797" s="10"/>
    </row>
    <row r="798" spans="1:11">
      <c r="A798" s="19">
        <v>45219</v>
      </c>
      <c r="B798" t="s">
        <v>1263</v>
      </c>
      <c r="C798" t="s">
        <v>1171</v>
      </c>
      <c r="D798" t="s">
        <v>1237</v>
      </c>
      <c r="E798" t="s">
        <v>1229</v>
      </c>
      <c r="F798" t="s">
        <v>145</v>
      </c>
      <c r="G798" t="s">
        <v>1255</v>
      </c>
      <c r="H798" s="10">
        <v>13</v>
      </c>
      <c r="I798" s="10">
        <v>2511.64</v>
      </c>
      <c r="J798" s="10">
        <v>32651.32</v>
      </c>
      <c r="K798" s="10"/>
    </row>
    <row r="799" spans="1:11">
      <c r="A799" s="19">
        <v>45219</v>
      </c>
      <c r="B799" t="s">
        <v>1254</v>
      </c>
      <c r="C799" t="s">
        <v>1233</v>
      </c>
      <c r="D799" t="s">
        <v>1232</v>
      </c>
      <c r="E799" t="s">
        <v>1231</v>
      </c>
      <c r="F799" t="s">
        <v>128</v>
      </c>
      <c r="G799" t="s">
        <v>1257</v>
      </c>
      <c r="H799" s="10">
        <v>17</v>
      </c>
      <c r="I799" s="10">
        <v>2209.62</v>
      </c>
      <c r="J799" s="10">
        <v>37563.54</v>
      </c>
      <c r="K799" s="10"/>
    </row>
    <row r="800" spans="1:11">
      <c r="A800" s="19">
        <v>45220</v>
      </c>
      <c r="B800" t="s">
        <v>1256</v>
      </c>
      <c r="C800" t="s">
        <v>1239</v>
      </c>
      <c r="D800" t="s">
        <v>1237</v>
      </c>
      <c r="E800" t="s">
        <v>1229</v>
      </c>
      <c r="F800" t="s">
        <v>128</v>
      </c>
      <c r="G800" t="s">
        <v>1264</v>
      </c>
      <c r="H800" s="10">
        <v>2</v>
      </c>
      <c r="I800" s="10">
        <v>4726.0600000000004</v>
      </c>
      <c r="J800" s="10">
        <v>9452.1200000000008</v>
      </c>
      <c r="K800" s="10"/>
    </row>
    <row r="801" spans="1:11">
      <c r="A801" s="19">
        <v>45221</v>
      </c>
      <c r="B801" t="s">
        <v>1258</v>
      </c>
      <c r="C801" t="s">
        <v>1238</v>
      </c>
      <c r="D801" t="s">
        <v>1235</v>
      </c>
      <c r="E801" t="s">
        <v>1231</v>
      </c>
      <c r="F801" t="s">
        <v>145</v>
      </c>
      <c r="G801" t="s">
        <v>1278</v>
      </c>
      <c r="H801" s="10">
        <v>11</v>
      </c>
      <c r="I801" s="10">
        <v>1841.84</v>
      </c>
      <c r="J801" s="10">
        <v>20260.240000000002</v>
      </c>
      <c r="K801" s="10"/>
    </row>
    <row r="802" spans="1:11">
      <c r="A802" s="19">
        <v>45221</v>
      </c>
      <c r="B802" t="s">
        <v>1256</v>
      </c>
      <c r="C802" t="s">
        <v>1246</v>
      </c>
      <c r="D802" t="s">
        <v>1230</v>
      </c>
      <c r="E802" t="s">
        <v>1229</v>
      </c>
      <c r="F802" t="s">
        <v>145</v>
      </c>
      <c r="G802" t="s">
        <v>1274</v>
      </c>
      <c r="H802" s="10">
        <v>2</v>
      </c>
      <c r="I802" s="10">
        <v>4547.16</v>
      </c>
      <c r="J802" s="10">
        <v>9094.32</v>
      </c>
      <c r="K802" s="10"/>
    </row>
    <row r="803" spans="1:11">
      <c r="A803" s="19">
        <v>45221</v>
      </c>
      <c r="B803" t="s">
        <v>1254</v>
      </c>
      <c r="C803" t="s">
        <v>1234</v>
      </c>
      <c r="D803" t="s">
        <v>1232</v>
      </c>
      <c r="E803" t="s">
        <v>1231</v>
      </c>
      <c r="F803" t="s">
        <v>1249</v>
      </c>
      <c r="G803" t="s">
        <v>1259</v>
      </c>
      <c r="H803" s="10">
        <v>20</v>
      </c>
      <c r="I803" s="10">
        <v>2295.08</v>
      </c>
      <c r="J803" s="10">
        <v>45901.599999999999</v>
      </c>
      <c r="K803" s="10"/>
    </row>
    <row r="804" spans="1:11">
      <c r="A804" s="19">
        <v>45221</v>
      </c>
      <c r="B804" t="s">
        <v>1256</v>
      </c>
      <c r="C804" t="s">
        <v>1236</v>
      </c>
      <c r="D804" t="s">
        <v>1235</v>
      </c>
      <c r="E804" t="s">
        <v>1231</v>
      </c>
      <c r="F804" t="s">
        <v>1249</v>
      </c>
      <c r="G804" t="s">
        <v>1270</v>
      </c>
      <c r="H804" s="10">
        <v>8</v>
      </c>
      <c r="I804" s="10">
        <v>303.48</v>
      </c>
      <c r="J804" s="10">
        <v>2427.84</v>
      </c>
      <c r="K804" s="10"/>
    </row>
    <row r="805" spans="1:11">
      <c r="A805" s="19">
        <v>45221</v>
      </c>
      <c r="B805" t="s">
        <v>1262</v>
      </c>
      <c r="C805" t="s">
        <v>1240</v>
      </c>
      <c r="D805" t="s">
        <v>1232</v>
      </c>
      <c r="E805" t="s">
        <v>1231</v>
      </c>
      <c r="F805" t="s">
        <v>145</v>
      </c>
      <c r="G805" t="s">
        <v>1274</v>
      </c>
      <c r="H805" s="10">
        <v>1</v>
      </c>
      <c r="I805" s="10">
        <v>3431.7</v>
      </c>
      <c r="J805" s="10">
        <v>3431.7</v>
      </c>
      <c r="K805" s="10"/>
    </row>
    <row r="806" spans="1:11">
      <c r="A806" s="19">
        <v>45221</v>
      </c>
      <c r="B806" t="s">
        <v>1252</v>
      </c>
      <c r="C806" t="s">
        <v>1241</v>
      </c>
      <c r="D806" t="s">
        <v>1235</v>
      </c>
      <c r="E806" t="s">
        <v>1231</v>
      </c>
      <c r="F806" t="s">
        <v>1249</v>
      </c>
      <c r="G806" t="s">
        <v>1270</v>
      </c>
      <c r="H806" s="10">
        <v>11</v>
      </c>
      <c r="I806" s="10">
        <v>735.74</v>
      </c>
      <c r="J806" s="10">
        <v>8093.14</v>
      </c>
      <c r="K806" s="10"/>
    </row>
    <row r="807" spans="1:11">
      <c r="A807" s="19">
        <v>45222</v>
      </c>
      <c r="B807" t="s">
        <v>1254</v>
      </c>
      <c r="C807" t="s">
        <v>1240</v>
      </c>
      <c r="D807" t="s">
        <v>1232</v>
      </c>
      <c r="E807" t="s">
        <v>1231</v>
      </c>
      <c r="F807" t="s">
        <v>145</v>
      </c>
      <c r="G807" t="s">
        <v>1255</v>
      </c>
      <c r="H807" s="10">
        <v>18</v>
      </c>
      <c r="I807" s="10">
        <v>3128.59</v>
      </c>
      <c r="J807" s="10">
        <v>56314.62</v>
      </c>
      <c r="K807" s="10"/>
    </row>
    <row r="808" spans="1:11">
      <c r="A808" s="19">
        <v>45222</v>
      </c>
      <c r="B808" t="s">
        <v>1252</v>
      </c>
      <c r="C808" t="s">
        <v>1241</v>
      </c>
      <c r="D808" t="s">
        <v>1235</v>
      </c>
      <c r="E808" t="s">
        <v>1231</v>
      </c>
      <c r="F808" t="s">
        <v>1249</v>
      </c>
      <c r="G808" t="s">
        <v>1272</v>
      </c>
      <c r="H808" s="10">
        <v>9</v>
      </c>
      <c r="I808" s="10">
        <v>209.57</v>
      </c>
      <c r="J808" s="10">
        <v>1886.13</v>
      </c>
      <c r="K808" s="10"/>
    </row>
    <row r="809" spans="1:11">
      <c r="A809" s="19">
        <v>45222</v>
      </c>
      <c r="B809" t="s">
        <v>1262</v>
      </c>
      <c r="C809" t="s">
        <v>1239</v>
      </c>
      <c r="D809" t="s">
        <v>1237</v>
      </c>
      <c r="E809" t="s">
        <v>1229</v>
      </c>
      <c r="F809" t="s">
        <v>128</v>
      </c>
      <c r="G809" t="s">
        <v>1264</v>
      </c>
      <c r="H809" s="10">
        <v>1</v>
      </c>
      <c r="I809" s="10">
        <v>3758.07</v>
      </c>
      <c r="J809" s="10">
        <v>3758.07</v>
      </c>
      <c r="K809" s="10"/>
    </row>
    <row r="810" spans="1:11">
      <c r="A810" s="19">
        <v>45223</v>
      </c>
      <c r="B810" t="s">
        <v>1269</v>
      </c>
      <c r="C810" t="s">
        <v>1239</v>
      </c>
      <c r="D810" t="s">
        <v>1237</v>
      </c>
      <c r="E810" t="s">
        <v>1229</v>
      </c>
      <c r="F810" t="s">
        <v>120</v>
      </c>
      <c r="G810" t="s">
        <v>1275</v>
      </c>
      <c r="H810" s="10">
        <v>15</v>
      </c>
      <c r="I810" s="10">
        <v>3225.2</v>
      </c>
      <c r="J810" s="10">
        <v>48378</v>
      </c>
      <c r="K810" s="10"/>
    </row>
    <row r="811" spans="1:11">
      <c r="A811" s="19">
        <v>45223</v>
      </c>
      <c r="B811" t="s">
        <v>1262</v>
      </c>
      <c r="C811" t="s">
        <v>1244</v>
      </c>
      <c r="D811" t="s">
        <v>1243</v>
      </c>
      <c r="E811" t="s">
        <v>1242</v>
      </c>
      <c r="F811" t="s">
        <v>120</v>
      </c>
      <c r="G811" t="s">
        <v>1275</v>
      </c>
      <c r="H811" s="10">
        <v>16</v>
      </c>
      <c r="I811" s="10">
        <v>3337.15</v>
      </c>
      <c r="J811" s="10">
        <v>53394.400000000001</v>
      </c>
      <c r="K811" s="10"/>
    </row>
    <row r="812" spans="1:11">
      <c r="A812" s="19">
        <v>45224</v>
      </c>
      <c r="B812" t="s">
        <v>1267</v>
      </c>
      <c r="C812" t="s">
        <v>1241</v>
      </c>
      <c r="D812" t="s">
        <v>1235</v>
      </c>
      <c r="E812" t="s">
        <v>1231</v>
      </c>
      <c r="F812" t="s">
        <v>1249</v>
      </c>
      <c r="G812" t="s">
        <v>1270</v>
      </c>
      <c r="H812" s="10">
        <v>16</v>
      </c>
      <c r="I812" s="10">
        <v>4684.8599999999997</v>
      </c>
      <c r="J812" s="10">
        <v>74957.759999999995</v>
      </c>
      <c r="K812" s="10"/>
    </row>
    <row r="813" spans="1:11">
      <c r="A813" s="19">
        <v>45224</v>
      </c>
      <c r="B813" t="s">
        <v>1263</v>
      </c>
      <c r="C813" t="s">
        <v>1236</v>
      </c>
      <c r="D813" t="s">
        <v>1235</v>
      </c>
      <c r="E813" t="s">
        <v>1231</v>
      </c>
      <c r="F813" t="s">
        <v>120</v>
      </c>
      <c r="G813" t="s">
        <v>1275</v>
      </c>
      <c r="H813" s="10">
        <v>15</v>
      </c>
      <c r="I813" s="10">
        <v>1450.75</v>
      </c>
      <c r="J813" s="10">
        <v>21761.25</v>
      </c>
      <c r="K813" s="10"/>
    </row>
    <row r="814" spans="1:11">
      <c r="A814" s="19">
        <v>45224</v>
      </c>
      <c r="B814" t="s">
        <v>1258</v>
      </c>
      <c r="C814" t="s">
        <v>1238</v>
      </c>
      <c r="D814" t="s">
        <v>1235</v>
      </c>
      <c r="E814" t="s">
        <v>1231</v>
      </c>
      <c r="F814" t="s">
        <v>120</v>
      </c>
      <c r="G814" t="s">
        <v>1275</v>
      </c>
      <c r="H814" s="10">
        <v>6</v>
      </c>
      <c r="I814" s="10">
        <v>809.57</v>
      </c>
      <c r="J814" s="10">
        <v>4857.42</v>
      </c>
      <c r="K814" s="10"/>
    </row>
    <row r="815" spans="1:11">
      <c r="A815" s="19">
        <v>45225</v>
      </c>
      <c r="B815" t="s">
        <v>1269</v>
      </c>
      <c r="C815" t="s">
        <v>1246</v>
      </c>
      <c r="D815" t="s">
        <v>1230</v>
      </c>
      <c r="E815" t="s">
        <v>1229</v>
      </c>
      <c r="F815" t="s">
        <v>145</v>
      </c>
      <c r="G815" t="s">
        <v>1261</v>
      </c>
      <c r="H815" s="10">
        <v>16</v>
      </c>
      <c r="I815" s="10">
        <v>2329.86</v>
      </c>
      <c r="J815" s="10">
        <v>37277.760000000002</v>
      </c>
      <c r="K815" s="10"/>
    </row>
    <row r="816" spans="1:11">
      <c r="A816" s="19">
        <v>45225</v>
      </c>
      <c r="B816" t="s">
        <v>1256</v>
      </c>
      <c r="C816" t="s">
        <v>1169</v>
      </c>
      <c r="D816" t="s">
        <v>1230</v>
      </c>
      <c r="E816" t="s">
        <v>1229</v>
      </c>
      <c r="F816" t="s">
        <v>145</v>
      </c>
      <c r="G816" t="s">
        <v>1261</v>
      </c>
      <c r="H816" s="10">
        <v>4</v>
      </c>
      <c r="I816" s="10">
        <v>900.33</v>
      </c>
      <c r="J816" s="10">
        <v>3601.32</v>
      </c>
      <c r="K816" s="10"/>
    </row>
    <row r="817" spans="1:11">
      <c r="A817" s="19">
        <v>45225</v>
      </c>
      <c r="B817" t="s">
        <v>1258</v>
      </c>
      <c r="C817" t="s">
        <v>1248</v>
      </c>
      <c r="D817" t="s">
        <v>1230</v>
      </c>
      <c r="E817" t="s">
        <v>1229</v>
      </c>
      <c r="F817" t="s">
        <v>120</v>
      </c>
      <c r="G817" t="s">
        <v>1275</v>
      </c>
      <c r="H817" s="10">
        <v>4</v>
      </c>
      <c r="I817" s="10">
        <v>4778.2299999999996</v>
      </c>
      <c r="J817" s="10">
        <v>19112.919999999998</v>
      </c>
      <c r="K817" s="10"/>
    </row>
    <row r="818" spans="1:11">
      <c r="A818" s="19">
        <v>45227</v>
      </c>
      <c r="B818" t="s">
        <v>1269</v>
      </c>
      <c r="C818" t="s">
        <v>1241</v>
      </c>
      <c r="D818" t="s">
        <v>1235</v>
      </c>
      <c r="E818" t="s">
        <v>1231</v>
      </c>
      <c r="F818" t="s">
        <v>128</v>
      </c>
      <c r="G818" t="s">
        <v>1264</v>
      </c>
      <c r="H818" s="10">
        <v>11</v>
      </c>
      <c r="I818" s="10">
        <v>1817.43</v>
      </c>
      <c r="J818" s="10">
        <v>19991.73</v>
      </c>
      <c r="K818" s="10"/>
    </row>
    <row r="819" spans="1:11">
      <c r="A819" s="19">
        <v>45227</v>
      </c>
      <c r="B819" t="s">
        <v>1256</v>
      </c>
      <c r="C819" t="s">
        <v>1171</v>
      </c>
      <c r="D819" t="s">
        <v>1237</v>
      </c>
      <c r="E819" t="s">
        <v>1229</v>
      </c>
      <c r="F819" t="s">
        <v>1249</v>
      </c>
      <c r="G819" t="s">
        <v>1259</v>
      </c>
      <c r="H819" s="10">
        <v>8</v>
      </c>
      <c r="I819" s="10">
        <v>465.32</v>
      </c>
      <c r="J819" s="10">
        <v>3722.56</v>
      </c>
      <c r="K819" s="10"/>
    </row>
    <row r="820" spans="1:11">
      <c r="A820" s="19">
        <v>45227</v>
      </c>
      <c r="B820" t="s">
        <v>1267</v>
      </c>
      <c r="C820" t="s">
        <v>1173</v>
      </c>
      <c r="D820" t="s">
        <v>1237</v>
      </c>
      <c r="E820" t="s">
        <v>1229</v>
      </c>
      <c r="F820" t="s">
        <v>120</v>
      </c>
      <c r="G820" t="s">
        <v>1276</v>
      </c>
      <c r="H820" s="10">
        <v>10</v>
      </c>
      <c r="I820" s="10">
        <v>2336.88</v>
      </c>
      <c r="J820" s="10">
        <v>23368.799999999999</v>
      </c>
      <c r="K820" s="10"/>
    </row>
    <row r="821" spans="1:11">
      <c r="A821" s="19">
        <v>45228</v>
      </c>
      <c r="B821" t="s">
        <v>1267</v>
      </c>
      <c r="C821" t="s">
        <v>1173</v>
      </c>
      <c r="D821" t="s">
        <v>1237</v>
      </c>
      <c r="E821" t="s">
        <v>1229</v>
      </c>
      <c r="F821" t="s">
        <v>132</v>
      </c>
      <c r="G821" t="s">
        <v>1277</v>
      </c>
      <c r="H821" s="10">
        <v>20</v>
      </c>
      <c r="I821" s="10">
        <v>2142.9</v>
      </c>
      <c r="J821" s="10">
        <v>42858</v>
      </c>
      <c r="K821" s="10"/>
    </row>
    <row r="822" spans="1:11">
      <c r="A822" s="19">
        <v>45228</v>
      </c>
      <c r="B822" t="s">
        <v>1265</v>
      </c>
      <c r="C822" t="s">
        <v>1171</v>
      </c>
      <c r="D822" t="s">
        <v>1237</v>
      </c>
      <c r="E822" t="s">
        <v>1229</v>
      </c>
      <c r="F822" t="s">
        <v>132</v>
      </c>
      <c r="G822" t="s">
        <v>1271</v>
      </c>
      <c r="H822" s="10">
        <v>6</v>
      </c>
      <c r="I822" s="10">
        <v>3524.48</v>
      </c>
      <c r="J822" s="10">
        <v>21146.880000000001</v>
      </c>
      <c r="K822" s="10"/>
    </row>
    <row r="823" spans="1:11">
      <c r="A823" s="19">
        <v>45228</v>
      </c>
      <c r="B823" t="s">
        <v>1269</v>
      </c>
      <c r="C823" t="s">
        <v>1244</v>
      </c>
      <c r="D823" t="s">
        <v>1243</v>
      </c>
      <c r="E823" t="s">
        <v>1242</v>
      </c>
      <c r="F823" t="s">
        <v>145</v>
      </c>
      <c r="G823" t="s">
        <v>1255</v>
      </c>
      <c r="H823" s="10">
        <v>9</v>
      </c>
      <c r="I823" s="10">
        <v>2304.23</v>
      </c>
      <c r="J823" s="10">
        <v>20738.07</v>
      </c>
      <c r="K823" s="10"/>
    </row>
    <row r="824" spans="1:11">
      <c r="A824" s="19">
        <v>45228</v>
      </c>
      <c r="B824" t="s">
        <v>1269</v>
      </c>
      <c r="C824" t="s">
        <v>1239</v>
      </c>
      <c r="D824" t="s">
        <v>1237</v>
      </c>
      <c r="E824" t="s">
        <v>1229</v>
      </c>
      <c r="F824" t="s">
        <v>132</v>
      </c>
      <c r="G824" t="s">
        <v>1277</v>
      </c>
      <c r="H824" s="10">
        <v>5</v>
      </c>
      <c r="I824" s="10">
        <v>4504.17</v>
      </c>
      <c r="J824" s="10">
        <v>22520.85</v>
      </c>
      <c r="K824" s="10"/>
    </row>
    <row r="825" spans="1:11">
      <c r="A825" s="19">
        <v>45229</v>
      </c>
      <c r="B825" t="s">
        <v>1265</v>
      </c>
      <c r="C825" t="s">
        <v>1240</v>
      </c>
      <c r="D825" t="s">
        <v>1232</v>
      </c>
      <c r="E825" t="s">
        <v>1231</v>
      </c>
      <c r="F825" t="s">
        <v>120</v>
      </c>
      <c r="G825" t="s">
        <v>1276</v>
      </c>
      <c r="H825" s="10">
        <v>10</v>
      </c>
      <c r="I825" s="10">
        <v>2008.29</v>
      </c>
      <c r="J825" s="10">
        <v>20082.900000000001</v>
      </c>
      <c r="K825" s="10"/>
    </row>
    <row r="826" spans="1:11">
      <c r="A826" s="19">
        <v>45229</v>
      </c>
      <c r="B826" t="s">
        <v>1262</v>
      </c>
      <c r="C826" t="s">
        <v>1245</v>
      </c>
      <c r="D826" t="s">
        <v>1243</v>
      </c>
      <c r="E826" t="s">
        <v>1242</v>
      </c>
      <c r="F826" t="s">
        <v>1249</v>
      </c>
      <c r="G826" t="s">
        <v>1270</v>
      </c>
      <c r="H826" s="10">
        <v>19</v>
      </c>
      <c r="I826" s="10">
        <v>3968.42</v>
      </c>
      <c r="J826" s="10">
        <v>75399.98</v>
      </c>
      <c r="K826" s="10"/>
    </row>
    <row r="827" spans="1:11">
      <c r="A827" s="19">
        <v>45229</v>
      </c>
      <c r="B827" t="s">
        <v>1260</v>
      </c>
      <c r="C827" t="s">
        <v>1245</v>
      </c>
      <c r="D827" t="s">
        <v>1243</v>
      </c>
      <c r="E827" t="s">
        <v>1242</v>
      </c>
      <c r="F827" t="s">
        <v>145</v>
      </c>
      <c r="G827" t="s">
        <v>1255</v>
      </c>
      <c r="H827" s="10">
        <v>8</v>
      </c>
      <c r="I827" s="10">
        <v>1171.53</v>
      </c>
      <c r="J827" s="10">
        <v>9372.24</v>
      </c>
      <c r="K827" s="10"/>
    </row>
    <row r="828" spans="1:11">
      <c r="A828" s="19">
        <v>45229</v>
      </c>
      <c r="B828" t="s">
        <v>1254</v>
      </c>
      <c r="C828" t="s">
        <v>1236</v>
      </c>
      <c r="D828" t="s">
        <v>1235</v>
      </c>
      <c r="E828" t="s">
        <v>1231</v>
      </c>
      <c r="F828" t="s">
        <v>145</v>
      </c>
      <c r="G828" t="s">
        <v>1255</v>
      </c>
      <c r="H828" s="10">
        <v>18</v>
      </c>
      <c r="I828" s="10">
        <v>3627.09</v>
      </c>
      <c r="J828" s="10">
        <v>65287.62</v>
      </c>
      <c r="K828" s="10"/>
    </row>
    <row r="829" spans="1:11">
      <c r="A829" s="19">
        <v>45229</v>
      </c>
      <c r="B829" t="s">
        <v>1254</v>
      </c>
      <c r="C829" t="s">
        <v>1169</v>
      </c>
      <c r="D829" t="s">
        <v>1230</v>
      </c>
      <c r="E829" t="s">
        <v>1229</v>
      </c>
      <c r="F829" t="s">
        <v>128</v>
      </c>
      <c r="G829" t="s">
        <v>1264</v>
      </c>
      <c r="H829" s="10">
        <v>4</v>
      </c>
      <c r="I829" s="10">
        <v>2527.15</v>
      </c>
      <c r="J829" s="10">
        <v>10108.6</v>
      </c>
      <c r="K829" s="10"/>
    </row>
    <row r="830" spans="1:11">
      <c r="A830" s="19">
        <v>45229</v>
      </c>
      <c r="B830" t="s">
        <v>1269</v>
      </c>
      <c r="C830" t="s">
        <v>1244</v>
      </c>
      <c r="D830" t="s">
        <v>1243</v>
      </c>
      <c r="E830" t="s">
        <v>1242</v>
      </c>
      <c r="F830" t="s">
        <v>145</v>
      </c>
      <c r="G830" t="s">
        <v>1255</v>
      </c>
      <c r="H830" s="10">
        <v>13</v>
      </c>
      <c r="I830" s="10">
        <v>1782.01</v>
      </c>
      <c r="J830" s="10">
        <v>23166.13</v>
      </c>
      <c r="K830" s="10"/>
    </row>
    <row r="831" spans="1:11">
      <c r="A831" s="19">
        <v>45229</v>
      </c>
      <c r="B831" t="s">
        <v>1256</v>
      </c>
      <c r="C831" t="s">
        <v>1246</v>
      </c>
      <c r="D831" t="s">
        <v>1230</v>
      </c>
      <c r="E831" t="s">
        <v>1229</v>
      </c>
      <c r="F831" t="s">
        <v>1249</v>
      </c>
      <c r="G831" t="s">
        <v>1272</v>
      </c>
      <c r="H831" s="10">
        <v>5</v>
      </c>
      <c r="I831" s="10">
        <v>4180.57</v>
      </c>
      <c r="J831" s="10">
        <v>20902.849999999999</v>
      </c>
      <c r="K831" s="10"/>
    </row>
    <row r="832" spans="1:11">
      <c r="A832" s="19">
        <v>45230</v>
      </c>
      <c r="B832" t="s">
        <v>1252</v>
      </c>
      <c r="C832" t="s">
        <v>1234</v>
      </c>
      <c r="D832" t="s">
        <v>1232</v>
      </c>
      <c r="E832" t="s">
        <v>1231</v>
      </c>
      <c r="F832" t="s">
        <v>1249</v>
      </c>
      <c r="G832" t="s">
        <v>1259</v>
      </c>
      <c r="H832" s="10">
        <v>6</v>
      </c>
      <c r="I832" s="10">
        <v>1105.03</v>
      </c>
      <c r="J832" s="10">
        <v>6630.18</v>
      </c>
      <c r="K832" s="10"/>
    </row>
    <row r="833" spans="1:11">
      <c r="A833" s="19">
        <v>45230</v>
      </c>
      <c r="B833" t="s">
        <v>1252</v>
      </c>
      <c r="C833" t="s">
        <v>1233</v>
      </c>
      <c r="D833" t="s">
        <v>1232</v>
      </c>
      <c r="E833" t="s">
        <v>1231</v>
      </c>
      <c r="F833" t="s">
        <v>120</v>
      </c>
      <c r="G833" t="s">
        <v>1164</v>
      </c>
      <c r="H833" s="10">
        <v>12</v>
      </c>
      <c r="I833" s="10">
        <v>1982.64</v>
      </c>
      <c r="J833" s="10">
        <v>23791.68</v>
      </c>
      <c r="K833" s="10"/>
    </row>
    <row r="834" spans="1:11">
      <c r="A834" s="19">
        <v>45230</v>
      </c>
      <c r="B834" t="s">
        <v>1269</v>
      </c>
      <c r="C834" t="s">
        <v>1171</v>
      </c>
      <c r="D834" t="s">
        <v>1237</v>
      </c>
      <c r="E834" t="s">
        <v>1229</v>
      </c>
      <c r="F834" t="s">
        <v>128</v>
      </c>
      <c r="G834" t="s">
        <v>1266</v>
      </c>
      <c r="H834" s="10">
        <v>3</v>
      </c>
      <c r="I834" s="10">
        <v>4447.8999999999996</v>
      </c>
      <c r="J834" s="10">
        <v>13343.7</v>
      </c>
      <c r="K834" s="10"/>
    </row>
    <row r="835" spans="1:11">
      <c r="A835" s="19">
        <v>45231</v>
      </c>
      <c r="B835" t="s">
        <v>1254</v>
      </c>
      <c r="C835" t="s">
        <v>1234</v>
      </c>
      <c r="D835" t="s">
        <v>1232</v>
      </c>
      <c r="E835" t="s">
        <v>1231</v>
      </c>
      <c r="F835" t="s">
        <v>145</v>
      </c>
      <c r="G835" t="s">
        <v>1255</v>
      </c>
      <c r="H835" s="10">
        <v>9</v>
      </c>
      <c r="I835" s="10">
        <v>3801.85</v>
      </c>
      <c r="J835" s="10">
        <v>34216.65</v>
      </c>
      <c r="K835" s="10"/>
    </row>
    <row r="836" spans="1:11">
      <c r="A836" s="19">
        <v>45232</v>
      </c>
      <c r="B836" t="s">
        <v>1260</v>
      </c>
      <c r="C836" t="s">
        <v>1234</v>
      </c>
      <c r="D836" t="s">
        <v>1232</v>
      </c>
      <c r="E836" t="s">
        <v>1231</v>
      </c>
      <c r="F836" t="s">
        <v>1249</v>
      </c>
      <c r="G836" t="s">
        <v>1272</v>
      </c>
      <c r="H836" s="10">
        <v>3</v>
      </c>
      <c r="I836" s="10">
        <v>4931.6899999999996</v>
      </c>
      <c r="J836" s="10">
        <v>14795.07</v>
      </c>
      <c r="K836" s="10"/>
    </row>
    <row r="837" spans="1:11">
      <c r="A837" s="19">
        <v>45232</v>
      </c>
      <c r="B837" t="s">
        <v>1252</v>
      </c>
      <c r="C837" t="s">
        <v>1241</v>
      </c>
      <c r="D837" t="s">
        <v>1235</v>
      </c>
      <c r="E837" t="s">
        <v>1231</v>
      </c>
      <c r="F837" t="s">
        <v>1249</v>
      </c>
      <c r="G837" t="s">
        <v>1272</v>
      </c>
      <c r="H837" s="10">
        <v>12</v>
      </c>
      <c r="I837" s="10">
        <v>1837.2</v>
      </c>
      <c r="J837" s="10">
        <v>22046.400000000001</v>
      </c>
      <c r="K837" s="10"/>
    </row>
    <row r="838" spans="1:11">
      <c r="A838" s="19">
        <v>45233</v>
      </c>
      <c r="B838" t="s">
        <v>1263</v>
      </c>
      <c r="C838" t="s">
        <v>1236</v>
      </c>
      <c r="D838" t="s">
        <v>1235</v>
      </c>
      <c r="E838" t="s">
        <v>1231</v>
      </c>
      <c r="F838" t="s">
        <v>1249</v>
      </c>
      <c r="G838" t="s">
        <v>1272</v>
      </c>
      <c r="H838" s="10">
        <v>20</v>
      </c>
      <c r="I838" s="10">
        <v>1787.99</v>
      </c>
      <c r="J838" s="10">
        <v>35759.800000000003</v>
      </c>
      <c r="K838" s="10"/>
    </row>
    <row r="839" spans="1:11">
      <c r="A839" s="19">
        <v>45234</v>
      </c>
      <c r="B839" t="s">
        <v>1263</v>
      </c>
      <c r="C839" t="s">
        <v>1245</v>
      </c>
      <c r="D839" t="s">
        <v>1243</v>
      </c>
      <c r="E839" t="s">
        <v>1242</v>
      </c>
      <c r="F839" t="s">
        <v>128</v>
      </c>
      <c r="G839" t="s">
        <v>1257</v>
      </c>
      <c r="H839" s="10">
        <v>2</v>
      </c>
      <c r="I839" s="10">
        <v>4818.49</v>
      </c>
      <c r="J839" s="10">
        <v>9636.98</v>
      </c>
      <c r="K839" s="10"/>
    </row>
    <row r="840" spans="1:11">
      <c r="A840" s="19">
        <v>45234</v>
      </c>
      <c r="B840" t="s">
        <v>1258</v>
      </c>
      <c r="C840" t="s">
        <v>1239</v>
      </c>
      <c r="D840" t="s">
        <v>1237</v>
      </c>
      <c r="E840" t="s">
        <v>1229</v>
      </c>
      <c r="F840" t="s">
        <v>1249</v>
      </c>
      <c r="G840" t="s">
        <v>1259</v>
      </c>
      <c r="H840" s="10">
        <v>16</v>
      </c>
      <c r="I840" s="10">
        <v>2458.6</v>
      </c>
      <c r="J840" s="10">
        <v>39337.599999999999</v>
      </c>
      <c r="K840" s="10"/>
    </row>
    <row r="841" spans="1:11">
      <c r="A841" s="19">
        <v>45234</v>
      </c>
      <c r="B841" t="s">
        <v>1254</v>
      </c>
      <c r="C841" t="s">
        <v>1173</v>
      </c>
      <c r="D841" t="s">
        <v>1237</v>
      </c>
      <c r="E841" t="s">
        <v>1229</v>
      </c>
      <c r="F841" t="s">
        <v>128</v>
      </c>
      <c r="G841" t="s">
        <v>1273</v>
      </c>
      <c r="H841" s="10">
        <v>1</v>
      </c>
      <c r="I841" s="10">
        <v>4647.3</v>
      </c>
      <c r="J841" s="10">
        <v>4647.3</v>
      </c>
      <c r="K841" s="10"/>
    </row>
    <row r="842" spans="1:11">
      <c r="A842" s="19">
        <v>45234</v>
      </c>
      <c r="B842" t="s">
        <v>1262</v>
      </c>
      <c r="C842" t="s">
        <v>1244</v>
      </c>
      <c r="D842" t="s">
        <v>1243</v>
      </c>
      <c r="E842" t="s">
        <v>1242</v>
      </c>
      <c r="F842" t="s">
        <v>132</v>
      </c>
      <c r="G842" t="s">
        <v>1279</v>
      </c>
      <c r="H842" s="10">
        <v>10</v>
      </c>
      <c r="I842" s="10">
        <v>1050.8399999999999</v>
      </c>
      <c r="J842" s="10">
        <v>10508.4</v>
      </c>
      <c r="K842" s="10"/>
    </row>
    <row r="843" spans="1:11">
      <c r="A843" s="19">
        <v>45235</v>
      </c>
      <c r="B843" t="s">
        <v>1267</v>
      </c>
      <c r="C843" t="s">
        <v>1245</v>
      </c>
      <c r="D843" t="s">
        <v>1243</v>
      </c>
      <c r="E843" t="s">
        <v>1242</v>
      </c>
      <c r="F843" t="s">
        <v>132</v>
      </c>
      <c r="G843" t="s">
        <v>1271</v>
      </c>
      <c r="H843" s="10">
        <v>6</v>
      </c>
      <c r="I843" s="10">
        <v>1822.86</v>
      </c>
      <c r="J843" s="10">
        <v>10937.16</v>
      </c>
      <c r="K843" s="10"/>
    </row>
    <row r="844" spans="1:11">
      <c r="A844" s="19">
        <v>45235</v>
      </c>
      <c r="B844" t="s">
        <v>1263</v>
      </c>
      <c r="C844" t="s">
        <v>1240</v>
      </c>
      <c r="D844" t="s">
        <v>1232</v>
      </c>
      <c r="E844" t="s">
        <v>1231</v>
      </c>
      <c r="F844" t="s">
        <v>132</v>
      </c>
      <c r="G844" t="s">
        <v>1253</v>
      </c>
      <c r="H844" s="10">
        <v>8</v>
      </c>
      <c r="I844" s="10">
        <v>3279.33</v>
      </c>
      <c r="J844" s="10">
        <v>26234.639999999999</v>
      </c>
      <c r="K844" s="10"/>
    </row>
    <row r="845" spans="1:11">
      <c r="A845" s="19">
        <v>45235</v>
      </c>
      <c r="B845" t="s">
        <v>1254</v>
      </c>
      <c r="C845" t="s">
        <v>1239</v>
      </c>
      <c r="D845" t="s">
        <v>1237</v>
      </c>
      <c r="E845" t="s">
        <v>1229</v>
      </c>
      <c r="F845" t="s">
        <v>1249</v>
      </c>
      <c r="G845" t="s">
        <v>1270</v>
      </c>
      <c r="H845" s="10">
        <v>9</v>
      </c>
      <c r="I845" s="10">
        <v>2118.17</v>
      </c>
      <c r="J845" s="10">
        <v>19063.53</v>
      </c>
      <c r="K845" s="10"/>
    </row>
    <row r="846" spans="1:11">
      <c r="A846" s="19">
        <v>45236</v>
      </c>
      <c r="B846" t="s">
        <v>1265</v>
      </c>
      <c r="C846" t="s">
        <v>1171</v>
      </c>
      <c r="D846" t="s">
        <v>1237</v>
      </c>
      <c r="E846" t="s">
        <v>1229</v>
      </c>
      <c r="F846" t="s">
        <v>145</v>
      </c>
      <c r="G846" t="s">
        <v>1278</v>
      </c>
      <c r="H846" s="10">
        <v>1</v>
      </c>
      <c r="I846" s="10">
        <v>4370.57</v>
      </c>
      <c r="J846" s="10">
        <v>4370.57</v>
      </c>
      <c r="K846" s="10"/>
    </row>
    <row r="847" spans="1:11">
      <c r="A847" s="19">
        <v>45237</v>
      </c>
      <c r="B847" t="s">
        <v>1258</v>
      </c>
      <c r="C847" t="s">
        <v>1248</v>
      </c>
      <c r="D847" t="s">
        <v>1230</v>
      </c>
      <c r="E847" t="s">
        <v>1229</v>
      </c>
      <c r="F847" t="s">
        <v>145</v>
      </c>
      <c r="G847" t="s">
        <v>1274</v>
      </c>
      <c r="H847" s="10">
        <v>2</v>
      </c>
      <c r="I847" s="10">
        <v>4050.46</v>
      </c>
      <c r="J847" s="10">
        <v>8100.92</v>
      </c>
      <c r="K847" s="10"/>
    </row>
    <row r="848" spans="1:11">
      <c r="A848" s="19">
        <v>45237</v>
      </c>
      <c r="B848" t="s">
        <v>1260</v>
      </c>
      <c r="C848" t="s">
        <v>1233</v>
      </c>
      <c r="D848" t="s">
        <v>1232</v>
      </c>
      <c r="E848" t="s">
        <v>1231</v>
      </c>
      <c r="F848" t="s">
        <v>120</v>
      </c>
      <c r="G848" t="s">
        <v>1165</v>
      </c>
      <c r="H848" s="10">
        <v>5</v>
      </c>
      <c r="I848" s="10">
        <v>1488.21</v>
      </c>
      <c r="J848" s="10">
        <v>7441.05</v>
      </c>
      <c r="K848" s="10"/>
    </row>
    <row r="849" spans="1:11">
      <c r="A849" s="19">
        <v>45237</v>
      </c>
      <c r="B849" t="s">
        <v>1258</v>
      </c>
      <c r="C849" t="s">
        <v>1169</v>
      </c>
      <c r="D849" t="s">
        <v>1230</v>
      </c>
      <c r="E849" t="s">
        <v>1229</v>
      </c>
      <c r="F849" t="s">
        <v>1249</v>
      </c>
      <c r="G849" t="s">
        <v>1268</v>
      </c>
      <c r="H849" s="10">
        <v>18</v>
      </c>
      <c r="I849" s="10">
        <v>1297.93</v>
      </c>
      <c r="J849" s="10">
        <v>23362.74</v>
      </c>
      <c r="K849" s="10"/>
    </row>
    <row r="850" spans="1:11">
      <c r="A850" s="19">
        <v>45238</v>
      </c>
      <c r="B850" t="s">
        <v>1260</v>
      </c>
      <c r="C850" t="s">
        <v>1246</v>
      </c>
      <c r="D850" t="s">
        <v>1230</v>
      </c>
      <c r="E850" t="s">
        <v>1229</v>
      </c>
      <c r="F850" t="s">
        <v>145</v>
      </c>
      <c r="G850" t="s">
        <v>1255</v>
      </c>
      <c r="H850" s="10">
        <v>20</v>
      </c>
      <c r="I850" s="10">
        <v>3286.69</v>
      </c>
      <c r="J850" s="10">
        <v>65733.8</v>
      </c>
      <c r="K850" s="10"/>
    </row>
    <row r="851" spans="1:11">
      <c r="A851" s="19">
        <v>45239</v>
      </c>
      <c r="B851" t="s">
        <v>1258</v>
      </c>
      <c r="C851" t="s">
        <v>1238</v>
      </c>
      <c r="D851" t="s">
        <v>1235</v>
      </c>
      <c r="E851" t="s">
        <v>1231</v>
      </c>
      <c r="F851" t="s">
        <v>120</v>
      </c>
      <c r="G851" t="s">
        <v>1275</v>
      </c>
      <c r="H851" s="10">
        <v>7</v>
      </c>
      <c r="I851" s="10">
        <v>4535.1400000000003</v>
      </c>
      <c r="J851" s="10">
        <v>31745.98</v>
      </c>
      <c r="K851" s="10"/>
    </row>
    <row r="852" spans="1:11">
      <c r="A852" s="19">
        <v>45239</v>
      </c>
      <c r="B852" t="s">
        <v>1252</v>
      </c>
      <c r="C852" t="s">
        <v>1245</v>
      </c>
      <c r="D852" t="s">
        <v>1243</v>
      </c>
      <c r="E852" t="s">
        <v>1242</v>
      </c>
      <c r="F852" t="s">
        <v>128</v>
      </c>
      <c r="G852" t="s">
        <v>1264</v>
      </c>
      <c r="H852" s="10">
        <v>12</v>
      </c>
      <c r="I852" s="10">
        <v>149.16</v>
      </c>
      <c r="J852" s="10">
        <v>1789.92</v>
      </c>
      <c r="K852" s="10"/>
    </row>
    <row r="853" spans="1:11">
      <c r="A853" s="19">
        <v>45239</v>
      </c>
      <c r="B853" t="s">
        <v>1258</v>
      </c>
      <c r="C853" t="s">
        <v>1247</v>
      </c>
      <c r="D853" t="s">
        <v>1243</v>
      </c>
      <c r="E853" t="s">
        <v>1242</v>
      </c>
      <c r="F853" t="s">
        <v>132</v>
      </c>
      <c r="G853" t="s">
        <v>1253</v>
      </c>
      <c r="H853" s="10">
        <v>8</v>
      </c>
      <c r="I853" s="10">
        <v>4175.5600000000004</v>
      </c>
      <c r="J853" s="10">
        <v>33404.480000000003</v>
      </c>
      <c r="K853" s="10"/>
    </row>
    <row r="854" spans="1:11">
      <c r="A854" s="19">
        <v>45240</v>
      </c>
      <c r="B854" t="s">
        <v>1258</v>
      </c>
      <c r="C854" t="s">
        <v>1233</v>
      </c>
      <c r="D854" t="s">
        <v>1232</v>
      </c>
      <c r="E854" t="s">
        <v>1231</v>
      </c>
      <c r="F854" t="s">
        <v>145</v>
      </c>
      <c r="G854" t="s">
        <v>1255</v>
      </c>
      <c r="H854" s="10">
        <v>14</v>
      </c>
      <c r="I854" s="10">
        <v>1410.91</v>
      </c>
      <c r="J854" s="10">
        <v>19752.740000000002</v>
      </c>
      <c r="K854" s="10"/>
    </row>
    <row r="855" spans="1:11">
      <c r="A855" s="19">
        <v>45240</v>
      </c>
      <c r="B855" t="s">
        <v>1262</v>
      </c>
      <c r="C855" t="s">
        <v>1238</v>
      </c>
      <c r="D855" t="s">
        <v>1235</v>
      </c>
      <c r="E855" t="s">
        <v>1231</v>
      </c>
      <c r="F855" t="s">
        <v>132</v>
      </c>
      <c r="G855" t="s">
        <v>1271</v>
      </c>
      <c r="H855" s="10">
        <v>7</v>
      </c>
      <c r="I855" s="10">
        <v>2186.75</v>
      </c>
      <c r="J855" s="10">
        <v>15307.25</v>
      </c>
      <c r="K855" s="10"/>
    </row>
    <row r="856" spans="1:11">
      <c r="A856" s="19">
        <v>45240</v>
      </c>
      <c r="B856" t="s">
        <v>1269</v>
      </c>
      <c r="C856" t="s">
        <v>1236</v>
      </c>
      <c r="D856" t="s">
        <v>1235</v>
      </c>
      <c r="E856" t="s">
        <v>1231</v>
      </c>
      <c r="F856" t="s">
        <v>128</v>
      </c>
      <c r="G856" t="s">
        <v>1266</v>
      </c>
      <c r="H856" s="10">
        <v>11</v>
      </c>
      <c r="I856" s="10">
        <v>2666.77</v>
      </c>
      <c r="J856" s="10">
        <v>29334.47</v>
      </c>
      <c r="K856" s="10"/>
    </row>
    <row r="857" spans="1:11">
      <c r="A857" s="19">
        <v>45240</v>
      </c>
      <c r="B857" t="s">
        <v>1256</v>
      </c>
      <c r="C857" t="s">
        <v>1241</v>
      </c>
      <c r="D857" t="s">
        <v>1235</v>
      </c>
      <c r="E857" t="s">
        <v>1231</v>
      </c>
      <c r="F857" t="s">
        <v>132</v>
      </c>
      <c r="G857" t="s">
        <v>1253</v>
      </c>
      <c r="H857" s="10">
        <v>5</v>
      </c>
      <c r="I857" s="10">
        <v>4759.1899999999996</v>
      </c>
      <c r="J857" s="10">
        <v>23795.95</v>
      </c>
      <c r="K857" s="10"/>
    </row>
    <row r="858" spans="1:11">
      <c r="A858" s="19">
        <v>45240</v>
      </c>
      <c r="B858" t="s">
        <v>1256</v>
      </c>
      <c r="C858" t="s">
        <v>1245</v>
      </c>
      <c r="D858" t="s">
        <v>1243</v>
      </c>
      <c r="E858" t="s">
        <v>1242</v>
      </c>
      <c r="F858" t="s">
        <v>132</v>
      </c>
      <c r="G858" t="s">
        <v>1277</v>
      </c>
      <c r="H858" s="10">
        <v>14</v>
      </c>
      <c r="I858" s="10">
        <v>2385.9899999999998</v>
      </c>
      <c r="J858" s="10">
        <v>33403.86</v>
      </c>
      <c r="K858" s="10"/>
    </row>
    <row r="859" spans="1:11">
      <c r="A859" s="19">
        <v>45241</v>
      </c>
      <c r="B859" t="s">
        <v>1258</v>
      </c>
      <c r="C859" t="s">
        <v>1239</v>
      </c>
      <c r="D859" t="s">
        <v>1237</v>
      </c>
      <c r="E859" t="s">
        <v>1229</v>
      </c>
      <c r="F859" t="s">
        <v>120</v>
      </c>
      <c r="G859" t="s">
        <v>1276</v>
      </c>
      <c r="H859" s="10">
        <v>16</v>
      </c>
      <c r="I859" s="10">
        <v>628.15</v>
      </c>
      <c r="J859" s="10">
        <v>10050.4</v>
      </c>
      <c r="K859" s="10"/>
    </row>
    <row r="860" spans="1:11">
      <c r="A860" s="19">
        <v>45241</v>
      </c>
      <c r="B860" t="s">
        <v>1267</v>
      </c>
      <c r="C860" t="s">
        <v>1171</v>
      </c>
      <c r="D860" t="s">
        <v>1237</v>
      </c>
      <c r="E860" t="s">
        <v>1229</v>
      </c>
      <c r="F860" t="s">
        <v>1249</v>
      </c>
      <c r="G860" t="s">
        <v>1268</v>
      </c>
      <c r="H860" s="10">
        <v>20</v>
      </c>
      <c r="I860" s="10">
        <v>4970.33</v>
      </c>
      <c r="J860" s="10">
        <v>99406.6</v>
      </c>
      <c r="K860" s="10"/>
    </row>
    <row r="861" spans="1:11">
      <c r="A861" s="19">
        <v>45241</v>
      </c>
      <c r="B861" t="s">
        <v>1258</v>
      </c>
      <c r="C861" t="s">
        <v>1241</v>
      </c>
      <c r="D861" t="s">
        <v>1235</v>
      </c>
      <c r="E861" t="s">
        <v>1231</v>
      </c>
      <c r="F861" t="s">
        <v>120</v>
      </c>
      <c r="G861" t="s">
        <v>1276</v>
      </c>
      <c r="H861" s="10">
        <v>3</v>
      </c>
      <c r="I861" s="10">
        <v>4324.88</v>
      </c>
      <c r="J861" s="10">
        <v>12974.64</v>
      </c>
      <c r="K861" s="10"/>
    </row>
    <row r="862" spans="1:11">
      <c r="A862" s="19">
        <v>45242</v>
      </c>
      <c r="B862" t="s">
        <v>1263</v>
      </c>
      <c r="C862" t="s">
        <v>1244</v>
      </c>
      <c r="D862" t="s">
        <v>1243</v>
      </c>
      <c r="E862" t="s">
        <v>1242</v>
      </c>
      <c r="F862" t="s">
        <v>132</v>
      </c>
      <c r="G862" t="s">
        <v>1277</v>
      </c>
      <c r="H862" s="10">
        <v>3</v>
      </c>
      <c r="I862" s="10">
        <v>672.84</v>
      </c>
      <c r="J862" s="10">
        <v>2018.52</v>
      </c>
      <c r="K862" s="10"/>
    </row>
    <row r="863" spans="1:11">
      <c r="A863" s="19">
        <v>45242</v>
      </c>
      <c r="B863" t="s">
        <v>1256</v>
      </c>
      <c r="C863" t="s">
        <v>1169</v>
      </c>
      <c r="D863" t="s">
        <v>1230</v>
      </c>
      <c r="E863" t="s">
        <v>1229</v>
      </c>
      <c r="F863" t="s">
        <v>1249</v>
      </c>
      <c r="G863" t="s">
        <v>1272</v>
      </c>
      <c r="H863" s="10">
        <v>14</v>
      </c>
      <c r="I863" s="10">
        <v>367.1</v>
      </c>
      <c r="J863" s="10">
        <v>5139.3999999999996</v>
      </c>
      <c r="K863" s="10"/>
    </row>
    <row r="864" spans="1:11">
      <c r="A864" s="19">
        <v>45242</v>
      </c>
      <c r="B864" t="s">
        <v>1263</v>
      </c>
      <c r="C864" t="s">
        <v>1247</v>
      </c>
      <c r="D864" t="s">
        <v>1243</v>
      </c>
      <c r="E864" t="s">
        <v>1242</v>
      </c>
      <c r="F864" t="s">
        <v>120</v>
      </c>
      <c r="G864" t="s">
        <v>1275</v>
      </c>
      <c r="H864" s="10">
        <v>16</v>
      </c>
      <c r="I864" s="10">
        <v>1598.06</v>
      </c>
      <c r="J864" s="10">
        <v>25568.959999999999</v>
      </c>
      <c r="K864" s="10"/>
    </row>
    <row r="865" spans="1:11">
      <c r="A865" s="19">
        <v>45243</v>
      </c>
      <c r="B865" t="s">
        <v>1254</v>
      </c>
      <c r="C865" t="s">
        <v>1239</v>
      </c>
      <c r="D865" t="s">
        <v>1237</v>
      </c>
      <c r="E865" t="s">
        <v>1229</v>
      </c>
      <c r="F865" t="s">
        <v>132</v>
      </c>
      <c r="G865" t="s">
        <v>1253</v>
      </c>
      <c r="H865" s="10">
        <v>17</v>
      </c>
      <c r="I865" s="10">
        <v>3827.64</v>
      </c>
      <c r="J865" s="10">
        <v>65069.88</v>
      </c>
      <c r="K865" s="10"/>
    </row>
    <row r="866" spans="1:11">
      <c r="A866" s="19">
        <v>45243</v>
      </c>
      <c r="B866" t="s">
        <v>1258</v>
      </c>
      <c r="C866" t="s">
        <v>1169</v>
      </c>
      <c r="D866" t="s">
        <v>1230</v>
      </c>
      <c r="E866" t="s">
        <v>1229</v>
      </c>
      <c r="F866" t="s">
        <v>120</v>
      </c>
      <c r="G866" t="s">
        <v>1165</v>
      </c>
      <c r="H866" s="10">
        <v>1</v>
      </c>
      <c r="I866" s="10">
        <v>2961.1</v>
      </c>
      <c r="J866" s="10">
        <v>2961.1</v>
      </c>
      <c r="K866" s="10"/>
    </row>
    <row r="867" spans="1:11">
      <c r="A867" s="19">
        <v>45243</v>
      </c>
      <c r="B867" t="s">
        <v>1263</v>
      </c>
      <c r="C867" t="s">
        <v>1244</v>
      </c>
      <c r="D867" t="s">
        <v>1243</v>
      </c>
      <c r="E867" t="s">
        <v>1242</v>
      </c>
      <c r="F867" t="s">
        <v>128</v>
      </c>
      <c r="G867" t="s">
        <v>1257</v>
      </c>
      <c r="H867" s="10">
        <v>7</v>
      </c>
      <c r="I867" s="10">
        <v>1628.68</v>
      </c>
      <c r="J867" s="10">
        <v>11400.76</v>
      </c>
      <c r="K867" s="10"/>
    </row>
    <row r="868" spans="1:11">
      <c r="A868" s="19">
        <v>45244</v>
      </c>
      <c r="B868" t="s">
        <v>1267</v>
      </c>
      <c r="C868" t="s">
        <v>1245</v>
      </c>
      <c r="D868" t="s">
        <v>1243</v>
      </c>
      <c r="E868" t="s">
        <v>1242</v>
      </c>
      <c r="F868" t="s">
        <v>120</v>
      </c>
      <c r="G868" t="s">
        <v>1275</v>
      </c>
      <c r="H868" s="10">
        <v>14</v>
      </c>
      <c r="I868" s="10">
        <v>4406.29</v>
      </c>
      <c r="J868" s="10">
        <v>61688.06</v>
      </c>
      <c r="K868" s="10"/>
    </row>
    <row r="869" spans="1:11">
      <c r="A869" s="19">
        <v>45244</v>
      </c>
      <c r="B869" t="s">
        <v>1265</v>
      </c>
      <c r="C869" t="s">
        <v>1169</v>
      </c>
      <c r="D869" t="s">
        <v>1230</v>
      </c>
      <c r="E869" t="s">
        <v>1229</v>
      </c>
      <c r="F869" t="s">
        <v>132</v>
      </c>
      <c r="G869" t="s">
        <v>1277</v>
      </c>
      <c r="H869" s="10">
        <v>17</v>
      </c>
      <c r="I869" s="10">
        <v>3421.31</v>
      </c>
      <c r="J869" s="10">
        <v>58162.27</v>
      </c>
      <c r="K869" s="10"/>
    </row>
    <row r="870" spans="1:11">
      <c r="A870" s="19">
        <v>45244</v>
      </c>
      <c r="B870" t="s">
        <v>1269</v>
      </c>
      <c r="C870" t="s">
        <v>1169</v>
      </c>
      <c r="D870" t="s">
        <v>1230</v>
      </c>
      <c r="E870" t="s">
        <v>1229</v>
      </c>
      <c r="F870" t="s">
        <v>120</v>
      </c>
      <c r="G870" t="s">
        <v>1165</v>
      </c>
      <c r="H870" s="10">
        <v>5</v>
      </c>
      <c r="I870" s="10">
        <v>4096.54</v>
      </c>
      <c r="J870" s="10">
        <v>20482.7</v>
      </c>
      <c r="K870" s="10"/>
    </row>
    <row r="871" spans="1:11">
      <c r="A871" s="19">
        <v>45244</v>
      </c>
      <c r="B871" t="s">
        <v>1269</v>
      </c>
      <c r="C871" t="s">
        <v>1238</v>
      </c>
      <c r="D871" t="s">
        <v>1235</v>
      </c>
      <c r="E871" t="s">
        <v>1231</v>
      </c>
      <c r="F871" t="s">
        <v>1249</v>
      </c>
      <c r="G871" t="s">
        <v>1270</v>
      </c>
      <c r="H871" s="10">
        <v>7</v>
      </c>
      <c r="I871" s="10">
        <v>2264.87</v>
      </c>
      <c r="J871" s="10">
        <v>15854.09</v>
      </c>
      <c r="K871" s="10"/>
    </row>
    <row r="872" spans="1:11">
      <c r="A872" s="19">
        <v>45244</v>
      </c>
      <c r="B872" t="s">
        <v>1260</v>
      </c>
      <c r="C872" t="s">
        <v>1171</v>
      </c>
      <c r="D872" t="s">
        <v>1237</v>
      </c>
      <c r="E872" t="s">
        <v>1229</v>
      </c>
      <c r="F872" t="s">
        <v>128</v>
      </c>
      <c r="G872" t="s">
        <v>1273</v>
      </c>
      <c r="H872" s="10">
        <v>13</v>
      </c>
      <c r="I872" s="10">
        <v>151.65</v>
      </c>
      <c r="J872" s="10">
        <v>1971.45</v>
      </c>
      <c r="K872" s="10"/>
    </row>
    <row r="873" spans="1:11">
      <c r="A873" s="19">
        <v>45244</v>
      </c>
      <c r="B873" t="s">
        <v>1254</v>
      </c>
      <c r="C873" t="s">
        <v>1233</v>
      </c>
      <c r="D873" t="s">
        <v>1232</v>
      </c>
      <c r="E873" t="s">
        <v>1231</v>
      </c>
      <c r="F873" t="s">
        <v>1249</v>
      </c>
      <c r="G873" t="s">
        <v>1268</v>
      </c>
      <c r="H873" s="10">
        <v>19</v>
      </c>
      <c r="I873" s="10">
        <v>1933.19</v>
      </c>
      <c r="J873" s="10">
        <v>36730.61</v>
      </c>
      <c r="K873" s="10"/>
    </row>
    <row r="874" spans="1:11">
      <c r="A874" s="19">
        <v>45245</v>
      </c>
      <c r="B874" t="s">
        <v>1262</v>
      </c>
      <c r="C874" t="s">
        <v>1234</v>
      </c>
      <c r="D874" t="s">
        <v>1232</v>
      </c>
      <c r="E874" t="s">
        <v>1231</v>
      </c>
      <c r="F874" t="s">
        <v>132</v>
      </c>
      <c r="G874" t="s">
        <v>1253</v>
      </c>
      <c r="H874" s="10">
        <v>7</v>
      </c>
      <c r="I874" s="10">
        <v>4077.95</v>
      </c>
      <c r="J874" s="10">
        <v>28545.65</v>
      </c>
      <c r="K874" s="10"/>
    </row>
    <row r="875" spans="1:11">
      <c r="A875" s="19">
        <v>45246</v>
      </c>
      <c r="B875" t="s">
        <v>1260</v>
      </c>
      <c r="C875" t="s">
        <v>1239</v>
      </c>
      <c r="D875" t="s">
        <v>1237</v>
      </c>
      <c r="E875" t="s">
        <v>1229</v>
      </c>
      <c r="F875" t="s">
        <v>1249</v>
      </c>
      <c r="G875" t="s">
        <v>1270</v>
      </c>
      <c r="H875" s="10">
        <v>8</v>
      </c>
      <c r="I875" s="10">
        <v>360.87</v>
      </c>
      <c r="J875" s="10">
        <v>2886.96</v>
      </c>
      <c r="K875" s="10"/>
    </row>
    <row r="876" spans="1:11">
      <c r="A876" s="19">
        <v>45246</v>
      </c>
      <c r="B876" t="s">
        <v>1267</v>
      </c>
      <c r="C876" t="s">
        <v>1234</v>
      </c>
      <c r="D876" t="s">
        <v>1232</v>
      </c>
      <c r="E876" t="s">
        <v>1231</v>
      </c>
      <c r="F876" t="s">
        <v>132</v>
      </c>
      <c r="G876" t="s">
        <v>1277</v>
      </c>
      <c r="H876" s="10">
        <v>14</v>
      </c>
      <c r="I876" s="10">
        <v>414.51</v>
      </c>
      <c r="J876" s="10">
        <v>5803.14</v>
      </c>
      <c r="K876" s="10"/>
    </row>
    <row r="877" spans="1:11">
      <c r="A877" s="19">
        <v>45247</v>
      </c>
      <c r="B877" t="s">
        <v>1256</v>
      </c>
      <c r="C877" t="s">
        <v>1233</v>
      </c>
      <c r="D877" t="s">
        <v>1232</v>
      </c>
      <c r="E877" t="s">
        <v>1231</v>
      </c>
      <c r="F877" t="s">
        <v>132</v>
      </c>
      <c r="G877" t="s">
        <v>1253</v>
      </c>
      <c r="H877" s="10">
        <v>10</v>
      </c>
      <c r="I877" s="10">
        <v>2754.3</v>
      </c>
      <c r="J877" s="10">
        <v>27543</v>
      </c>
      <c r="K877" s="10"/>
    </row>
    <row r="878" spans="1:11">
      <c r="A878" s="19">
        <v>45247</v>
      </c>
      <c r="B878" t="s">
        <v>1258</v>
      </c>
      <c r="C878" t="s">
        <v>1171</v>
      </c>
      <c r="D878" t="s">
        <v>1237</v>
      </c>
      <c r="E878" t="s">
        <v>1229</v>
      </c>
      <c r="F878" t="s">
        <v>128</v>
      </c>
      <c r="G878" t="s">
        <v>1257</v>
      </c>
      <c r="H878" s="10">
        <v>12</v>
      </c>
      <c r="I878" s="10">
        <v>3961.23</v>
      </c>
      <c r="J878" s="10">
        <v>47534.76</v>
      </c>
      <c r="K878" s="10"/>
    </row>
    <row r="879" spans="1:11">
      <c r="A879" s="19">
        <v>45247</v>
      </c>
      <c r="B879" t="s">
        <v>1254</v>
      </c>
      <c r="C879" t="s">
        <v>1247</v>
      </c>
      <c r="D879" t="s">
        <v>1243</v>
      </c>
      <c r="E879" t="s">
        <v>1242</v>
      </c>
      <c r="F879" t="s">
        <v>120</v>
      </c>
      <c r="G879" t="s">
        <v>1276</v>
      </c>
      <c r="H879" s="10">
        <v>6</v>
      </c>
      <c r="I879" s="10">
        <v>4707.38</v>
      </c>
      <c r="J879" s="10">
        <v>28244.28</v>
      </c>
      <c r="K879" s="10"/>
    </row>
    <row r="880" spans="1:11">
      <c r="A880" s="19">
        <v>45247</v>
      </c>
      <c r="B880" t="s">
        <v>1267</v>
      </c>
      <c r="C880" t="s">
        <v>1173</v>
      </c>
      <c r="D880" t="s">
        <v>1237</v>
      </c>
      <c r="E880" t="s">
        <v>1229</v>
      </c>
      <c r="F880" t="s">
        <v>132</v>
      </c>
      <c r="G880" t="s">
        <v>1279</v>
      </c>
      <c r="H880" s="10">
        <v>7</v>
      </c>
      <c r="I880" s="10">
        <v>2846.83</v>
      </c>
      <c r="J880" s="10">
        <v>19927.810000000001</v>
      </c>
      <c r="K880" s="10"/>
    </row>
    <row r="881" spans="1:11">
      <c r="A881" s="19">
        <v>45248</v>
      </c>
      <c r="B881" t="s">
        <v>1260</v>
      </c>
      <c r="C881" t="s">
        <v>1241</v>
      </c>
      <c r="D881" t="s">
        <v>1235</v>
      </c>
      <c r="E881" t="s">
        <v>1231</v>
      </c>
      <c r="F881" t="s">
        <v>145</v>
      </c>
      <c r="G881" t="s">
        <v>1255</v>
      </c>
      <c r="H881" s="10">
        <v>5</v>
      </c>
      <c r="I881" s="10">
        <v>4252.84</v>
      </c>
      <c r="J881" s="10">
        <v>21264.2</v>
      </c>
      <c r="K881" s="10"/>
    </row>
    <row r="882" spans="1:11">
      <c r="A882" s="19">
        <v>45248</v>
      </c>
      <c r="B882" t="s">
        <v>1269</v>
      </c>
      <c r="C882" t="s">
        <v>1247</v>
      </c>
      <c r="D882" t="s">
        <v>1243</v>
      </c>
      <c r="E882" t="s">
        <v>1242</v>
      </c>
      <c r="F882" t="s">
        <v>120</v>
      </c>
      <c r="G882" t="s">
        <v>1164</v>
      </c>
      <c r="H882" s="10">
        <v>4</v>
      </c>
      <c r="I882" s="10">
        <v>1555.9</v>
      </c>
      <c r="J882" s="10">
        <v>6223.6</v>
      </c>
      <c r="K882" s="10"/>
    </row>
    <row r="883" spans="1:11">
      <c r="A883" s="19">
        <v>45248</v>
      </c>
      <c r="B883" t="s">
        <v>1256</v>
      </c>
      <c r="C883" t="s">
        <v>1239</v>
      </c>
      <c r="D883" t="s">
        <v>1237</v>
      </c>
      <c r="E883" t="s">
        <v>1229</v>
      </c>
      <c r="F883" t="s">
        <v>132</v>
      </c>
      <c r="G883" t="s">
        <v>1279</v>
      </c>
      <c r="H883" s="10">
        <v>16</v>
      </c>
      <c r="I883" s="10">
        <v>1411.33</v>
      </c>
      <c r="J883" s="10">
        <v>22581.279999999999</v>
      </c>
      <c r="K883" s="10"/>
    </row>
    <row r="884" spans="1:11">
      <c r="A884" s="19">
        <v>45248</v>
      </c>
      <c r="B884" t="s">
        <v>1258</v>
      </c>
      <c r="C884" t="s">
        <v>1171</v>
      </c>
      <c r="D884" t="s">
        <v>1237</v>
      </c>
      <c r="E884" t="s">
        <v>1229</v>
      </c>
      <c r="F884" t="s">
        <v>145</v>
      </c>
      <c r="G884" t="s">
        <v>1261</v>
      </c>
      <c r="H884" s="10">
        <v>7</v>
      </c>
      <c r="I884" s="10">
        <v>4514.21</v>
      </c>
      <c r="J884" s="10">
        <v>31599.47</v>
      </c>
      <c r="K884" s="10"/>
    </row>
    <row r="885" spans="1:11">
      <c r="A885" s="19">
        <v>45249</v>
      </c>
      <c r="B885" t="s">
        <v>1252</v>
      </c>
      <c r="C885" t="s">
        <v>1248</v>
      </c>
      <c r="D885" t="s">
        <v>1230</v>
      </c>
      <c r="E885" t="s">
        <v>1229</v>
      </c>
      <c r="F885" t="s">
        <v>128</v>
      </c>
      <c r="G885" t="s">
        <v>1273</v>
      </c>
      <c r="H885" s="10">
        <v>13</v>
      </c>
      <c r="I885" s="10">
        <v>1762.69</v>
      </c>
      <c r="J885" s="10">
        <v>22914.97</v>
      </c>
      <c r="K885" s="10"/>
    </row>
    <row r="886" spans="1:11">
      <c r="A886" s="19">
        <v>45249</v>
      </c>
      <c r="B886" t="s">
        <v>1267</v>
      </c>
      <c r="C886" t="s">
        <v>1241</v>
      </c>
      <c r="D886" t="s">
        <v>1235</v>
      </c>
      <c r="E886" t="s">
        <v>1231</v>
      </c>
      <c r="F886" t="s">
        <v>132</v>
      </c>
      <c r="G886" t="s">
        <v>1253</v>
      </c>
      <c r="H886" s="10">
        <v>5</v>
      </c>
      <c r="I886" s="10">
        <v>4402.72</v>
      </c>
      <c r="J886" s="10">
        <v>22013.599999999999</v>
      </c>
      <c r="K886" s="10"/>
    </row>
    <row r="887" spans="1:11">
      <c r="A887" s="19">
        <v>45250</v>
      </c>
      <c r="B887" t="s">
        <v>1269</v>
      </c>
      <c r="C887" t="s">
        <v>1241</v>
      </c>
      <c r="D887" t="s">
        <v>1235</v>
      </c>
      <c r="E887" t="s">
        <v>1231</v>
      </c>
      <c r="F887" t="s">
        <v>145</v>
      </c>
      <c r="G887" t="s">
        <v>1261</v>
      </c>
      <c r="H887" s="10">
        <v>5</v>
      </c>
      <c r="I887" s="10">
        <v>1593.02</v>
      </c>
      <c r="J887" s="10">
        <v>7965.1</v>
      </c>
      <c r="K887" s="10"/>
    </row>
    <row r="888" spans="1:11">
      <c r="A888" s="19">
        <v>45250</v>
      </c>
      <c r="B888" t="s">
        <v>1254</v>
      </c>
      <c r="C888" t="s">
        <v>1245</v>
      </c>
      <c r="D888" t="s">
        <v>1243</v>
      </c>
      <c r="E888" t="s">
        <v>1242</v>
      </c>
      <c r="F888" t="s">
        <v>132</v>
      </c>
      <c r="G888" t="s">
        <v>1279</v>
      </c>
      <c r="H888" s="10">
        <v>3</v>
      </c>
      <c r="I888" s="10">
        <v>3044.02</v>
      </c>
      <c r="J888" s="10">
        <v>9132.06</v>
      </c>
      <c r="K888" s="10"/>
    </row>
    <row r="889" spans="1:11">
      <c r="A889" s="19">
        <v>45250</v>
      </c>
      <c r="B889" t="s">
        <v>1258</v>
      </c>
      <c r="C889" t="s">
        <v>1173</v>
      </c>
      <c r="D889" t="s">
        <v>1237</v>
      </c>
      <c r="E889" t="s">
        <v>1229</v>
      </c>
      <c r="F889" t="s">
        <v>120</v>
      </c>
      <c r="G889" t="s">
        <v>1275</v>
      </c>
      <c r="H889" s="10">
        <v>7</v>
      </c>
      <c r="I889" s="10">
        <v>4456.5</v>
      </c>
      <c r="J889" s="10">
        <v>31195.5</v>
      </c>
      <c r="K889" s="10"/>
    </row>
    <row r="890" spans="1:11">
      <c r="A890" s="19">
        <v>45251</v>
      </c>
      <c r="B890" t="s">
        <v>1252</v>
      </c>
      <c r="C890" t="s">
        <v>1248</v>
      </c>
      <c r="D890" t="s">
        <v>1230</v>
      </c>
      <c r="E890" t="s">
        <v>1229</v>
      </c>
      <c r="F890" t="s">
        <v>120</v>
      </c>
      <c r="G890" t="s">
        <v>1276</v>
      </c>
      <c r="H890" s="10">
        <v>11</v>
      </c>
      <c r="I890" s="10">
        <v>4315</v>
      </c>
      <c r="J890" s="10">
        <v>47465</v>
      </c>
      <c r="K890" s="10"/>
    </row>
    <row r="891" spans="1:11">
      <c r="A891" s="19">
        <v>45252</v>
      </c>
      <c r="B891" t="s">
        <v>1258</v>
      </c>
      <c r="C891" t="s">
        <v>1233</v>
      </c>
      <c r="D891" t="s">
        <v>1232</v>
      </c>
      <c r="E891" t="s">
        <v>1231</v>
      </c>
      <c r="F891" t="s">
        <v>128</v>
      </c>
      <c r="G891" t="s">
        <v>1266</v>
      </c>
      <c r="H891" s="10">
        <v>12</v>
      </c>
      <c r="I891" s="10">
        <v>1794.88</v>
      </c>
      <c r="J891" s="10">
        <v>21538.560000000001</v>
      </c>
      <c r="K891" s="10"/>
    </row>
    <row r="892" spans="1:11">
      <c r="A892" s="19">
        <v>45253</v>
      </c>
      <c r="B892" t="s">
        <v>1260</v>
      </c>
      <c r="C892" t="s">
        <v>1239</v>
      </c>
      <c r="D892" t="s">
        <v>1237</v>
      </c>
      <c r="E892" t="s">
        <v>1229</v>
      </c>
      <c r="F892" t="s">
        <v>120</v>
      </c>
      <c r="G892" t="s">
        <v>1164</v>
      </c>
      <c r="H892" s="10">
        <v>3</v>
      </c>
      <c r="I892" s="10">
        <v>2055.4499999999998</v>
      </c>
      <c r="J892" s="10">
        <v>6166.35</v>
      </c>
      <c r="K892" s="10"/>
    </row>
    <row r="893" spans="1:11">
      <c r="A893" s="19">
        <v>45253</v>
      </c>
      <c r="B893" t="s">
        <v>1263</v>
      </c>
      <c r="C893" t="s">
        <v>1236</v>
      </c>
      <c r="D893" t="s">
        <v>1235</v>
      </c>
      <c r="E893" t="s">
        <v>1231</v>
      </c>
      <c r="F893" t="s">
        <v>128</v>
      </c>
      <c r="G893" t="s">
        <v>1266</v>
      </c>
      <c r="H893" s="10">
        <v>2</v>
      </c>
      <c r="I893" s="10">
        <v>3313.63</v>
      </c>
      <c r="J893" s="10">
        <v>6627.26</v>
      </c>
      <c r="K893" s="10"/>
    </row>
    <row r="894" spans="1:11">
      <c r="A894" s="19">
        <v>45254</v>
      </c>
      <c r="B894" t="s">
        <v>1265</v>
      </c>
      <c r="C894" t="s">
        <v>1238</v>
      </c>
      <c r="D894" t="s">
        <v>1235</v>
      </c>
      <c r="E894" t="s">
        <v>1231</v>
      </c>
      <c r="F894" t="s">
        <v>120</v>
      </c>
      <c r="G894" t="s">
        <v>1275</v>
      </c>
      <c r="H894" s="10">
        <v>8</v>
      </c>
      <c r="I894" s="10">
        <v>4997.45</v>
      </c>
      <c r="J894" s="10">
        <v>39979.599999999999</v>
      </c>
      <c r="K894" s="10"/>
    </row>
    <row r="895" spans="1:11">
      <c r="A895" s="19">
        <v>45254</v>
      </c>
      <c r="B895" t="s">
        <v>1252</v>
      </c>
      <c r="C895" t="s">
        <v>1169</v>
      </c>
      <c r="D895" t="s">
        <v>1230</v>
      </c>
      <c r="E895" t="s">
        <v>1229</v>
      </c>
      <c r="F895" t="s">
        <v>132</v>
      </c>
      <c r="G895" t="s">
        <v>1279</v>
      </c>
      <c r="H895" s="10">
        <v>11</v>
      </c>
      <c r="I895" s="10">
        <v>1451.86</v>
      </c>
      <c r="J895" s="10">
        <v>15970.46</v>
      </c>
      <c r="K895" s="10"/>
    </row>
    <row r="896" spans="1:11">
      <c r="A896" s="19">
        <v>45254</v>
      </c>
      <c r="B896" t="s">
        <v>1252</v>
      </c>
      <c r="C896" t="s">
        <v>1240</v>
      </c>
      <c r="D896" t="s">
        <v>1232</v>
      </c>
      <c r="E896" t="s">
        <v>1231</v>
      </c>
      <c r="F896" t="s">
        <v>120</v>
      </c>
      <c r="G896" t="s">
        <v>1164</v>
      </c>
      <c r="H896" s="10">
        <v>16</v>
      </c>
      <c r="I896" s="10">
        <v>1870.47</v>
      </c>
      <c r="J896" s="10">
        <v>29927.52</v>
      </c>
      <c r="K896" s="10"/>
    </row>
    <row r="897" spans="1:11">
      <c r="A897" s="19">
        <v>45254</v>
      </c>
      <c r="B897" t="s">
        <v>1254</v>
      </c>
      <c r="C897" t="s">
        <v>1173</v>
      </c>
      <c r="D897" t="s">
        <v>1237</v>
      </c>
      <c r="E897" t="s">
        <v>1229</v>
      </c>
      <c r="F897" t="s">
        <v>128</v>
      </c>
      <c r="G897" t="s">
        <v>1273</v>
      </c>
      <c r="H897" s="10">
        <v>2</v>
      </c>
      <c r="I897" s="10">
        <v>3743.52</v>
      </c>
      <c r="J897" s="10">
        <v>7487.04</v>
      </c>
      <c r="K897" s="10"/>
    </row>
    <row r="898" spans="1:11">
      <c r="A898" s="19">
        <v>45254</v>
      </c>
      <c r="B898" t="s">
        <v>1262</v>
      </c>
      <c r="C898" t="s">
        <v>1233</v>
      </c>
      <c r="D898" t="s">
        <v>1232</v>
      </c>
      <c r="E898" t="s">
        <v>1231</v>
      </c>
      <c r="F898" t="s">
        <v>132</v>
      </c>
      <c r="G898" t="s">
        <v>1279</v>
      </c>
      <c r="H898" s="10">
        <v>17</v>
      </c>
      <c r="I898" s="10">
        <v>2246.8200000000002</v>
      </c>
      <c r="J898" s="10">
        <v>38195.94</v>
      </c>
      <c r="K898" s="10"/>
    </row>
    <row r="899" spans="1:11">
      <c r="A899" s="19">
        <v>45254</v>
      </c>
      <c r="B899" t="s">
        <v>1252</v>
      </c>
      <c r="C899" t="s">
        <v>1233</v>
      </c>
      <c r="D899" t="s">
        <v>1232</v>
      </c>
      <c r="E899" t="s">
        <v>1231</v>
      </c>
      <c r="F899" t="s">
        <v>145</v>
      </c>
      <c r="G899" t="s">
        <v>1278</v>
      </c>
      <c r="H899" s="10">
        <v>1</v>
      </c>
      <c r="I899" s="10">
        <v>2993.55</v>
      </c>
      <c r="J899" s="10">
        <v>2993.55</v>
      </c>
      <c r="K899" s="10"/>
    </row>
    <row r="900" spans="1:11">
      <c r="A900" s="19">
        <v>45255</v>
      </c>
      <c r="B900" t="s">
        <v>1260</v>
      </c>
      <c r="C900" t="s">
        <v>1236</v>
      </c>
      <c r="D900" t="s">
        <v>1235</v>
      </c>
      <c r="E900" t="s">
        <v>1231</v>
      </c>
      <c r="F900" t="s">
        <v>132</v>
      </c>
      <c r="G900" t="s">
        <v>1279</v>
      </c>
      <c r="H900" s="10">
        <v>18</v>
      </c>
      <c r="I900" s="10">
        <v>2658.57</v>
      </c>
      <c r="J900" s="10">
        <v>47854.26</v>
      </c>
      <c r="K900" s="10"/>
    </row>
    <row r="901" spans="1:11">
      <c r="A901" s="19">
        <v>45255</v>
      </c>
      <c r="B901" t="s">
        <v>1260</v>
      </c>
      <c r="C901" t="s">
        <v>1241</v>
      </c>
      <c r="D901" t="s">
        <v>1235</v>
      </c>
      <c r="E901" t="s">
        <v>1231</v>
      </c>
      <c r="F901" t="s">
        <v>120</v>
      </c>
      <c r="G901" t="s">
        <v>1275</v>
      </c>
      <c r="H901" s="10">
        <v>1</v>
      </c>
      <c r="I901" s="10">
        <v>4966.8599999999997</v>
      </c>
      <c r="J901" s="10">
        <v>4966.8599999999997</v>
      </c>
      <c r="K901" s="10"/>
    </row>
    <row r="902" spans="1:11">
      <c r="A902" s="19">
        <v>45255</v>
      </c>
      <c r="B902" t="s">
        <v>1254</v>
      </c>
      <c r="C902" t="s">
        <v>1234</v>
      </c>
      <c r="D902" t="s">
        <v>1232</v>
      </c>
      <c r="E902" t="s">
        <v>1231</v>
      </c>
      <c r="F902" t="s">
        <v>120</v>
      </c>
      <c r="G902" t="s">
        <v>1275</v>
      </c>
      <c r="H902" s="10">
        <v>2</v>
      </c>
      <c r="I902" s="10">
        <v>1195.99</v>
      </c>
      <c r="J902" s="10">
        <v>2391.98</v>
      </c>
      <c r="K902" s="10"/>
    </row>
    <row r="903" spans="1:11">
      <c r="A903" s="19">
        <v>45255</v>
      </c>
      <c r="B903" t="s">
        <v>1265</v>
      </c>
      <c r="C903" t="s">
        <v>1234</v>
      </c>
      <c r="D903" t="s">
        <v>1232</v>
      </c>
      <c r="E903" t="s">
        <v>1231</v>
      </c>
      <c r="F903" t="s">
        <v>1249</v>
      </c>
      <c r="G903" t="s">
        <v>1268</v>
      </c>
      <c r="H903" s="10">
        <v>6</v>
      </c>
      <c r="I903" s="10">
        <v>4286.28</v>
      </c>
      <c r="J903" s="10">
        <v>25717.68</v>
      </c>
      <c r="K903" s="10"/>
    </row>
    <row r="904" spans="1:11">
      <c r="A904" s="19">
        <v>45256</v>
      </c>
      <c r="B904" t="s">
        <v>1256</v>
      </c>
      <c r="C904" t="s">
        <v>1240</v>
      </c>
      <c r="D904" t="s">
        <v>1232</v>
      </c>
      <c r="E904" t="s">
        <v>1231</v>
      </c>
      <c r="F904" t="s">
        <v>128</v>
      </c>
      <c r="G904" t="s">
        <v>1266</v>
      </c>
      <c r="H904" s="10">
        <v>8</v>
      </c>
      <c r="I904" s="10">
        <v>1421.21</v>
      </c>
      <c r="J904" s="10">
        <v>11369.68</v>
      </c>
      <c r="K904" s="10"/>
    </row>
    <row r="905" spans="1:11">
      <c r="A905" s="19">
        <v>45256</v>
      </c>
      <c r="B905" t="s">
        <v>1267</v>
      </c>
      <c r="C905" t="s">
        <v>1245</v>
      </c>
      <c r="D905" t="s">
        <v>1243</v>
      </c>
      <c r="E905" t="s">
        <v>1242</v>
      </c>
      <c r="F905" t="s">
        <v>145</v>
      </c>
      <c r="G905" t="s">
        <v>1274</v>
      </c>
      <c r="H905" s="10">
        <v>15</v>
      </c>
      <c r="I905" s="10">
        <v>1790.58</v>
      </c>
      <c r="J905" s="10">
        <v>26858.7</v>
      </c>
      <c r="K905" s="10"/>
    </row>
    <row r="906" spans="1:11">
      <c r="A906" s="19">
        <v>45256</v>
      </c>
      <c r="B906" t="s">
        <v>1254</v>
      </c>
      <c r="C906" t="s">
        <v>1241</v>
      </c>
      <c r="D906" t="s">
        <v>1235</v>
      </c>
      <c r="E906" t="s">
        <v>1231</v>
      </c>
      <c r="F906" t="s">
        <v>1249</v>
      </c>
      <c r="G906" t="s">
        <v>1270</v>
      </c>
      <c r="H906" s="10">
        <v>1</v>
      </c>
      <c r="I906" s="10">
        <v>4555.42</v>
      </c>
      <c r="J906" s="10">
        <v>4555.42</v>
      </c>
      <c r="K906" s="10"/>
    </row>
    <row r="907" spans="1:11">
      <c r="A907" s="19">
        <v>45257</v>
      </c>
      <c r="B907" t="s">
        <v>1258</v>
      </c>
      <c r="C907" t="s">
        <v>1244</v>
      </c>
      <c r="D907" t="s">
        <v>1243</v>
      </c>
      <c r="E907" t="s">
        <v>1242</v>
      </c>
      <c r="F907" t="s">
        <v>132</v>
      </c>
      <c r="G907" t="s">
        <v>1253</v>
      </c>
      <c r="H907" s="10">
        <v>4</v>
      </c>
      <c r="I907" s="10">
        <v>4553.5200000000004</v>
      </c>
      <c r="J907" s="10">
        <v>18214.080000000002</v>
      </c>
      <c r="K907" s="10"/>
    </row>
    <row r="908" spans="1:11">
      <c r="A908" s="19">
        <v>45257</v>
      </c>
      <c r="B908" t="s">
        <v>1263</v>
      </c>
      <c r="C908" t="s">
        <v>1238</v>
      </c>
      <c r="D908" t="s">
        <v>1235</v>
      </c>
      <c r="E908" t="s">
        <v>1231</v>
      </c>
      <c r="F908" t="s">
        <v>120</v>
      </c>
      <c r="G908" t="s">
        <v>1165</v>
      </c>
      <c r="H908" s="10">
        <v>6</v>
      </c>
      <c r="I908" s="10">
        <v>3470.44</v>
      </c>
      <c r="J908" s="10">
        <v>20822.64</v>
      </c>
      <c r="K908" s="10"/>
    </row>
    <row r="909" spans="1:11">
      <c r="A909" s="19">
        <v>45257</v>
      </c>
      <c r="B909" t="s">
        <v>1254</v>
      </c>
      <c r="C909" t="s">
        <v>1246</v>
      </c>
      <c r="D909" t="s">
        <v>1230</v>
      </c>
      <c r="E909" t="s">
        <v>1229</v>
      </c>
      <c r="F909" t="s">
        <v>128</v>
      </c>
      <c r="G909" t="s">
        <v>1273</v>
      </c>
      <c r="H909" s="10">
        <v>11</v>
      </c>
      <c r="I909" s="10">
        <v>3277.74</v>
      </c>
      <c r="J909" s="10">
        <v>36055.14</v>
      </c>
      <c r="K909" s="10"/>
    </row>
    <row r="910" spans="1:11">
      <c r="A910" s="19">
        <v>45257</v>
      </c>
      <c r="B910" t="s">
        <v>1269</v>
      </c>
      <c r="C910" t="s">
        <v>1244</v>
      </c>
      <c r="D910" t="s">
        <v>1243</v>
      </c>
      <c r="E910" t="s">
        <v>1242</v>
      </c>
      <c r="F910" t="s">
        <v>128</v>
      </c>
      <c r="G910" t="s">
        <v>1264</v>
      </c>
      <c r="H910" s="10">
        <v>20</v>
      </c>
      <c r="I910" s="10">
        <v>138.6</v>
      </c>
      <c r="J910" s="10">
        <v>2772</v>
      </c>
      <c r="K910" s="10"/>
    </row>
    <row r="911" spans="1:11">
      <c r="A911" s="19">
        <v>45257</v>
      </c>
      <c r="B911" t="s">
        <v>1252</v>
      </c>
      <c r="C911" t="s">
        <v>1241</v>
      </c>
      <c r="D911" t="s">
        <v>1235</v>
      </c>
      <c r="E911" t="s">
        <v>1231</v>
      </c>
      <c r="F911" t="s">
        <v>1249</v>
      </c>
      <c r="G911" t="s">
        <v>1268</v>
      </c>
      <c r="H911" s="10">
        <v>4</v>
      </c>
      <c r="I911" s="10">
        <v>3762.47</v>
      </c>
      <c r="J911" s="10">
        <v>15049.88</v>
      </c>
      <c r="K911" s="10"/>
    </row>
    <row r="912" spans="1:11">
      <c r="A912" s="19">
        <v>45258</v>
      </c>
      <c r="B912" t="s">
        <v>1262</v>
      </c>
      <c r="C912" t="s">
        <v>1244</v>
      </c>
      <c r="D912" t="s">
        <v>1243</v>
      </c>
      <c r="E912" t="s">
        <v>1242</v>
      </c>
      <c r="F912" t="s">
        <v>128</v>
      </c>
      <c r="G912" t="s">
        <v>1266</v>
      </c>
      <c r="H912" s="10">
        <v>9</v>
      </c>
      <c r="I912" s="10">
        <v>2634.14</v>
      </c>
      <c r="J912" s="10">
        <v>23707.26</v>
      </c>
      <c r="K912" s="10"/>
    </row>
    <row r="913" spans="1:11">
      <c r="A913" s="19">
        <v>45258</v>
      </c>
      <c r="B913" t="s">
        <v>1262</v>
      </c>
      <c r="C913" t="s">
        <v>1244</v>
      </c>
      <c r="D913" t="s">
        <v>1243</v>
      </c>
      <c r="E913" t="s">
        <v>1242</v>
      </c>
      <c r="F913" t="s">
        <v>128</v>
      </c>
      <c r="G913" t="s">
        <v>1266</v>
      </c>
      <c r="H913" s="10">
        <v>12</v>
      </c>
      <c r="I913" s="10">
        <v>1958.77</v>
      </c>
      <c r="J913" s="10">
        <v>23505.24</v>
      </c>
      <c r="K913" s="10"/>
    </row>
    <row r="914" spans="1:11">
      <c r="A914" s="19">
        <v>45258</v>
      </c>
      <c r="B914" t="s">
        <v>1263</v>
      </c>
      <c r="C914" t="s">
        <v>1247</v>
      </c>
      <c r="D914" t="s">
        <v>1243</v>
      </c>
      <c r="E914" t="s">
        <v>1242</v>
      </c>
      <c r="F914" t="s">
        <v>120</v>
      </c>
      <c r="G914" t="s">
        <v>1275</v>
      </c>
      <c r="H914" s="10">
        <v>5</v>
      </c>
      <c r="I914" s="10">
        <v>3572.02</v>
      </c>
      <c r="J914" s="10">
        <v>17860.099999999999</v>
      </c>
      <c r="K914" s="10"/>
    </row>
    <row r="915" spans="1:11">
      <c r="A915" s="19">
        <v>45258</v>
      </c>
      <c r="B915" t="s">
        <v>1254</v>
      </c>
      <c r="C915" t="s">
        <v>1173</v>
      </c>
      <c r="D915" t="s">
        <v>1237</v>
      </c>
      <c r="E915" t="s">
        <v>1229</v>
      </c>
      <c r="F915" t="s">
        <v>1249</v>
      </c>
      <c r="G915" t="s">
        <v>1268</v>
      </c>
      <c r="H915" s="10">
        <v>14</v>
      </c>
      <c r="I915" s="10">
        <v>3943.42</v>
      </c>
      <c r="J915" s="10">
        <v>55207.88</v>
      </c>
      <c r="K915" s="10"/>
    </row>
    <row r="916" spans="1:11">
      <c r="A916" s="19">
        <v>45258</v>
      </c>
      <c r="B916" t="s">
        <v>1252</v>
      </c>
      <c r="C916" t="s">
        <v>1245</v>
      </c>
      <c r="D916" t="s">
        <v>1243</v>
      </c>
      <c r="E916" t="s">
        <v>1242</v>
      </c>
      <c r="F916" t="s">
        <v>1249</v>
      </c>
      <c r="G916" t="s">
        <v>1270</v>
      </c>
      <c r="H916" s="10">
        <v>13</v>
      </c>
      <c r="I916" s="10">
        <v>3417.94</v>
      </c>
      <c r="J916" s="10">
        <v>44433.22</v>
      </c>
      <c r="K916" s="10"/>
    </row>
    <row r="917" spans="1:11">
      <c r="A917" s="19">
        <v>45258</v>
      </c>
      <c r="B917" t="s">
        <v>1262</v>
      </c>
      <c r="C917" t="s">
        <v>1238</v>
      </c>
      <c r="D917" t="s">
        <v>1235</v>
      </c>
      <c r="E917" t="s">
        <v>1231</v>
      </c>
      <c r="F917" t="s">
        <v>128</v>
      </c>
      <c r="G917" t="s">
        <v>1273</v>
      </c>
      <c r="H917" s="10">
        <v>6</v>
      </c>
      <c r="I917" s="10">
        <v>2867.98</v>
      </c>
      <c r="J917" s="10">
        <v>17207.88</v>
      </c>
      <c r="K917" s="10"/>
    </row>
    <row r="918" spans="1:11">
      <c r="A918" s="19">
        <v>45258</v>
      </c>
      <c r="B918" t="s">
        <v>1265</v>
      </c>
      <c r="C918" t="s">
        <v>1247</v>
      </c>
      <c r="D918" t="s">
        <v>1243</v>
      </c>
      <c r="E918" t="s">
        <v>1242</v>
      </c>
      <c r="F918" t="s">
        <v>132</v>
      </c>
      <c r="G918" t="s">
        <v>1253</v>
      </c>
      <c r="H918" s="10">
        <v>16</v>
      </c>
      <c r="I918" s="10">
        <v>1628.19</v>
      </c>
      <c r="J918" s="10">
        <v>26051.040000000001</v>
      </c>
      <c r="K918" s="10"/>
    </row>
    <row r="919" spans="1:11">
      <c r="A919" s="19">
        <v>45259</v>
      </c>
      <c r="B919" t="s">
        <v>1260</v>
      </c>
      <c r="C919" t="s">
        <v>1171</v>
      </c>
      <c r="D919" t="s">
        <v>1237</v>
      </c>
      <c r="E919" t="s">
        <v>1229</v>
      </c>
      <c r="F919" t="s">
        <v>145</v>
      </c>
      <c r="G919" t="s">
        <v>1261</v>
      </c>
      <c r="H919" s="10">
        <v>17</v>
      </c>
      <c r="I919" s="10">
        <v>608.79</v>
      </c>
      <c r="J919" s="10">
        <v>10349.43</v>
      </c>
      <c r="K919" s="10"/>
    </row>
    <row r="920" spans="1:11">
      <c r="A920" s="19">
        <v>45259</v>
      </c>
      <c r="B920" t="s">
        <v>1262</v>
      </c>
      <c r="C920" t="s">
        <v>1241</v>
      </c>
      <c r="D920" t="s">
        <v>1235</v>
      </c>
      <c r="E920" t="s">
        <v>1231</v>
      </c>
      <c r="F920" t="s">
        <v>145</v>
      </c>
      <c r="G920" t="s">
        <v>1255</v>
      </c>
      <c r="H920" s="10">
        <v>17</v>
      </c>
      <c r="I920" s="10">
        <v>1294.56</v>
      </c>
      <c r="J920" s="10">
        <v>22007.52</v>
      </c>
      <c r="K920" s="10"/>
    </row>
    <row r="921" spans="1:11">
      <c r="A921" s="19">
        <v>45259</v>
      </c>
      <c r="B921" t="s">
        <v>1269</v>
      </c>
      <c r="C921" t="s">
        <v>1241</v>
      </c>
      <c r="D921" t="s">
        <v>1235</v>
      </c>
      <c r="E921" t="s">
        <v>1231</v>
      </c>
      <c r="F921" t="s">
        <v>128</v>
      </c>
      <c r="G921" t="s">
        <v>1257</v>
      </c>
      <c r="H921" s="10">
        <v>10</v>
      </c>
      <c r="I921" s="10">
        <v>3803.22</v>
      </c>
      <c r="J921" s="10">
        <v>38032.199999999997</v>
      </c>
      <c r="K921" s="10"/>
    </row>
    <row r="922" spans="1:11">
      <c r="A922" s="19">
        <v>45260</v>
      </c>
      <c r="B922" t="s">
        <v>1267</v>
      </c>
      <c r="C922" t="s">
        <v>1240</v>
      </c>
      <c r="D922" t="s">
        <v>1232</v>
      </c>
      <c r="E922" t="s">
        <v>1231</v>
      </c>
      <c r="F922" t="s">
        <v>128</v>
      </c>
      <c r="G922" t="s">
        <v>1273</v>
      </c>
      <c r="H922" s="10">
        <v>19</v>
      </c>
      <c r="I922" s="10">
        <v>1343.6</v>
      </c>
      <c r="J922" s="10">
        <v>25528.400000000001</v>
      </c>
      <c r="K922" s="10"/>
    </row>
    <row r="923" spans="1:11">
      <c r="A923" s="19">
        <v>45260</v>
      </c>
      <c r="B923" t="s">
        <v>1260</v>
      </c>
      <c r="C923" t="s">
        <v>1238</v>
      </c>
      <c r="D923" t="s">
        <v>1235</v>
      </c>
      <c r="E923" t="s">
        <v>1231</v>
      </c>
      <c r="F923" t="s">
        <v>1249</v>
      </c>
      <c r="G923" t="s">
        <v>1268</v>
      </c>
      <c r="H923" s="10">
        <v>20</v>
      </c>
      <c r="I923" s="10">
        <v>285.95999999999998</v>
      </c>
      <c r="J923" s="10">
        <v>5719.2</v>
      </c>
      <c r="K923" s="10"/>
    </row>
    <row r="924" spans="1:11">
      <c r="A924" s="19">
        <v>45260</v>
      </c>
      <c r="B924" t="s">
        <v>1267</v>
      </c>
      <c r="C924" t="s">
        <v>1240</v>
      </c>
      <c r="D924" t="s">
        <v>1232</v>
      </c>
      <c r="E924" t="s">
        <v>1231</v>
      </c>
      <c r="F924" t="s">
        <v>128</v>
      </c>
      <c r="G924" t="s">
        <v>1264</v>
      </c>
      <c r="H924" s="10">
        <v>17</v>
      </c>
      <c r="I924" s="10">
        <v>544.41999999999996</v>
      </c>
      <c r="J924" s="10">
        <v>9255.14</v>
      </c>
      <c r="K924" s="10"/>
    </row>
    <row r="925" spans="1:11">
      <c r="A925" s="19">
        <v>45260</v>
      </c>
      <c r="B925" t="s">
        <v>1256</v>
      </c>
      <c r="C925" t="s">
        <v>1236</v>
      </c>
      <c r="D925" t="s">
        <v>1235</v>
      </c>
      <c r="E925" t="s">
        <v>1231</v>
      </c>
      <c r="F925" t="s">
        <v>1249</v>
      </c>
      <c r="G925" t="s">
        <v>1270</v>
      </c>
      <c r="H925" s="10">
        <v>14</v>
      </c>
      <c r="I925" s="10">
        <v>4935.3</v>
      </c>
      <c r="J925" s="10">
        <v>69094.2</v>
      </c>
      <c r="K925" s="10"/>
    </row>
    <row r="926" spans="1:11">
      <c r="A926" s="19">
        <v>45260</v>
      </c>
      <c r="B926" t="s">
        <v>1265</v>
      </c>
      <c r="C926" t="s">
        <v>1239</v>
      </c>
      <c r="D926" t="s">
        <v>1237</v>
      </c>
      <c r="E926" t="s">
        <v>1229</v>
      </c>
      <c r="F926" t="s">
        <v>145</v>
      </c>
      <c r="G926" t="s">
        <v>1261</v>
      </c>
      <c r="H926" s="10">
        <v>5</v>
      </c>
      <c r="I926" s="10">
        <v>3725.36</v>
      </c>
      <c r="J926" s="10">
        <v>18626.8</v>
      </c>
      <c r="K926" s="10"/>
    </row>
    <row r="927" spans="1:11">
      <c r="A927" s="19">
        <v>45261</v>
      </c>
      <c r="B927" t="s">
        <v>1262</v>
      </c>
      <c r="C927" t="s">
        <v>1245</v>
      </c>
      <c r="D927" t="s">
        <v>1243</v>
      </c>
      <c r="E927" t="s">
        <v>1242</v>
      </c>
      <c r="F927" t="s">
        <v>120</v>
      </c>
      <c r="G927" t="s">
        <v>1164</v>
      </c>
      <c r="H927" s="10">
        <v>5</v>
      </c>
      <c r="I927" s="10">
        <v>3289.83</v>
      </c>
      <c r="J927" s="10">
        <v>16449.150000000001</v>
      </c>
      <c r="K927" s="10"/>
    </row>
    <row r="928" spans="1:11">
      <c r="A928" s="19">
        <v>45261</v>
      </c>
      <c r="B928" t="s">
        <v>1265</v>
      </c>
      <c r="C928" t="s">
        <v>1246</v>
      </c>
      <c r="D928" t="s">
        <v>1230</v>
      </c>
      <c r="E928" t="s">
        <v>1229</v>
      </c>
      <c r="F928" t="s">
        <v>128</v>
      </c>
      <c r="G928" t="s">
        <v>1264</v>
      </c>
      <c r="H928" s="10">
        <v>6</v>
      </c>
      <c r="I928" s="10">
        <v>4508.3</v>
      </c>
      <c r="J928" s="10">
        <v>27049.8</v>
      </c>
      <c r="K928" s="10"/>
    </row>
    <row r="929" spans="1:11">
      <c r="A929" s="19">
        <v>45261</v>
      </c>
      <c r="B929" t="s">
        <v>1263</v>
      </c>
      <c r="C929" t="s">
        <v>1239</v>
      </c>
      <c r="D929" t="s">
        <v>1237</v>
      </c>
      <c r="E929" t="s">
        <v>1229</v>
      </c>
      <c r="F929" t="s">
        <v>128</v>
      </c>
      <c r="G929" t="s">
        <v>1257</v>
      </c>
      <c r="H929" s="10">
        <v>12</v>
      </c>
      <c r="I929" s="10">
        <v>4514.3900000000003</v>
      </c>
      <c r="J929" s="10">
        <v>54172.68</v>
      </c>
      <c r="K929" s="10"/>
    </row>
    <row r="930" spans="1:11">
      <c r="A930" s="19">
        <v>45261</v>
      </c>
      <c r="B930" t="s">
        <v>1262</v>
      </c>
      <c r="C930" t="s">
        <v>1171</v>
      </c>
      <c r="D930" t="s">
        <v>1237</v>
      </c>
      <c r="E930" t="s">
        <v>1229</v>
      </c>
      <c r="F930" t="s">
        <v>145</v>
      </c>
      <c r="G930" t="s">
        <v>1278</v>
      </c>
      <c r="H930" s="10">
        <v>13</v>
      </c>
      <c r="I930" s="10">
        <v>4263.79</v>
      </c>
      <c r="J930" s="10">
        <v>55429.27</v>
      </c>
      <c r="K930" s="10"/>
    </row>
    <row r="931" spans="1:11">
      <c r="A931" s="19">
        <v>45262</v>
      </c>
      <c r="B931" t="s">
        <v>1256</v>
      </c>
      <c r="C931" t="s">
        <v>1246</v>
      </c>
      <c r="D931" t="s">
        <v>1230</v>
      </c>
      <c r="E931" t="s">
        <v>1229</v>
      </c>
      <c r="F931" t="s">
        <v>120</v>
      </c>
      <c r="G931" t="s">
        <v>1276</v>
      </c>
      <c r="H931" s="10">
        <v>1</v>
      </c>
      <c r="I931" s="10">
        <v>4541.7700000000004</v>
      </c>
      <c r="J931" s="10">
        <v>4541.7700000000004</v>
      </c>
      <c r="K931" s="10"/>
    </row>
    <row r="932" spans="1:11">
      <c r="A932" s="19">
        <v>45262</v>
      </c>
      <c r="B932" t="s">
        <v>1252</v>
      </c>
      <c r="C932" t="s">
        <v>1239</v>
      </c>
      <c r="D932" t="s">
        <v>1237</v>
      </c>
      <c r="E932" t="s">
        <v>1229</v>
      </c>
      <c r="F932" t="s">
        <v>145</v>
      </c>
      <c r="G932" t="s">
        <v>1255</v>
      </c>
      <c r="H932" s="10">
        <v>11</v>
      </c>
      <c r="I932" s="10">
        <v>2635.95</v>
      </c>
      <c r="J932" s="10">
        <v>28995.45</v>
      </c>
      <c r="K932" s="10"/>
    </row>
    <row r="933" spans="1:11">
      <c r="A933" s="19">
        <v>45262</v>
      </c>
      <c r="B933" t="s">
        <v>1265</v>
      </c>
      <c r="C933" t="s">
        <v>1248</v>
      </c>
      <c r="D933" t="s">
        <v>1230</v>
      </c>
      <c r="E933" t="s">
        <v>1229</v>
      </c>
      <c r="F933" t="s">
        <v>128</v>
      </c>
      <c r="G933" t="s">
        <v>1257</v>
      </c>
      <c r="H933" s="10">
        <v>14</v>
      </c>
      <c r="I933" s="10">
        <v>148.43</v>
      </c>
      <c r="J933" s="10">
        <v>2078.02</v>
      </c>
      <c r="K933" s="10"/>
    </row>
    <row r="934" spans="1:11">
      <c r="A934" s="19">
        <v>45263</v>
      </c>
      <c r="B934" t="s">
        <v>1269</v>
      </c>
      <c r="C934" t="s">
        <v>1245</v>
      </c>
      <c r="D934" t="s">
        <v>1243</v>
      </c>
      <c r="E934" t="s">
        <v>1242</v>
      </c>
      <c r="F934" t="s">
        <v>120</v>
      </c>
      <c r="G934" t="s">
        <v>1276</v>
      </c>
      <c r="H934" s="10">
        <v>19</v>
      </c>
      <c r="I934" s="10">
        <v>1359.7</v>
      </c>
      <c r="J934" s="10">
        <v>25834.3</v>
      </c>
      <c r="K934" s="10"/>
    </row>
    <row r="935" spans="1:11">
      <c r="A935" s="19">
        <v>45263</v>
      </c>
      <c r="B935" t="s">
        <v>1265</v>
      </c>
      <c r="C935" t="s">
        <v>1169</v>
      </c>
      <c r="D935" t="s">
        <v>1230</v>
      </c>
      <c r="E935" t="s">
        <v>1229</v>
      </c>
      <c r="F935" t="s">
        <v>145</v>
      </c>
      <c r="G935" t="s">
        <v>1278</v>
      </c>
      <c r="H935" s="10">
        <v>19</v>
      </c>
      <c r="I935" s="10">
        <v>2016.56</v>
      </c>
      <c r="J935" s="10">
        <v>38314.639999999999</v>
      </c>
      <c r="K935" s="10"/>
    </row>
    <row r="936" spans="1:11">
      <c r="A936" s="19">
        <v>45264</v>
      </c>
      <c r="B936" t="s">
        <v>1260</v>
      </c>
      <c r="C936" t="s">
        <v>1171</v>
      </c>
      <c r="D936" t="s">
        <v>1237</v>
      </c>
      <c r="E936" t="s">
        <v>1229</v>
      </c>
      <c r="F936" t="s">
        <v>120</v>
      </c>
      <c r="G936" t="s">
        <v>1165</v>
      </c>
      <c r="H936" s="10">
        <v>17</v>
      </c>
      <c r="I936" s="10">
        <v>683.31</v>
      </c>
      <c r="J936" s="10">
        <v>11616.27</v>
      </c>
      <c r="K936" s="10"/>
    </row>
    <row r="937" spans="1:11">
      <c r="A937" s="19">
        <v>45264</v>
      </c>
      <c r="B937" t="s">
        <v>1254</v>
      </c>
      <c r="C937" t="s">
        <v>1171</v>
      </c>
      <c r="D937" t="s">
        <v>1237</v>
      </c>
      <c r="E937" t="s">
        <v>1229</v>
      </c>
      <c r="F937" t="s">
        <v>145</v>
      </c>
      <c r="G937" t="s">
        <v>1255</v>
      </c>
      <c r="H937" s="10">
        <v>14</v>
      </c>
      <c r="I937" s="10">
        <v>3167.49</v>
      </c>
      <c r="J937" s="10">
        <v>44344.86</v>
      </c>
      <c r="K937" s="10"/>
    </row>
    <row r="938" spans="1:11">
      <c r="A938" s="19">
        <v>45265</v>
      </c>
      <c r="B938" t="s">
        <v>1258</v>
      </c>
      <c r="C938" t="s">
        <v>1239</v>
      </c>
      <c r="D938" t="s">
        <v>1237</v>
      </c>
      <c r="E938" t="s">
        <v>1229</v>
      </c>
      <c r="F938" t="s">
        <v>132</v>
      </c>
      <c r="G938" t="s">
        <v>1253</v>
      </c>
      <c r="H938" s="10">
        <v>18</v>
      </c>
      <c r="I938" s="10">
        <v>3511.28</v>
      </c>
      <c r="J938" s="10">
        <v>63203.040000000001</v>
      </c>
      <c r="K938" s="10"/>
    </row>
    <row r="939" spans="1:11">
      <c r="A939" s="19">
        <v>45265</v>
      </c>
      <c r="B939" t="s">
        <v>1260</v>
      </c>
      <c r="C939" t="s">
        <v>1233</v>
      </c>
      <c r="D939" t="s">
        <v>1232</v>
      </c>
      <c r="E939" t="s">
        <v>1231</v>
      </c>
      <c r="F939" t="s">
        <v>145</v>
      </c>
      <c r="G939" t="s">
        <v>1255</v>
      </c>
      <c r="H939" s="10">
        <v>9</v>
      </c>
      <c r="I939" s="10">
        <v>2251.19</v>
      </c>
      <c r="J939" s="10">
        <v>20260.71</v>
      </c>
      <c r="K939" s="10"/>
    </row>
    <row r="940" spans="1:11">
      <c r="A940" s="19">
        <v>45265</v>
      </c>
      <c r="B940" t="s">
        <v>1262</v>
      </c>
      <c r="C940" t="s">
        <v>1173</v>
      </c>
      <c r="D940" t="s">
        <v>1237</v>
      </c>
      <c r="E940" t="s">
        <v>1229</v>
      </c>
      <c r="F940" t="s">
        <v>128</v>
      </c>
      <c r="G940" t="s">
        <v>1266</v>
      </c>
      <c r="H940" s="10">
        <v>2</v>
      </c>
      <c r="I940" s="10">
        <v>1559.76</v>
      </c>
      <c r="J940" s="10">
        <v>3119.52</v>
      </c>
      <c r="K940" s="10"/>
    </row>
    <row r="941" spans="1:11">
      <c r="A941" s="19">
        <v>45266</v>
      </c>
      <c r="B941" t="s">
        <v>1263</v>
      </c>
      <c r="C941" t="s">
        <v>1238</v>
      </c>
      <c r="D941" t="s">
        <v>1235</v>
      </c>
      <c r="E941" t="s">
        <v>1231</v>
      </c>
      <c r="F941" t="s">
        <v>1249</v>
      </c>
      <c r="G941" t="s">
        <v>1270</v>
      </c>
      <c r="H941" s="10">
        <v>19</v>
      </c>
      <c r="I941" s="10">
        <v>2494.11</v>
      </c>
      <c r="J941" s="10">
        <v>47388.09</v>
      </c>
      <c r="K941" s="10"/>
    </row>
    <row r="942" spans="1:11">
      <c r="A942" s="19">
        <v>45266</v>
      </c>
      <c r="B942" t="s">
        <v>1263</v>
      </c>
      <c r="C942" t="s">
        <v>1247</v>
      </c>
      <c r="D942" t="s">
        <v>1243</v>
      </c>
      <c r="E942" t="s">
        <v>1242</v>
      </c>
      <c r="F942" t="s">
        <v>120</v>
      </c>
      <c r="G942" t="s">
        <v>1165</v>
      </c>
      <c r="H942" s="10">
        <v>9</v>
      </c>
      <c r="I942" s="10">
        <v>4618.59</v>
      </c>
      <c r="J942" s="10">
        <v>41567.31</v>
      </c>
      <c r="K942" s="10"/>
    </row>
    <row r="943" spans="1:11">
      <c r="A943" s="19">
        <v>45266</v>
      </c>
      <c r="B943" t="s">
        <v>1254</v>
      </c>
      <c r="C943" t="s">
        <v>1233</v>
      </c>
      <c r="D943" t="s">
        <v>1232</v>
      </c>
      <c r="E943" t="s">
        <v>1231</v>
      </c>
      <c r="F943" t="s">
        <v>120</v>
      </c>
      <c r="G943" t="s">
        <v>1164</v>
      </c>
      <c r="H943" s="10">
        <v>18</v>
      </c>
      <c r="I943" s="10">
        <v>1039.3800000000001</v>
      </c>
      <c r="J943" s="10">
        <v>18708.84</v>
      </c>
      <c r="K943" s="10"/>
    </row>
    <row r="944" spans="1:11">
      <c r="A944" s="19">
        <v>45267</v>
      </c>
      <c r="B944" t="s">
        <v>1254</v>
      </c>
      <c r="C944" t="s">
        <v>1239</v>
      </c>
      <c r="D944" t="s">
        <v>1237</v>
      </c>
      <c r="E944" t="s">
        <v>1229</v>
      </c>
      <c r="F944" t="s">
        <v>128</v>
      </c>
      <c r="G944" t="s">
        <v>1264</v>
      </c>
      <c r="H944" s="10">
        <v>12</v>
      </c>
      <c r="I944" s="10">
        <v>2170.02</v>
      </c>
      <c r="J944" s="10">
        <v>26040.240000000002</v>
      </c>
      <c r="K944" s="10"/>
    </row>
    <row r="945" spans="1:11">
      <c r="A945" s="19">
        <v>45269</v>
      </c>
      <c r="B945" t="s">
        <v>1254</v>
      </c>
      <c r="C945" t="s">
        <v>1245</v>
      </c>
      <c r="D945" t="s">
        <v>1243</v>
      </c>
      <c r="E945" t="s">
        <v>1242</v>
      </c>
      <c r="F945" t="s">
        <v>132</v>
      </c>
      <c r="G945" t="s">
        <v>1277</v>
      </c>
      <c r="H945" s="10">
        <v>17</v>
      </c>
      <c r="I945" s="10">
        <v>2655.98</v>
      </c>
      <c r="J945" s="10">
        <v>45151.66</v>
      </c>
      <c r="K945" s="10"/>
    </row>
    <row r="946" spans="1:11">
      <c r="A946" s="19">
        <v>45269</v>
      </c>
      <c r="B946" t="s">
        <v>1269</v>
      </c>
      <c r="C946" t="s">
        <v>1246</v>
      </c>
      <c r="D946" t="s">
        <v>1230</v>
      </c>
      <c r="E946" t="s">
        <v>1229</v>
      </c>
      <c r="F946" t="s">
        <v>1249</v>
      </c>
      <c r="G946" t="s">
        <v>1259</v>
      </c>
      <c r="H946" s="10">
        <v>9</v>
      </c>
      <c r="I946" s="10">
        <v>3560.8</v>
      </c>
      <c r="J946" s="10">
        <v>32047.200000000001</v>
      </c>
      <c r="K946" s="10"/>
    </row>
    <row r="947" spans="1:11">
      <c r="A947" s="19">
        <v>45270</v>
      </c>
      <c r="B947" t="s">
        <v>1263</v>
      </c>
      <c r="C947" t="s">
        <v>1171</v>
      </c>
      <c r="D947" t="s">
        <v>1237</v>
      </c>
      <c r="E947" t="s">
        <v>1229</v>
      </c>
      <c r="F947" t="s">
        <v>128</v>
      </c>
      <c r="G947" t="s">
        <v>1257</v>
      </c>
      <c r="H947" s="10">
        <v>11</v>
      </c>
      <c r="I947" s="10">
        <v>827.59</v>
      </c>
      <c r="J947" s="10">
        <v>9103.49</v>
      </c>
      <c r="K947" s="10"/>
    </row>
    <row r="948" spans="1:11">
      <c r="A948" s="19">
        <v>45270</v>
      </c>
      <c r="B948" t="s">
        <v>1267</v>
      </c>
      <c r="C948" t="s">
        <v>1236</v>
      </c>
      <c r="D948" t="s">
        <v>1235</v>
      </c>
      <c r="E948" t="s">
        <v>1231</v>
      </c>
      <c r="F948" t="s">
        <v>120</v>
      </c>
      <c r="G948" t="s">
        <v>1164</v>
      </c>
      <c r="H948" s="10">
        <v>9</v>
      </c>
      <c r="I948" s="10">
        <v>1694.83</v>
      </c>
      <c r="J948" s="10">
        <v>15253.47</v>
      </c>
      <c r="K948" s="10"/>
    </row>
    <row r="949" spans="1:11">
      <c r="A949" s="19">
        <v>45270</v>
      </c>
      <c r="B949" t="s">
        <v>1267</v>
      </c>
      <c r="C949" t="s">
        <v>1233</v>
      </c>
      <c r="D949" t="s">
        <v>1232</v>
      </c>
      <c r="E949" t="s">
        <v>1231</v>
      </c>
      <c r="F949" t="s">
        <v>132</v>
      </c>
      <c r="G949" t="s">
        <v>1279</v>
      </c>
      <c r="H949" s="10">
        <v>12</v>
      </c>
      <c r="I949" s="10">
        <v>1799.38</v>
      </c>
      <c r="J949" s="10">
        <v>21592.560000000001</v>
      </c>
      <c r="K949" s="10"/>
    </row>
    <row r="950" spans="1:11">
      <c r="A950" s="19">
        <v>45270</v>
      </c>
      <c r="B950" t="s">
        <v>1254</v>
      </c>
      <c r="C950" t="s">
        <v>1248</v>
      </c>
      <c r="D950" t="s">
        <v>1230</v>
      </c>
      <c r="E950" t="s">
        <v>1229</v>
      </c>
      <c r="F950" t="s">
        <v>120</v>
      </c>
      <c r="G950" t="s">
        <v>1165</v>
      </c>
      <c r="H950" s="10">
        <v>11</v>
      </c>
      <c r="I950" s="10">
        <v>941.97</v>
      </c>
      <c r="J950" s="10">
        <v>10361.67</v>
      </c>
      <c r="K950" s="10"/>
    </row>
    <row r="951" spans="1:11">
      <c r="A951" s="19">
        <v>45271</v>
      </c>
      <c r="B951" t="s">
        <v>1262</v>
      </c>
      <c r="C951" t="s">
        <v>1247</v>
      </c>
      <c r="D951" t="s">
        <v>1243</v>
      </c>
      <c r="E951" t="s">
        <v>1242</v>
      </c>
      <c r="F951" t="s">
        <v>1249</v>
      </c>
      <c r="G951" t="s">
        <v>1259</v>
      </c>
      <c r="H951" s="10">
        <v>2</v>
      </c>
      <c r="I951" s="10">
        <v>3747.71</v>
      </c>
      <c r="J951" s="10">
        <v>7495.42</v>
      </c>
      <c r="K951" s="10"/>
    </row>
    <row r="952" spans="1:11">
      <c r="A952" s="19">
        <v>45271</v>
      </c>
      <c r="B952" t="s">
        <v>1263</v>
      </c>
      <c r="C952" t="s">
        <v>1173</v>
      </c>
      <c r="D952" t="s">
        <v>1237</v>
      </c>
      <c r="E952" t="s">
        <v>1229</v>
      </c>
      <c r="F952" t="s">
        <v>145</v>
      </c>
      <c r="G952" t="s">
        <v>1255</v>
      </c>
      <c r="H952" s="10">
        <v>18</v>
      </c>
      <c r="I952" s="10">
        <v>3559.2</v>
      </c>
      <c r="J952" s="10">
        <v>64065.599999999999</v>
      </c>
      <c r="K952" s="10"/>
    </row>
    <row r="953" spans="1:11">
      <c r="A953" s="19">
        <v>45272</v>
      </c>
      <c r="B953" t="s">
        <v>1262</v>
      </c>
      <c r="C953" t="s">
        <v>1246</v>
      </c>
      <c r="D953" t="s">
        <v>1230</v>
      </c>
      <c r="E953" t="s">
        <v>1229</v>
      </c>
      <c r="F953" t="s">
        <v>132</v>
      </c>
      <c r="G953" t="s">
        <v>1271</v>
      </c>
      <c r="H953" s="10">
        <v>12</v>
      </c>
      <c r="I953" s="10">
        <v>3939.5</v>
      </c>
      <c r="J953" s="10">
        <v>47274</v>
      </c>
      <c r="K953" s="10"/>
    </row>
    <row r="954" spans="1:11">
      <c r="A954" s="19">
        <v>45272</v>
      </c>
      <c r="B954" t="s">
        <v>1254</v>
      </c>
      <c r="C954" t="s">
        <v>1247</v>
      </c>
      <c r="D954" t="s">
        <v>1243</v>
      </c>
      <c r="E954" t="s">
        <v>1242</v>
      </c>
      <c r="F954" t="s">
        <v>120</v>
      </c>
      <c r="G954" t="s">
        <v>1275</v>
      </c>
      <c r="H954" s="10">
        <v>12</v>
      </c>
      <c r="I954" s="10">
        <v>3695.68</v>
      </c>
      <c r="J954" s="10">
        <v>44348.160000000003</v>
      </c>
      <c r="K954" s="10"/>
    </row>
    <row r="955" spans="1:11">
      <c r="A955" s="19">
        <v>45273</v>
      </c>
      <c r="B955" t="s">
        <v>1260</v>
      </c>
      <c r="C955" t="s">
        <v>1244</v>
      </c>
      <c r="D955" t="s">
        <v>1243</v>
      </c>
      <c r="E955" t="s">
        <v>1242</v>
      </c>
      <c r="F955" t="s">
        <v>132</v>
      </c>
      <c r="G955" t="s">
        <v>1277</v>
      </c>
      <c r="H955" s="10">
        <v>2</v>
      </c>
      <c r="I955" s="10">
        <v>4248</v>
      </c>
      <c r="J955" s="10">
        <v>8496</v>
      </c>
      <c r="K955" s="10"/>
    </row>
    <row r="956" spans="1:11">
      <c r="A956" s="19">
        <v>45273</v>
      </c>
      <c r="B956" t="s">
        <v>1265</v>
      </c>
      <c r="C956" t="s">
        <v>1236</v>
      </c>
      <c r="D956" t="s">
        <v>1235</v>
      </c>
      <c r="E956" t="s">
        <v>1231</v>
      </c>
      <c r="F956" t="s">
        <v>132</v>
      </c>
      <c r="G956" t="s">
        <v>1271</v>
      </c>
      <c r="H956" s="10">
        <v>13</v>
      </c>
      <c r="I956" s="10">
        <v>2109.15</v>
      </c>
      <c r="J956" s="10">
        <v>27418.95</v>
      </c>
      <c r="K956" s="10"/>
    </row>
    <row r="957" spans="1:11">
      <c r="A957" s="19">
        <v>45273</v>
      </c>
      <c r="B957" t="s">
        <v>1263</v>
      </c>
      <c r="C957" t="s">
        <v>1233</v>
      </c>
      <c r="D957" t="s">
        <v>1232</v>
      </c>
      <c r="E957" t="s">
        <v>1231</v>
      </c>
      <c r="F957" t="s">
        <v>120</v>
      </c>
      <c r="G957" t="s">
        <v>1276</v>
      </c>
      <c r="H957" s="10">
        <v>3</v>
      </c>
      <c r="I957" s="10">
        <v>3102.92</v>
      </c>
      <c r="J957" s="10">
        <v>9308.76</v>
      </c>
      <c r="K957" s="10"/>
    </row>
    <row r="958" spans="1:11">
      <c r="A958" s="19">
        <v>45274</v>
      </c>
      <c r="B958" t="s">
        <v>1256</v>
      </c>
      <c r="C958" t="s">
        <v>1171</v>
      </c>
      <c r="D958" t="s">
        <v>1237</v>
      </c>
      <c r="E958" t="s">
        <v>1229</v>
      </c>
      <c r="F958" t="s">
        <v>128</v>
      </c>
      <c r="G958" t="s">
        <v>1273</v>
      </c>
      <c r="H958" s="10">
        <v>2</v>
      </c>
      <c r="I958" s="10">
        <v>3024.56</v>
      </c>
      <c r="J958" s="10">
        <v>6049.12</v>
      </c>
      <c r="K958" s="10"/>
    </row>
    <row r="959" spans="1:11">
      <c r="A959" s="19">
        <v>45275</v>
      </c>
      <c r="B959" t="s">
        <v>1269</v>
      </c>
      <c r="C959" t="s">
        <v>1247</v>
      </c>
      <c r="D959" t="s">
        <v>1243</v>
      </c>
      <c r="E959" t="s">
        <v>1242</v>
      </c>
      <c r="F959" t="s">
        <v>120</v>
      </c>
      <c r="G959" t="s">
        <v>1164</v>
      </c>
      <c r="H959" s="10">
        <v>6</v>
      </c>
      <c r="I959" s="10">
        <v>4751.7700000000004</v>
      </c>
      <c r="J959" s="10">
        <v>28510.62</v>
      </c>
      <c r="K959" s="10"/>
    </row>
    <row r="960" spans="1:11">
      <c r="A960" s="19">
        <v>45275</v>
      </c>
      <c r="B960" t="s">
        <v>1262</v>
      </c>
      <c r="C960" t="s">
        <v>1239</v>
      </c>
      <c r="D960" t="s">
        <v>1237</v>
      </c>
      <c r="E960" t="s">
        <v>1229</v>
      </c>
      <c r="F960" t="s">
        <v>1249</v>
      </c>
      <c r="G960" t="s">
        <v>1259</v>
      </c>
      <c r="H960" s="10">
        <v>6</v>
      </c>
      <c r="I960" s="10">
        <v>2850.31</v>
      </c>
      <c r="J960" s="10">
        <v>17101.86</v>
      </c>
      <c r="K960" s="10"/>
    </row>
    <row r="961" spans="1:11">
      <c r="A961" s="19">
        <v>45276</v>
      </c>
      <c r="B961" t="s">
        <v>1252</v>
      </c>
      <c r="C961" t="s">
        <v>1233</v>
      </c>
      <c r="D961" t="s">
        <v>1232</v>
      </c>
      <c r="E961" t="s">
        <v>1231</v>
      </c>
      <c r="F961" t="s">
        <v>145</v>
      </c>
      <c r="G961" t="s">
        <v>1274</v>
      </c>
      <c r="H961" s="10">
        <v>2</v>
      </c>
      <c r="I961" s="10">
        <v>2789.92</v>
      </c>
      <c r="J961" s="10">
        <v>5579.84</v>
      </c>
      <c r="K961" s="10"/>
    </row>
    <row r="962" spans="1:11">
      <c r="A962" s="19">
        <v>45276</v>
      </c>
      <c r="B962" t="s">
        <v>1254</v>
      </c>
      <c r="C962" t="s">
        <v>1169</v>
      </c>
      <c r="D962" t="s">
        <v>1230</v>
      </c>
      <c r="E962" t="s">
        <v>1229</v>
      </c>
      <c r="F962" t="s">
        <v>128</v>
      </c>
      <c r="G962" t="s">
        <v>1257</v>
      </c>
      <c r="H962" s="10">
        <v>1</v>
      </c>
      <c r="I962" s="10">
        <v>3165.04</v>
      </c>
      <c r="J962" s="10">
        <v>3165.04</v>
      </c>
      <c r="K962" s="10"/>
    </row>
    <row r="963" spans="1:11">
      <c r="A963" s="19">
        <v>45276</v>
      </c>
      <c r="B963" t="s">
        <v>1256</v>
      </c>
      <c r="C963" t="s">
        <v>1234</v>
      </c>
      <c r="D963" t="s">
        <v>1232</v>
      </c>
      <c r="E963" t="s">
        <v>1231</v>
      </c>
      <c r="F963" t="s">
        <v>120</v>
      </c>
      <c r="G963" t="s">
        <v>1164</v>
      </c>
      <c r="H963" s="10">
        <v>14</v>
      </c>
      <c r="I963" s="10">
        <v>2343.4</v>
      </c>
      <c r="J963" s="10">
        <v>32807.599999999999</v>
      </c>
      <c r="K963" s="10"/>
    </row>
    <row r="964" spans="1:11">
      <c r="A964" s="19">
        <v>45277</v>
      </c>
      <c r="B964" t="s">
        <v>1269</v>
      </c>
      <c r="C964" t="s">
        <v>1248</v>
      </c>
      <c r="D964" t="s">
        <v>1230</v>
      </c>
      <c r="E964" t="s">
        <v>1229</v>
      </c>
      <c r="F964" t="s">
        <v>1249</v>
      </c>
      <c r="G964" t="s">
        <v>1268</v>
      </c>
      <c r="H964" s="10">
        <v>10</v>
      </c>
      <c r="I964" s="10">
        <v>4507.62</v>
      </c>
      <c r="J964" s="10">
        <v>45076.2</v>
      </c>
      <c r="K964" s="10"/>
    </row>
    <row r="965" spans="1:11">
      <c r="A965" s="19">
        <v>45277</v>
      </c>
      <c r="B965" t="s">
        <v>1254</v>
      </c>
      <c r="C965" t="s">
        <v>1248</v>
      </c>
      <c r="D965" t="s">
        <v>1230</v>
      </c>
      <c r="E965" t="s">
        <v>1229</v>
      </c>
      <c r="F965" t="s">
        <v>128</v>
      </c>
      <c r="G965" t="s">
        <v>1264</v>
      </c>
      <c r="H965" s="10">
        <v>4</v>
      </c>
      <c r="I965" s="10">
        <v>4412.41</v>
      </c>
      <c r="J965" s="10">
        <v>17649.64</v>
      </c>
      <c r="K965" s="10"/>
    </row>
    <row r="966" spans="1:11">
      <c r="A966" s="19">
        <v>45277</v>
      </c>
      <c r="B966" t="s">
        <v>1252</v>
      </c>
      <c r="C966" t="s">
        <v>1247</v>
      </c>
      <c r="D966" t="s">
        <v>1243</v>
      </c>
      <c r="E966" t="s">
        <v>1242</v>
      </c>
      <c r="F966" t="s">
        <v>145</v>
      </c>
      <c r="G966" t="s">
        <v>1274</v>
      </c>
      <c r="H966" s="10">
        <v>14</v>
      </c>
      <c r="I966" s="10">
        <v>264.77</v>
      </c>
      <c r="J966" s="10">
        <v>3706.78</v>
      </c>
      <c r="K966" s="10"/>
    </row>
    <row r="967" spans="1:11">
      <c r="A967" s="19">
        <v>45279</v>
      </c>
      <c r="B967" t="s">
        <v>1254</v>
      </c>
      <c r="C967" t="s">
        <v>1247</v>
      </c>
      <c r="D967" t="s">
        <v>1243</v>
      </c>
      <c r="E967" t="s">
        <v>1242</v>
      </c>
      <c r="F967" t="s">
        <v>1249</v>
      </c>
      <c r="G967" t="s">
        <v>1268</v>
      </c>
      <c r="H967" s="10">
        <v>15</v>
      </c>
      <c r="I967" s="10">
        <v>3875.6</v>
      </c>
      <c r="J967" s="10">
        <v>58134</v>
      </c>
      <c r="K967" s="10"/>
    </row>
    <row r="968" spans="1:11">
      <c r="A968" s="19">
        <v>45279</v>
      </c>
      <c r="B968" t="s">
        <v>1254</v>
      </c>
      <c r="C968" t="s">
        <v>1241</v>
      </c>
      <c r="D968" t="s">
        <v>1235</v>
      </c>
      <c r="E968" t="s">
        <v>1231</v>
      </c>
      <c r="F968" t="s">
        <v>132</v>
      </c>
      <c r="G968" t="s">
        <v>1271</v>
      </c>
      <c r="H968" s="10">
        <v>13</v>
      </c>
      <c r="I968" s="10">
        <v>4318.62</v>
      </c>
      <c r="J968" s="10">
        <v>56142.06</v>
      </c>
      <c r="K968" s="10"/>
    </row>
    <row r="969" spans="1:11">
      <c r="A969" s="19">
        <v>45279</v>
      </c>
      <c r="B969" t="s">
        <v>1267</v>
      </c>
      <c r="C969" t="s">
        <v>1233</v>
      </c>
      <c r="D969" t="s">
        <v>1232</v>
      </c>
      <c r="E969" t="s">
        <v>1231</v>
      </c>
      <c r="F969" t="s">
        <v>1249</v>
      </c>
      <c r="G969" t="s">
        <v>1259</v>
      </c>
      <c r="H969" s="10">
        <v>8</v>
      </c>
      <c r="I969" s="10">
        <v>978.4</v>
      </c>
      <c r="J969" s="10">
        <v>7827.2</v>
      </c>
      <c r="K969" s="10"/>
    </row>
    <row r="970" spans="1:11">
      <c r="A970" s="19">
        <v>45279</v>
      </c>
      <c r="B970" t="s">
        <v>1252</v>
      </c>
      <c r="C970" t="s">
        <v>1169</v>
      </c>
      <c r="D970" t="s">
        <v>1230</v>
      </c>
      <c r="E970" t="s">
        <v>1229</v>
      </c>
      <c r="F970" t="s">
        <v>145</v>
      </c>
      <c r="G970" t="s">
        <v>1255</v>
      </c>
      <c r="H970" s="10">
        <v>11</v>
      </c>
      <c r="I970" s="10">
        <v>2038.9</v>
      </c>
      <c r="J970" s="10">
        <v>22427.9</v>
      </c>
      <c r="K970" s="10"/>
    </row>
    <row r="971" spans="1:11">
      <c r="A971" s="19">
        <v>45280</v>
      </c>
      <c r="B971" t="s">
        <v>1267</v>
      </c>
      <c r="C971" t="s">
        <v>1244</v>
      </c>
      <c r="D971" t="s">
        <v>1243</v>
      </c>
      <c r="E971" t="s">
        <v>1242</v>
      </c>
      <c r="F971" t="s">
        <v>145</v>
      </c>
      <c r="G971" t="s">
        <v>1261</v>
      </c>
      <c r="H971" s="10">
        <v>7</v>
      </c>
      <c r="I971" s="10">
        <v>4673.3100000000004</v>
      </c>
      <c r="J971" s="10">
        <v>32713.17</v>
      </c>
      <c r="K971" s="10"/>
    </row>
    <row r="972" spans="1:11">
      <c r="A972" s="19">
        <v>45280</v>
      </c>
      <c r="B972" t="s">
        <v>1263</v>
      </c>
      <c r="C972" t="s">
        <v>1240</v>
      </c>
      <c r="D972" t="s">
        <v>1232</v>
      </c>
      <c r="E972" t="s">
        <v>1231</v>
      </c>
      <c r="F972" t="s">
        <v>120</v>
      </c>
      <c r="G972" t="s">
        <v>1165</v>
      </c>
      <c r="H972" s="10">
        <v>8</v>
      </c>
      <c r="I972" s="10">
        <v>1850.8</v>
      </c>
      <c r="J972" s="10">
        <v>14806.4</v>
      </c>
      <c r="K972" s="10"/>
    </row>
    <row r="973" spans="1:11">
      <c r="A973" s="19">
        <v>45280</v>
      </c>
      <c r="B973" t="s">
        <v>1258</v>
      </c>
      <c r="C973" t="s">
        <v>1236</v>
      </c>
      <c r="D973" t="s">
        <v>1235</v>
      </c>
      <c r="E973" t="s">
        <v>1231</v>
      </c>
      <c r="F973" t="s">
        <v>128</v>
      </c>
      <c r="G973" t="s">
        <v>1273</v>
      </c>
      <c r="H973" s="10">
        <v>16</v>
      </c>
      <c r="I973" s="10">
        <v>4238.6400000000003</v>
      </c>
      <c r="J973" s="10">
        <v>67818.240000000005</v>
      </c>
      <c r="K973" s="10"/>
    </row>
    <row r="974" spans="1:11">
      <c r="A974" s="19">
        <v>45281</v>
      </c>
      <c r="B974" t="s">
        <v>1256</v>
      </c>
      <c r="C974" t="s">
        <v>1236</v>
      </c>
      <c r="D974" t="s">
        <v>1235</v>
      </c>
      <c r="E974" t="s">
        <v>1231</v>
      </c>
      <c r="F974" t="s">
        <v>120</v>
      </c>
      <c r="G974" t="s">
        <v>1164</v>
      </c>
      <c r="H974" s="10">
        <v>7</v>
      </c>
      <c r="I974" s="10">
        <v>4023.6</v>
      </c>
      <c r="J974" s="10">
        <v>28165.200000000001</v>
      </c>
      <c r="K974" s="10"/>
    </row>
    <row r="975" spans="1:11">
      <c r="A975" s="19">
        <v>45281</v>
      </c>
      <c r="B975" t="s">
        <v>1263</v>
      </c>
      <c r="C975" t="s">
        <v>1241</v>
      </c>
      <c r="D975" t="s">
        <v>1235</v>
      </c>
      <c r="E975" t="s">
        <v>1231</v>
      </c>
      <c r="F975" t="s">
        <v>128</v>
      </c>
      <c r="G975" t="s">
        <v>1266</v>
      </c>
      <c r="H975" s="10">
        <v>2</v>
      </c>
      <c r="I975" s="10">
        <v>339.56</v>
      </c>
      <c r="J975" s="10">
        <v>679.12</v>
      </c>
      <c r="K975" s="10"/>
    </row>
    <row r="976" spans="1:11">
      <c r="A976" s="19">
        <v>45282</v>
      </c>
      <c r="B976" t="s">
        <v>1265</v>
      </c>
      <c r="C976" t="s">
        <v>1234</v>
      </c>
      <c r="D976" t="s">
        <v>1232</v>
      </c>
      <c r="E976" t="s">
        <v>1231</v>
      </c>
      <c r="F976" t="s">
        <v>132</v>
      </c>
      <c r="G976" t="s">
        <v>1279</v>
      </c>
      <c r="H976" s="10">
        <v>19</v>
      </c>
      <c r="I976" s="10">
        <v>3196.27</v>
      </c>
      <c r="J976" s="10">
        <v>60729.13</v>
      </c>
      <c r="K976" s="10"/>
    </row>
    <row r="977" spans="1:11">
      <c r="A977" s="19">
        <v>45282</v>
      </c>
      <c r="B977" t="s">
        <v>1254</v>
      </c>
      <c r="C977" t="s">
        <v>1171</v>
      </c>
      <c r="D977" t="s">
        <v>1237</v>
      </c>
      <c r="E977" t="s">
        <v>1229</v>
      </c>
      <c r="F977" t="s">
        <v>1249</v>
      </c>
      <c r="G977" t="s">
        <v>1270</v>
      </c>
      <c r="H977" s="10">
        <v>10</v>
      </c>
      <c r="I977" s="10">
        <v>2112.91</v>
      </c>
      <c r="J977" s="10">
        <v>21129.1</v>
      </c>
      <c r="K977" s="10"/>
    </row>
    <row r="978" spans="1:11">
      <c r="A978" s="19">
        <v>45282</v>
      </c>
      <c r="B978" t="s">
        <v>1265</v>
      </c>
      <c r="C978" t="s">
        <v>1234</v>
      </c>
      <c r="D978" t="s">
        <v>1232</v>
      </c>
      <c r="E978" t="s">
        <v>1231</v>
      </c>
      <c r="F978" t="s">
        <v>1249</v>
      </c>
      <c r="G978" t="s">
        <v>1259</v>
      </c>
      <c r="H978" s="10">
        <v>4</v>
      </c>
      <c r="I978" s="10">
        <v>4724.33</v>
      </c>
      <c r="J978" s="10">
        <v>18897.32</v>
      </c>
      <c r="K978" s="10"/>
    </row>
    <row r="979" spans="1:11">
      <c r="A979" s="19">
        <v>45283</v>
      </c>
      <c r="B979" t="s">
        <v>1260</v>
      </c>
      <c r="C979" t="s">
        <v>1233</v>
      </c>
      <c r="D979" t="s">
        <v>1232</v>
      </c>
      <c r="E979" t="s">
        <v>1231</v>
      </c>
      <c r="F979" t="s">
        <v>145</v>
      </c>
      <c r="G979" t="s">
        <v>1261</v>
      </c>
      <c r="H979" s="10">
        <v>7</v>
      </c>
      <c r="I979" s="10">
        <v>4772.29</v>
      </c>
      <c r="J979" s="10">
        <v>33406.03</v>
      </c>
      <c r="K979" s="10"/>
    </row>
    <row r="980" spans="1:11">
      <c r="A980" s="19">
        <v>45283</v>
      </c>
      <c r="B980" t="s">
        <v>1263</v>
      </c>
      <c r="C980" t="s">
        <v>1248</v>
      </c>
      <c r="D980" t="s">
        <v>1230</v>
      </c>
      <c r="E980" t="s">
        <v>1229</v>
      </c>
      <c r="F980" t="s">
        <v>128</v>
      </c>
      <c r="G980" t="s">
        <v>1257</v>
      </c>
      <c r="H980" s="10">
        <v>5</v>
      </c>
      <c r="I980" s="10">
        <v>967.6</v>
      </c>
      <c r="J980" s="10">
        <v>4838</v>
      </c>
      <c r="K980" s="10"/>
    </row>
    <row r="981" spans="1:11">
      <c r="A981" s="19">
        <v>45283</v>
      </c>
      <c r="B981" t="s">
        <v>1256</v>
      </c>
      <c r="C981" t="s">
        <v>1173</v>
      </c>
      <c r="D981" t="s">
        <v>1237</v>
      </c>
      <c r="E981" t="s">
        <v>1229</v>
      </c>
      <c r="F981" t="s">
        <v>120</v>
      </c>
      <c r="G981" t="s">
        <v>1164</v>
      </c>
      <c r="H981" s="10">
        <v>1</v>
      </c>
      <c r="I981" s="10">
        <v>3091.48</v>
      </c>
      <c r="J981" s="10">
        <v>3091.48</v>
      </c>
      <c r="K981" s="10"/>
    </row>
    <row r="982" spans="1:11">
      <c r="A982" s="19">
        <v>45283</v>
      </c>
      <c r="B982" t="s">
        <v>1256</v>
      </c>
      <c r="C982" t="s">
        <v>1241</v>
      </c>
      <c r="D982" t="s">
        <v>1235</v>
      </c>
      <c r="E982" t="s">
        <v>1231</v>
      </c>
      <c r="F982" t="s">
        <v>132</v>
      </c>
      <c r="G982" t="s">
        <v>1271</v>
      </c>
      <c r="H982" s="10">
        <v>17</v>
      </c>
      <c r="I982" s="10">
        <v>4156.25</v>
      </c>
      <c r="J982" s="10">
        <v>70656.25</v>
      </c>
      <c r="K982" s="10"/>
    </row>
    <row r="983" spans="1:11">
      <c r="A983" s="19">
        <v>45283</v>
      </c>
      <c r="B983" t="s">
        <v>1252</v>
      </c>
      <c r="C983" t="s">
        <v>1236</v>
      </c>
      <c r="D983" t="s">
        <v>1235</v>
      </c>
      <c r="E983" t="s">
        <v>1231</v>
      </c>
      <c r="F983" t="s">
        <v>128</v>
      </c>
      <c r="G983" t="s">
        <v>1273</v>
      </c>
      <c r="H983" s="10">
        <v>14</v>
      </c>
      <c r="I983" s="10">
        <v>917.55</v>
      </c>
      <c r="J983" s="10">
        <v>12845.7</v>
      </c>
      <c r="K983" s="10"/>
    </row>
    <row r="984" spans="1:11">
      <c r="A984" s="19">
        <v>45283</v>
      </c>
      <c r="B984" t="s">
        <v>1252</v>
      </c>
      <c r="C984" t="s">
        <v>1248</v>
      </c>
      <c r="D984" t="s">
        <v>1230</v>
      </c>
      <c r="E984" t="s">
        <v>1229</v>
      </c>
      <c r="F984" t="s">
        <v>128</v>
      </c>
      <c r="G984" t="s">
        <v>1264</v>
      </c>
      <c r="H984" s="10">
        <v>19</v>
      </c>
      <c r="I984" s="10">
        <v>1317.72</v>
      </c>
      <c r="J984" s="10">
        <v>25036.68</v>
      </c>
      <c r="K984" s="10"/>
    </row>
    <row r="985" spans="1:11">
      <c r="A985" s="19">
        <v>45283</v>
      </c>
      <c r="B985" t="s">
        <v>1267</v>
      </c>
      <c r="C985" t="s">
        <v>1247</v>
      </c>
      <c r="D985" t="s">
        <v>1243</v>
      </c>
      <c r="E985" t="s">
        <v>1242</v>
      </c>
      <c r="F985" t="s">
        <v>145</v>
      </c>
      <c r="G985" t="s">
        <v>1274</v>
      </c>
      <c r="H985" s="10">
        <v>17</v>
      </c>
      <c r="I985" s="10">
        <v>2655.23</v>
      </c>
      <c r="J985" s="10">
        <v>45138.91</v>
      </c>
      <c r="K985" s="10"/>
    </row>
    <row r="986" spans="1:11">
      <c r="A986" s="19">
        <v>45284</v>
      </c>
      <c r="B986" t="s">
        <v>1258</v>
      </c>
      <c r="C986" t="s">
        <v>1238</v>
      </c>
      <c r="D986" t="s">
        <v>1235</v>
      </c>
      <c r="E986" t="s">
        <v>1231</v>
      </c>
      <c r="F986" t="s">
        <v>128</v>
      </c>
      <c r="G986" t="s">
        <v>1257</v>
      </c>
      <c r="H986" s="10">
        <v>8</v>
      </c>
      <c r="I986" s="10">
        <v>4775.74</v>
      </c>
      <c r="J986" s="10">
        <v>38205.919999999998</v>
      </c>
      <c r="K986" s="10"/>
    </row>
    <row r="987" spans="1:11">
      <c r="A987" s="19">
        <v>45285</v>
      </c>
      <c r="B987" t="s">
        <v>1252</v>
      </c>
      <c r="C987" t="s">
        <v>1171</v>
      </c>
      <c r="D987" t="s">
        <v>1237</v>
      </c>
      <c r="E987" t="s">
        <v>1229</v>
      </c>
      <c r="F987" t="s">
        <v>1249</v>
      </c>
      <c r="G987" t="s">
        <v>1268</v>
      </c>
      <c r="H987" s="10">
        <v>5</v>
      </c>
      <c r="I987" s="10">
        <v>4872.8900000000003</v>
      </c>
      <c r="J987" s="10">
        <v>24364.45</v>
      </c>
      <c r="K987" s="10"/>
    </row>
    <row r="988" spans="1:11">
      <c r="A988" s="19">
        <v>45285</v>
      </c>
      <c r="B988" t="s">
        <v>1258</v>
      </c>
      <c r="C988" t="s">
        <v>1248</v>
      </c>
      <c r="D988" t="s">
        <v>1230</v>
      </c>
      <c r="E988" t="s">
        <v>1229</v>
      </c>
      <c r="F988" t="s">
        <v>120</v>
      </c>
      <c r="G988" t="s">
        <v>1276</v>
      </c>
      <c r="H988" s="10">
        <v>2</v>
      </c>
      <c r="I988" s="10">
        <v>4081.92</v>
      </c>
      <c r="J988" s="10">
        <v>8163.84</v>
      </c>
      <c r="K988" s="10"/>
    </row>
    <row r="989" spans="1:11">
      <c r="A989" s="19">
        <v>45286</v>
      </c>
      <c r="B989" t="s">
        <v>1260</v>
      </c>
      <c r="C989" t="s">
        <v>1241</v>
      </c>
      <c r="D989" t="s">
        <v>1235</v>
      </c>
      <c r="E989" t="s">
        <v>1231</v>
      </c>
      <c r="F989" t="s">
        <v>145</v>
      </c>
      <c r="G989" t="s">
        <v>1274</v>
      </c>
      <c r="H989" s="10">
        <v>8</v>
      </c>
      <c r="I989" s="10">
        <v>4216.03</v>
      </c>
      <c r="J989" s="10">
        <v>33728.239999999998</v>
      </c>
      <c r="K989" s="10"/>
    </row>
    <row r="990" spans="1:11">
      <c r="A990" s="19">
        <v>45286</v>
      </c>
      <c r="B990" t="s">
        <v>1263</v>
      </c>
      <c r="C990" t="s">
        <v>1234</v>
      </c>
      <c r="D990" t="s">
        <v>1232</v>
      </c>
      <c r="E990" t="s">
        <v>1231</v>
      </c>
      <c r="F990" t="s">
        <v>1249</v>
      </c>
      <c r="G990" t="s">
        <v>1259</v>
      </c>
      <c r="H990" s="10">
        <v>19</v>
      </c>
      <c r="I990" s="10">
        <v>1441.02</v>
      </c>
      <c r="J990" s="10">
        <v>27379.38</v>
      </c>
      <c r="K990" s="10"/>
    </row>
    <row r="991" spans="1:11">
      <c r="A991" s="19">
        <v>45286</v>
      </c>
      <c r="B991" t="s">
        <v>1256</v>
      </c>
      <c r="C991" t="s">
        <v>1244</v>
      </c>
      <c r="D991" t="s">
        <v>1243</v>
      </c>
      <c r="E991" t="s">
        <v>1242</v>
      </c>
      <c r="F991" t="s">
        <v>1249</v>
      </c>
      <c r="G991" t="s">
        <v>1272</v>
      </c>
      <c r="H991" s="10">
        <v>18</v>
      </c>
      <c r="I991" s="10">
        <v>330.49</v>
      </c>
      <c r="J991" s="10">
        <v>5948.82</v>
      </c>
      <c r="K991" s="10"/>
    </row>
    <row r="992" spans="1:11">
      <c r="A992" s="19">
        <v>45286</v>
      </c>
      <c r="B992" t="s">
        <v>1262</v>
      </c>
      <c r="C992" t="s">
        <v>1245</v>
      </c>
      <c r="D992" t="s">
        <v>1243</v>
      </c>
      <c r="E992" t="s">
        <v>1242</v>
      </c>
      <c r="F992" t="s">
        <v>128</v>
      </c>
      <c r="G992" t="s">
        <v>1264</v>
      </c>
      <c r="H992" s="10">
        <v>16</v>
      </c>
      <c r="I992" s="10">
        <v>1236.8</v>
      </c>
      <c r="J992" s="10">
        <v>19788.8</v>
      </c>
      <c r="K992" s="10"/>
    </row>
    <row r="993" spans="1:11">
      <c r="A993" s="19">
        <v>45288</v>
      </c>
      <c r="B993" t="s">
        <v>1265</v>
      </c>
      <c r="C993" t="s">
        <v>1171</v>
      </c>
      <c r="D993" t="s">
        <v>1237</v>
      </c>
      <c r="E993" t="s">
        <v>1229</v>
      </c>
      <c r="F993" t="s">
        <v>128</v>
      </c>
      <c r="G993" t="s">
        <v>1264</v>
      </c>
      <c r="H993" s="10">
        <v>18</v>
      </c>
      <c r="I993" s="10">
        <v>1928.15</v>
      </c>
      <c r="J993" s="10">
        <v>34706.699999999997</v>
      </c>
      <c r="K993" s="10"/>
    </row>
    <row r="994" spans="1:11">
      <c r="A994" s="19">
        <v>45289</v>
      </c>
      <c r="B994" t="s">
        <v>1254</v>
      </c>
      <c r="C994" t="s">
        <v>1234</v>
      </c>
      <c r="D994" t="s">
        <v>1232</v>
      </c>
      <c r="E994" t="s">
        <v>1231</v>
      </c>
      <c r="F994" t="s">
        <v>1249</v>
      </c>
      <c r="G994" t="s">
        <v>1259</v>
      </c>
      <c r="H994" s="10">
        <v>10</v>
      </c>
      <c r="I994" s="10">
        <v>3031.91</v>
      </c>
      <c r="J994" s="10">
        <v>30319.1</v>
      </c>
      <c r="K994" s="10"/>
    </row>
    <row r="995" spans="1:11">
      <c r="A995" s="19">
        <v>45289</v>
      </c>
      <c r="B995" t="s">
        <v>1269</v>
      </c>
      <c r="C995" t="s">
        <v>1241</v>
      </c>
      <c r="D995" t="s">
        <v>1235</v>
      </c>
      <c r="E995" t="s">
        <v>1231</v>
      </c>
      <c r="F995" t="s">
        <v>120</v>
      </c>
      <c r="G995" t="s">
        <v>1164</v>
      </c>
      <c r="H995" s="10">
        <v>7</v>
      </c>
      <c r="I995" s="10">
        <v>1294.31</v>
      </c>
      <c r="J995" s="10">
        <v>9060.17</v>
      </c>
      <c r="K995" s="10"/>
    </row>
    <row r="996" spans="1:11">
      <c r="A996" s="19">
        <v>45290</v>
      </c>
      <c r="B996" t="s">
        <v>1267</v>
      </c>
      <c r="C996" t="s">
        <v>1248</v>
      </c>
      <c r="D996" t="s">
        <v>1230</v>
      </c>
      <c r="E996" t="s">
        <v>1229</v>
      </c>
      <c r="F996" t="s">
        <v>132</v>
      </c>
      <c r="G996" t="s">
        <v>1271</v>
      </c>
      <c r="H996" s="10">
        <v>20</v>
      </c>
      <c r="I996" s="10">
        <v>2818.78</v>
      </c>
      <c r="J996" s="10">
        <v>56375.6</v>
      </c>
      <c r="K996" s="10"/>
    </row>
    <row r="997" spans="1:11">
      <c r="A997" s="19">
        <v>45290</v>
      </c>
      <c r="B997" t="s">
        <v>1254</v>
      </c>
      <c r="C997" t="s">
        <v>1238</v>
      </c>
      <c r="D997" t="s">
        <v>1235</v>
      </c>
      <c r="E997" t="s">
        <v>1231</v>
      </c>
      <c r="F997" t="s">
        <v>145</v>
      </c>
      <c r="G997" t="s">
        <v>1261</v>
      </c>
      <c r="H997" s="10">
        <v>19</v>
      </c>
      <c r="I997" s="10">
        <v>1726.65</v>
      </c>
      <c r="J997" s="10">
        <v>32806.35</v>
      </c>
      <c r="K997" s="10"/>
    </row>
    <row r="998" spans="1:11">
      <c r="A998" s="19">
        <v>45291</v>
      </c>
      <c r="B998" t="s">
        <v>1260</v>
      </c>
      <c r="C998" t="s">
        <v>1173</v>
      </c>
      <c r="D998" t="s">
        <v>1237</v>
      </c>
      <c r="E998" t="s">
        <v>1229</v>
      </c>
      <c r="F998" t="s">
        <v>120</v>
      </c>
      <c r="G998" t="s">
        <v>1275</v>
      </c>
      <c r="H998" s="10">
        <v>14</v>
      </c>
      <c r="I998" s="10">
        <v>4541.87</v>
      </c>
      <c r="J998" s="10">
        <v>63586.18</v>
      </c>
      <c r="K998" s="10"/>
    </row>
    <row r="999" spans="1:11">
      <c r="A999" s="19">
        <v>45291</v>
      </c>
      <c r="B999" t="s">
        <v>1256</v>
      </c>
      <c r="C999" t="s">
        <v>1245</v>
      </c>
      <c r="D999" t="s">
        <v>1243</v>
      </c>
      <c r="E999" t="s">
        <v>1242</v>
      </c>
      <c r="F999" t="s">
        <v>1249</v>
      </c>
      <c r="G999" t="s">
        <v>1270</v>
      </c>
      <c r="H999" s="10">
        <v>11</v>
      </c>
      <c r="I999" s="10">
        <v>3314</v>
      </c>
      <c r="J999" s="10">
        <v>36454</v>
      </c>
      <c r="K999" s="10"/>
    </row>
    <row r="1000" spans="1:11">
      <c r="A1000" s="19">
        <v>45291</v>
      </c>
      <c r="B1000" t="s">
        <v>1263</v>
      </c>
      <c r="C1000" t="s">
        <v>1171</v>
      </c>
      <c r="D1000" t="s">
        <v>1237</v>
      </c>
      <c r="E1000" t="s">
        <v>1229</v>
      </c>
      <c r="F1000" t="s">
        <v>1249</v>
      </c>
      <c r="G1000" t="s">
        <v>1259</v>
      </c>
      <c r="H1000" s="10">
        <v>6</v>
      </c>
      <c r="I1000" s="10">
        <v>3119.62</v>
      </c>
      <c r="J1000" s="10">
        <v>18717.72</v>
      </c>
      <c r="K1000" s="10"/>
    </row>
    <row r="1001" spans="1:11">
      <c r="A1001" s="19">
        <v>45291</v>
      </c>
      <c r="B1001" t="s">
        <v>1256</v>
      </c>
      <c r="C1001" t="s">
        <v>1173</v>
      </c>
      <c r="D1001" t="s">
        <v>1237</v>
      </c>
      <c r="E1001" t="s">
        <v>1229</v>
      </c>
      <c r="F1001" t="s">
        <v>128</v>
      </c>
      <c r="G1001" t="s">
        <v>1273</v>
      </c>
      <c r="H1001" s="10">
        <v>6</v>
      </c>
      <c r="I1001" s="10">
        <v>4105.1899999999996</v>
      </c>
      <c r="J1001" s="10">
        <v>24631.14</v>
      </c>
      <c r="K1001" s="10"/>
    </row>
  </sheetData>
  <sortState xmlns:xlrd2="http://schemas.microsoft.com/office/spreadsheetml/2017/richdata2" ref="A2:J1001">
    <sortCondition ref="A2:A1001"/>
  </sortState>
  <conditionalFormatting sqref="A2:J1001">
    <cfRule type="expression" dxfId="11" priority="2">
      <formula>$D2=$L$2</formula>
    </cfRule>
  </conditionalFormatting>
  <conditionalFormatting sqref="AL2:AL6">
    <cfRule type="expression" dxfId="10" priority="1">
      <formula>$D2=$L$2</formula>
    </cfRule>
  </conditionalFormatting>
  <dataValidations count="1">
    <dataValidation type="list" allowBlank="1" showInputMessage="1" showErrorMessage="1" sqref="L2" xr:uid="{87718DC7-280F-4FEA-8717-EC45E1298EC1}">
      <formula1>$AL$2:$AL$6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F994-578D-43EC-8DE3-111DCBDC9C0F}">
  <dimension ref="A1:H13"/>
  <sheetViews>
    <sheetView workbookViewId="0">
      <selection activeCell="H3" sqref="H3"/>
    </sheetView>
  </sheetViews>
  <sheetFormatPr defaultRowHeight="14.25"/>
  <cols>
    <col min="1" max="1" width="10.53125" bestFit="1" customWidth="1"/>
    <col min="2" max="2" width="13.59765625" bestFit="1" customWidth="1"/>
    <col min="3" max="3" width="10.265625" bestFit="1" customWidth="1"/>
    <col min="4" max="4" width="10.33203125" customWidth="1"/>
    <col min="5" max="5" width="10.3984375" bestFit="1" customWidth="1"/>
    <col min="7" max="7" width="14.1328125" bestFit="1" customWidth="1"/>
    <col min="8" max="8" width="16.86328125" customWidth="1"/>
  </cols>
  <sheetData>
    <row r="1" spans="1:8">
      <c r="A1" s="22" t="s">
        <v>0</v>
      </c>
      <c r="B1" s="22" t="s">
        <v>1280</v>
      </c>
      <c r="C1" s="22" t="s">
        <v>2</v>
      </c>
      <c r="D1" s="22" t="s">
        <v>3</v>
      </c>
      <c r="E1" s="22" t="s">
        <v>4</v>
      </c>
    </row>
    <row r="2" spans="1:8">
      <c r="A2" t="s">
        <v>5</v>
      </c>
      <c r="B2" t="s">
        <v>1281</v>
      </c>
      <c r="C2" t="s">
        <v>7</v>
      </c>
      <c r="D2" s="6">
        <v>46033</v>
      </c>
      <c r="E2" s="21">
        <v>43831</v>
      </c>
      <c r="G2" s="22" t="s">
        <v>0</v>
      </c>
      <c r="H2" t="s">
        <v>9</v>
      </c>
    </row>
    <row r="3" spans="1:8">
      <c r="A3" t="s">
        <v>9</v>
      </c>
      <c r="B3" t="s">
        <v>1282</v>
      </c>
      <c r="C3" t="s">
        <v>11</v>
      </c>
      <c r="D3" s="6">
        <v>48177</v>
      </c>
      <c r="E3" s="21">
        <v>43832</v>
      </c>
      <c r="G3" s="22" t="s">
        <v>1280</v>
      </c>
      <c r="H3" t="str">
        <f>VLOOKUP($H$2,$A$1:$E$13,ROW()-1,0)</f>
        <v>Employee02</v>
      </c>
    </row>
    <row r="4" spans="1:8">
      <c r="A4" t="s">
        <v>12</v>
      </c>
      <c r="B4" t="s">
        <v>1283</v>
      </c>
      <c r="C4" t="s">
        <v>14</v>
      </c>
      <c r="D4" s="6">
        <v>48261</v>
      </c>
      <c r="E4" s="21">
        <v>43833</v>
      </c>
      <c r="G4" s="22" t="s">
        <v>2</v>
      </c>
      <c r="H4" t="str">
        <f t="shared" ref="H4:H6" si="0">VLOOKUP($H$2,$A$1:$E$13,ROW()-1,0)</f>
        <v>Operations</v>
      </c>
    </row>
    <row r="5" spans="1:8">
      <c r="A5" t="s">
        <v>15</v>
      </c>
      <c r="B5" t="s">
        <v>1284</v>
      </c>
      <c r="C5" t="s">
        <v>7</v>
      </c>
      <c r="D5" s="6">
        <v>58958</v>
      </c>
      <c r="E5" s="21">
        <v>43834</v>
      </c>
      <c r="G5" s="22" t="s">
        <v>3</v>
      </c>
      <c r="H5">
        <f t="shared" si="0"/>
        <v>48177</v>
      </c>
    </row>
    <row r="6" spans="1:8">
      <c r="A6" t="s">
        <v>17</v>
      </c>
      <c r="B6" t="s">
        <v>1285</v>
      </c>
      <c r="C6" t="s">
        <v>11</v>
      </c>
      <c r="D6" s="6">
        <v>72593</v>
      </c>
      <c r="E6" s="21">
        <v>43835</v>
      </c>
      <c r="G6" s="22" t="s">
        <v>4</v>
      </c>
      <c r="H6" s="18">
        <f t="shared" si="0"/>
        <v>43832</v>
      </c>
    </row>
    <row r="7" spans="1:8">
      <c r="A7" t="s">
        <v>19</v>
      </c>
      <c r="B7" t="s">
        <v>1286</v>
      </c>
      <c r="C7" t="s">
        <v>11</v>
      </c>
      <c r="D7" s="6">
        <v>74769</v>
      </c>
      <c r="E7" s="21">
        <v>43836</v>
      </c>
    </row>
    <row r="8" spans="1:8">
      <c r="A8" t="s">
        <v>20</v>
      </c>
      <c r="B8" t="s">
        <v>1287</v>
      </c>
      <c r="C8" t="s">
        <v>14</v>
      </c>
      <c r="D8" s="6">
        <v>74838</v>
      </c>
      <c r="E8" s="21">
        <v>43837</v>
      </c>
    </row>
    <row r="9" spans="1:8">
      <c r="A9" t="s">
        <v>22</v>
      </c>
      <c r="B9" t="s">
        <v>1288</v>
      </c>
      <c r="C9" t="s">
        <v>7</v>
      </c>
      <c r="D9" s="6">
        <v>79572</v>
      </c>
      <c r="E9" s="21">
        <v>43838</v>
      </c>
    </row>
    <row r="10" spans="1:8">
      <c r="A10" t="s">
        <v>24</v>
      </c>
      <c r="B10" t="s">
        <v>1289</v>
      </c>
      <c r="C10" t="s">
        <v>11</v>
      </c>
      <c r="D10" s="6">
        <v>79864</v>
      </c>
      <c r="E10" s="21">
        <v>43839</v>
      </c>
    </row>
    <row r="11" spans="1:8">
      <c r="A11" t="s">
        <v>26</v>
      </c>
      <c r="B11" t="s">
        <v>1290</v>
      </c>
      <c r="C11" t="s">
        <v>14</v>
      </c>
      <c r="D11" s="6">
        <v>82830</v>
      </c>
      <c r="E11" s="21">
        <v>43840</v>
      </c>
    </row>
    <row r="12" spans="1:8">
      <c r="A12" t="s">
        <v>28</v>
      </c>
      <c r="B12" t="s">
        <v>1291</v>
      </c>
      <c r="C12" t="s">
        <v>14</v>
      </c>
      <c r="D12" s="6">
        <v>83369</v>
      </c>
      <c r="E12" s="21">
        <v>43841</v>
      </c>
    </row>
    <row r="13" spans="1:8">
      <c r="A13" t="s">
        <v>30</v>
      </c>
      <c r="B13" t="s">
        <v>1292</v>
      </c>
      <c r="C13" t="s">
        <v>11</v>
      </c>
      <c r="D13" s="6">
        <v>85756</v>
      </c>
      <c r="E13" s="21">
        <v>43842</v>
      </c>
    </row>
  </sheetData>
  <sortState xmlns:xlrd2="http://schemas.microsoft.com/office/spreadsheetml/2017/richdata2" ref="P9:P21">
    <sortCondition ref="P9:P21"/>
  </sortState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7195-24BF-4578-AA2B-9E2EC8F1EEB4}">
  <dimension ref="A1:I26"/>
  <sheetViews>
    <sheetView workbookViewId="0">
      <selection activeCell="F2" sqref="F2"/>
    </sheetView>
  </sheetViews>
  <sheetFormatPr defaultRowHeight="14.25"/>
  <cols>
    <col min="1" max="1" width="11" bestFit="1" customWidth="1"/>
    <col min="2" max="2" width="14.1328125" bestFit="1" customWidth="1"/>
    <col min="3" max="3" width="10.59765625" bestFit="1" customWidth="1"/>
    <col min="4" max="4" width="9.6640625" bestFit="1" customWidth="1"/>
    <col min="5" max="5" width="10.73046875" bestFit="1" customWidth="1"/>
  </cols>
  <sheetData>
    <row r="1" spans="1:9">
      <c r="A1" s="22" t="s">
        <v>0</v>
      </c>
      <c r="B1" s="22" t="s">
        <v>1280</v>
      </c>
      <c r="C1" s="22" t="s">
        <v>2</v>
      </c>
      <c r="D1" s="22" t="s">
        <v>3</v>
      </c>
      <c r="E1" s="22" t="s">
        <v>4</v>
      </c>
      <c r="F1" s="22" t="s">
        <v>1293</v>
      </c>
    </row>
    <row r="2" spans="1:9">
      <c r="A2" t="s">
        <v>5</v>
      </c>
      <c r="B2" t="s">
        <v>1281</v>
      </c>
      <c r="C2" t="s">
        <v>7</v>
      </c>
      <c r="D2" s="6">
        <v>46033</v>
      </c>
      <c r="E2" s="21">
        <v>43831</v>
      </c>
      <c r="F2" t="str">
        <f>VLOOKUP(D2,Emp_type,2,TRUE)</f>
        <v>Grade4</v>
      </c>
      <c r="H2" t="s">
        <v>3</v>
      </c>
      <c r="I2" t="s">
        <v>1293</v>
      </c>
    </row>
    <row r="3" spans="1:9">
      <c r="A3" t="s">
        <v>9</v>
      </c>
      <c r="B3" t="s">
        <v>1282</v>
      </c>
      <c r="C3" t="s">
        <v>11</v>
      </c>
      <c r="D3" s="6">
        <v>48177</v>
      </c>
      <c r="E3" s="21">
        <v>43832</v>
      </c>
      <c r="F3" t="str">
        <f t="shared" ref="F3:F13" si="0">VLOOKUP(D3,Emp_type,2,1)</f>
        <v>Grade4</v>
      </c>
      <c r="H3">
        <v>15000</v>
      </c>
      <c r="I3" t="s">
        <v>1299</v>
      </c>
    </row>
    <row r="4" spans="1:9">
      <c r="A4" t="s">
        <v>12</v>
      </c>
      <c r="B4" t="s">
        <v>1283</v>
      </c>
      <c r="C4" t="s">
        <v>14</v>
      </c>
      <c r="D4" s="6">
        <v>48261</v>
      </c>
      <c r="E4" s="21">
        <v>43833</v>
      </c>
      <c r="F4" t="str">
        <f t="shared" si="0"/>
        <v>Grade4</v>
      </c>
      <c r="H4">
        <v>30000</v>
      </c>
      <c r="I4" t="s">
        <v>1298</v>
      </c>
    </row>
    <row r="5" spans="1:9">
      <c r="A5" t="s">
        <v>15</v>
      </c>
      <c r="B5" t="s">
        <v>1284</v>
      </c>
      <c r="C5" t="s">
        <v>7</v>
      </c>
      <c r="D5" s="6">
        <v>58958</v>
      </c>
      <c r="E5" s="21">
        <v>43834</v>
      </c>
      <c r="F5" t="str">
        <f t="shared" si="0"/>
        <v>Grade4</v>
      </c>
      <c r="H5">
        <v>45000</v>
      </c>
      <c r="I5" t="s">
        <v>1297</v>
      </c>
    </row>
    <row r="6" spans="1:9">
      <c r="A6" t="s">
        <v>17</v>
      </c>
      <c r="B6" t="s">
        <v>1285</v>
      </c>
      <c r="C6" t="s">
        <v>11</v>
      </c>
      <c r="D6" s="6">
        <v>72593</v>
      </c>
      <c r="E6" s="21">
        <v>43835</v>
      </c>
      <c r="F6" t="str">
        <f t="shared" si="0"/>
        <v>Grade3</v>
      </c>
      <c r="H6">
        <v>60000</v>
      </c>
      <c r="I6" t="s">
        <v>1296</v>
      </c>
    </row>
    <row r="7" spans="1:9">
      <c r="A7" t="s">
        <v>19</v>
      </c>
      <c r="B7" t="s">
        <v>1286</v>
      </c>
      <c r="C7" t="s">
        <v>11</v>
      </c>
      <c r="D7" s="6">
        <v>74769</v>
      </c>
      <c r="E7" s="21">
        <v>43836</v>
      </c>
      <c r="F7" t="str">
        <f t="shared" si="0"/>
        <v>Grade3</v>
      </c>
      <c r="H7">
        <v>75000</v>
      </c>
      <c r="I7" t="s">
        <v>1295</v>
      </c>
    </row>
    <row r="8" spans="1:9">
      <c r="A8" t="s">
        <v>20</v>
      </c>
      <c r="B8" t="s">
        <v>1287</v>
      </c>
      <c r="C8" t="s">
        <v>14</v>
      </c>
      <c r="D8" s="6">
        <v>74838</v>
      </c>
      <c r="E8" s="21">
        <v>43837</v>
      </c>
      <c r="F8" t="str">
        <f t="shared" si="0"/>
        <v>Grade3</v>
      </c>
      <c r="H8">
        <v>90000</v>
      </c>
      <c r="I8" t="s">
        <v>1294</v>
      </c>
    </row>
    <row r="9" spans="1:9">
      <c r="A9" t="s">
        <v>22</v>
      </c>
      <c r="B9" t="s">
        <v>1288</v>
      </c>
      <c r="C9" t="s">
        <v>7</v>
      </c>
      <c r="D9" s="6">
        <v>79572</v>
      </c>
      <c r="E9" s="21">
        <v>43838</v>
      </c>
      <c r="F9" t="str">
        <f t="shared" si="0"/>
        <v>Grade2</v>
      </c>
    </row>
    <row r="10" spans="1:9">
      <c r="A10" t="s">
        <v>24</v>
      </c>
      <c r="B10" t="s">
        <v>1289</v>
      </c>
      <c r="C10" t="s">
        <v>11</v>
      </c>
      <c r="D10" s="6">
        <v>79864</v>
      </c>
      <c r="E10" s="21">
        <v>43839</v>
      </c>
      <c r="F10" t="str">
        <f t="shared" si="0"/>
        <v>Grade2</v>
      </c>
    </row>
    <row r="11" spans="1:9">
      <c r="A11" t="s">
        <v>26</v>
      </c>
      <c r="B11" t="s">
        <v>1290</v>
      </c>
      <c r="C11" t="s">
        <v>14</v>
      </c>
      <c r="D11" s="6">
        <v>82830</v>
      </c>
      <c r="E11" s="21">
        <v>43840</v>
      </c>
      <c r="F11" t="str">
        <f t="shared" si="0"/>
        <v>Grade2</v>
      </c>
    </row>
    <row r="12" spans="1:9">
      <c r="A12" t="s">
        <v>28</v>
      </c>
      <c r="B12" t="s">
        <v>1291</v>
      </c>
      <c r="C12" t="s">
        <v>14</v>
      </c>
      <c r="D12" s="6">
        <v>83369</v>
      </c>
      <c r="E12" s="21">
        <v>43841</v>
      </c>
      <c r="F12" t="str">
        <f t="shared" si="0"/>
        <v>Grade2</v>
      </c>
    </row>
    <row r="13" spans="1:9">
      <c r="A13" t="s">
        <v>30</v>
      </c>
      <c r="B13" t="s">
        <v>1292</v>
      </c>
      <c r="C13" t="s">
        <v>11</v>
      </c>
      <c r="D13" s="6">
        <v>93756</v>
      </c>
      <c r="E13" s="21">
        <v>43842</v>
      </c>
      <c r="F13" t="str">
        <f t="shared" si="0"/>
        <v>Grade1</v>
      </c>
    </row>
    <row r="15" spans="1:9">
      <c r="G15" t="str">
        <f t="shared" ref="G15:G26" si="1">VLOOKUP(D2,Emp_type,2,1)</f>
        <v>Grade4</v>
      </c>
    </row>
    <row r="16" spans="1:9">
      <c r="G16" t="str">
        <f t="shared" si="1"/>
        <v>Grade4</v>
      </c>
    </row>
    <row r="17" spans="7:7">
      <c r="G17" t="str">
        <f t="shared" si="1"/>
        <v>Grade4</v>
      </c>
    </row>
    <row r="18" spans="7:7">
      <c r="G18" t="str">
        <f t="shared" si="1"/>
        <v>Grade4</v>
      </c>
    </row>
    <row r="19" spans="7:7">
      <c r="G19" t="str">
        <f t="shared" si="1"/>
        <v>Grade3</v>
      </c>
    </row>
    <row r="20" spans="7:7">
      <c r="G20" t="str">
        <f t="shared" si="1"/>
        <v>Grade3</v>
      </c>
    </row>
    <row r="21" spans="7:7">
      <c r="G21" t="str">
        <f t="shared" si="1"/>
        <v>Grade3</v>
      </c>
    </row>
    <row r="22" spans="7:7">
      <c r="G22" t="str">
        <f t="shared" si="1"/>
        <v>Grade2</v>
      </c>
    </row>
    <row r="23" spans="7:7">
      <c r="G23" t="str">
        <f t="shared" si="1"/>
        <v>Grade2</v>
      </c>
    </row>
    <row r="24" spans="7:7">
      <c r="G24" t="str">
        <f t="shared" si="1"/>
        <v>Grade2</v>
      </c>
    </row>
    <row r="25" spans="7:7">
      <c r="G25" t="str">
        <f t="shared" si="1"/>
        <v>Grade2</v>
      </c>
    </row>
    <row r="26" spans="7:7">
      <c r="G26" t="str">
        <f t="shared" si="1"/>
        <v>Grade1</v>
      </c>
    </row>
  </sheetData>
  <sortState xmlns:xlrd2="http://schemas.microsoft.com/office/spreadsheetml/2017/richdata2" ref="H3:I8">
    <sortCondition ref="H2:H8"/>
  </sortState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34FD-7523-424D-BE95-C257F33DBF3A}">
  <dimension ref="A1:H16"/>
  <sheetViews>
    <sheetView workbookViewId="0">
      <selection activeCell="H10" sqref="H10"/>
    </sheetView>
  </sheetViews>
  <sheetFormatPr defaultRowHeight="14.25"/>
  <cols>
    <col min="1" max="1" width="11" bestFit="1" customWidth="1"/>
    <col min="2" max="2" width="14.1328125" bestFit="1" customWidth="1"/>
    <col min="3" max="3" width="10.59765625" bestFit="1" customWidth="1"/>
    <col min="4" max="4" width="9.6640625" bestFit="1" customWidth="1"/>
    <col min="5" max="5" width="10.73046875" bestFit="1" customWidth="1"/>
    <col min="7" max="7" width="15.46484375" customWidth="1"/>
    <col min="8" max="8" width="13" customWidth="1"/>
  </cols>
  <sheetData>
    <row r="1" spans="1:8">
      <c r="A1" s="22" t="s">
        <v>0</v>
      </c>
      <c r="B1" s="22" t="s">
        <v>1280</v>
      </c>
      <c r="C1" s="22" t="s">
        <v>2</v>
      </c>
      <c r="D1" s="22" t="s">
        <v>3</v>
      </c>
      <c r="E1" s="22" t="s">
        <v>4</v>
      </c>
    </row>
    <row r="2" spans="1:8">
      <c r="A2" t="s">
        <v>5</v>
      </c>
      <c r="B2" t="s">
        <v>1281</v>
      </c>
      <c r="C2" t="s">
        <v>7</v>
      </c>
      <c r="D2" s="6">
        <v>46033</v>
      </c>
      <c r="E2" s="21">
        <v>43831</v>
      </c>
      <c r="G2" s="22" t="s">
        <v>0</v>
      </c>
      <c r="H2" t="s">
        <v>19</v>
      </c>
    </row>
    <row r="3" spans="1:8">
      <c r="A3" t="s">
        <v>9</v>
      </c>
      <c r="B3" t="s">
        <v>1282</v>
      </c>
      <c r="C3" t="s">
        <v>11</v>
      </c>
      <c r="D3" s="6">
        <v>48177</v>
      </c>
      <c r="E3" s="21">
        <v>43832</v>
      </c>
      <c r="G3" s="22" t="s">
        <v>1280</v>
      </c>
      <c r="H3" s="18" t="str">
        <f>VLOOKUP($H$2,$A$1:$E$13,MATCH(G3,$A$1:$E$1,0),0)</f>
        <v>Employee06</v>
      </c>
    </row>
    <row r="4" spans="1:8">
      <c r="A4" t="s">
        <v>12</v>
      </c>
      <c r="B4" t="s">
        <v>1283</v>
      </c>
      <c r="C4" t="s">
        <v>14</v>
      </c>
      <c r="D4" s="6">
        <v>48261</v>
      </c>
      <c r="E4" s="21">
        <v>43833</v>
      </c>
      <c r="G4" s="22" t="s">
        <v>4</v>
      </c>
      <c r="H4" s="18">
        <f>VLOOKUP($H$2,$A$1:$E$13,MATCH(G4,$A$1:$E$1,0),0)</f>
        <v>43836</v>
      </c>
    </row>
    <row r="5" spans="1:8">
      <c r="A5" t="s">
        <v>15</v>
      </c>
      <c r="B5" t="s">
        <v>1284</v>
      </c>
      <c r="C5" t="s">
        <v>7</v>
      </c>
      <c r="D5" s="6">
        <v>58958</v>
      </c>
      <c r="E5" s="21">
        <v>43834</v>
      </c>
    </row>
    <row r="6" spans="1:8">
      <c r="A6" t="s">
        <v>17</v>
      </c>
      <c r="B6" t="s">
        <v>1285</v>
      </c>
      <c r="C6" t="s">
        <v>11</v>
      </c>
      <c r="D6" s="6">
        <v>72593</v>
      </c>
      <c r="E6" s="21">
        <v>43835</v>
      </c>
    </row>
    <row r="7" spans="1:8">
      <c r="A7" t="s">
        <v>19</v>
      </c>
      <c r="B7" t="s">
        <v>1286</v>
      </c>
      <c r="C7" t="s">
        <v>11</v>
      </c>
      <c r="D7" s="6">
        <v>74769</v>
      </c>
      <c r="E7" s="21">
        <v>43836</v>
      </c>
    </row>
    <row r="8" spans="1:8">
      <c r="A8" t="s">
        <v>20</v>
      </c>
      <c r="B8" t="s">
        <v>1287</v>
      </c>
      <c r="C8" t="s">
        <v>14</v>
      </c>
      <c r="D8" s="6">
        <v>74838</v>
      </c>
      <c r="E8" s="21">
        <v>43837</v>
      </c>
      <c r="G8" s="22" t="s">
        <v>1280</v>
      </c>
      <c r="H8" t="s">
        <v>22</v>
      </c>
    </row>
    <row r="9" spans="1:8">
      <c r="A9" t="s">
        <v>22</v>
      </c>
      <c r="B9" t="s">
        <v>1288</v>
      </c>
      <c r="C9" t="s">
        <v>7</v>
      </c>
      <c r="D9" s="6">
        <v>79572</v>
      </c>
      <c r="E9" s="21">
        <v>43838</v>
      </c>
      <c r="G9" s="22" t="s">
        <v>1280</v>
      </c>
      <c r="H9" t="str">
        <f>VLOOKUP($H$8,$A$1:$E$13,MATCH(G9,$A$1:$E$1,0),0)</f>
        <v>Employee08</v>
      </c>
    </row>
    <row r="10" spans="1:8">
      <c r="A10" t="s">
        <v>24</v>
      </c>
      <c r="B10" t="s">
        <v>1289</v>
      </c>
      <c r="C10" t="s">
        <v>11</v>
      </c>
      <c r="D10" s="6">
        <v>79864</v>
      </c>
      <c r="E10" s="21">
        <v>43839</v>
      </c>
      <c r="G10" s="22" t="s">
        <v>4</v>
      </c>
      <c r="H10" s="18">
        <f>VLOOKUP($H$8,$A$1:$E$13,MATCH(G10,$A$1:$E$1,0),0)</f>
        <v>43838</v>
      </c>
    </row>
    <row r="11" spans="1:8">
      <c r="A11" t="s">
        <v>26</v>
      </c>
      <c r="B11" t="s">
        <v>1290</v>
      </c>
      <c r="C11" t="s">
        <v>14</v>
      </c>
      <c r="D11" s="6">
        <v>82830</v>
      </c>
      <c r="E11" s="21">
        <v>43840</v>
      </c>
    </row>
    <row r="12" spans="1:8">
      <c r="A12" t="s">
        <v>28</v>
      </c>
      <c r="B12" t="s">
        <v>1291</v>
      </c>
      <c r="C12" t="s">
        <v>14</v>
      </c>
      <c r="D12" s="6">
        <v>83369</v>
      </c>
      <c r="E12" s="21">
        <v>43841</v>
      </c>
    </row>
    <row r="13" spans="1:8">
      <c r="A13" t="s">
        <v>30</v>
      </c>
      <c r="B13" t="s">
        <v>1292</v>
      </c>
      <c r="C13" t="s">
        <v>11</v>
      </c>
      <c r="D13" s="6">
        <v>93756</v>
      </c>
      <c r="E13" s="21">
        <v>43842</v>
      </c>
    </row>
    <row r="16" spans="1:8">
      <c r="F16">
        <f>MATCH(G3,A1:E1,0)</f>
        <v>2</v>
      </c>
    </row>
  </sheetData>
  <phoneticPr fontId="2" type="noConversion"/>
  <dataValidations count="3">
    <dataValidation type="list" allowBlank="1" showInputMessage="1" showErrorMessage="1" sqref="H2" xr:uid="{EB264E4E-D1BD-4FEC-9A45-C2B9BEFCB912}">
      <formula1>$A$1:$A$13</formula1>
    </dataValidation>
    <dataValidation type="list" allowBlank="1" showInputMessage="1" showErrorMessage="1" sqref="G3:G4 G8:G10" xr:uid="{B073380C-0AA6-49A7-B0B4-55116136CBB9}">
      <formula1>$A$1:$E$1</formula1>
    </dataValidation>
    <dataValidation type="list" allowBlank="1" showInputMessage="1" showErrorMessage="1" sqref="H8" xr:uid="{C96B3E67-248A-4BA1-A388-603152024A22}">
      <formula1>$A$2:$A$13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CEC1-FC2C-4AA4-AD43-7DB0CA880A8B}">
  <dimension ref="A1:J20"/>
  <sheetViews>
    <sheetView workbookViewId="0">
      <selection activeCell="C16" sqref="C16"/>
    </sheetView>
  </sheetViews>
  <sheetFormatPr defaultRowHeight="14.25"/>
  <cols>
    <col min="1" max="1" width="15.53125" bestFit="1" customWidth="1"/>
    <col min="2" max="2" width="25.53125" bestFit="1" customWidth="1"/>
    <col min="3" max="3" width="26.53125" bestFit="1" customWidth="1"/>
    <col min="4" max="4" width="24.6640625" bestFit="1" customWidth="1"/>
    <col min="5" max="5" width="26.86328125" bestFit="1" customWidth="1"/>
    <col min="6" max="6" width="23" bestFit="1" customWidth="1"/>
    <col min="7" max="7" width="24.265625" bestFit="1" customWidth="1"/>
    <col min="8" max="8" width="25.19921875" bestFit="1" customWidth="1"/>
    <col min="9" max="9" width="24.6640625" bestFit="1" customWidth="1"/>
    <col min="10" max="10" width="25.53125" bestFit="1" customWidth="1"/>
  </cols>
  <sheetData>
    <row r="1" spans="1:10">
      <c r="A1" s="23" t="s">
        <v>1300</v>
      </c>
      <c r="B1" s="23" t="s">
        <v>1301</v>
      </c>
      <c r="C1" s="23" t="s">
        <v>1302</v>
      </c>
      <c r="D1" s="23" t="s">
        <v>1303</v>
      </c>
      <c r="E1" s="23" t="s">
        <v>1304</v>
      </c>
      <c r="F1" s="23" t="s">
        <v>1305</v>
      </c>
      <c r="G1" s="23" t="s">
        <v>1306</v>
      </c>
      <c r="H1" s="23" t="s">
        <v>1307</v>
      </c>
      <c r="I1" s="23" t="s">
        <v>1308</v>
      </c>
      <c r="J1" s="23" t="s">
        <v>1309</v>
      </c>
    </row>
    <row r="2" spans="1:10">
      <c r="A2" s="24" t="s">
        <v>1310</v>
      </c>
      <c r="B2" s="24" t="s">
        <v>1311</v>
      </c>
      <c r="C2" s="24" t="s">
        <v>1312</v>
      </c>
      <c r="D2" s="24" t="s">
        <v>1313</v>
      </c>
      <c r="E2" s="24" t="s">
        <v>1314</v>
      </c>
      <c r="F2" s="24" t="s">
        <v>1315</v>
      </c>
      <c r="G2" s="24" t="s">
        <v>1316</v>
      </c>
      <c r="H2" s="24" t="s">
        <v>1317</v>
      </c>
      <c r="I2" s="24" t="s">
        <v>1318</v>
      </c>
      <c r="J2" s="24" t="s">
        <v>1311</v>
      </c>
    </row>
    <row r="3" spans="1:10">
      <c r="A3" s="24" t="s">
        <v>1319</v>
      </c>
      <c r="B3" s="24" t="s">
        <v>1320</v>
      </c>
      <c r="C3" s="24" t="s">
        <v>1321</v>
      </c>
      <c r="D3" s="24" t="s">
        <v>1322</v>
      </c>
      <c r="E3" s="24" t="s">
        <v>1323</v>
      </c>
      <c r="F3" s="24" t="s">
        <v>1315</v>
      </c>
      <c r="G3" s="24" t="s">
        <v>1324</v>
      </c>
      <c r="H3" s="24" t="s">
        <v>1325</v>
      </c>
      <c r="I3" s="24" t="s">
        <v>1326</v>
      </c>
      <c r="J3" s="24" t="s">
        <v>1320</v>
      </c>
    </row>
    <row r="4" spans="1:10">
      <c r="A4" s="24" t="s">
        <v>1327</v>
      </c>
      <c r="B4" s="24" t="s">
        <v>1328</v>
      </c>
      <c r="C4" s="24" t="s">
        <v>1329</v>
      </c>
      <c r="D4" s="24" t="s">
        <v>1330</v>
      </c>
      <c r="E4" s="24" t="s">
        <v>1331</v>
      </c>
      <c r="F4" s="24" t="s">
        <v>1315</v>
      </c>
      <c r="G4" s="24" t="s">
        <v>1332</v>
      </c>
      <c r="H4" s="24" t="s">
        <v>1333</v>
      </c>
      <c r="I4" s="24" t="s">
        <v>1334</v>
      </c>
      <c r="J4" s="24" t="s">
        <v>1328</v>
      </c>
    </row>
    <row r="5" spans="1:10">
      <c r="A5" s="24" t="s">
        <v>1335</v>
      </c>
      <c r="B5" s="24" t="s">
        <v>1336</v>
      </c>
      <c r="C5" s="24" t="s">
        <v>1337</v>
      </c>
      <c r="D5" s="24" t="s">
        <v>1338</v>
      </c>
      <c r="E5" s="24" t="s">
        <v>1339</v>
      </c>
      <c r="F5" s="24" t="s">
        <v>1315</v>
      </c>
      <c r="G5" s="24" t="s">
        <v>1340</v>
      </c>
      <c r="H5" s="24" t="s">
        <v>1341</v>
      </c>
      <c r="I5" s="24" t="s">
        <v>1342</v>
      </c>
      <c r="J5" s="24" t="s">
        <v>1336</v>
      </c>
    </row>
    <row r="6" spans="1:10">
      <c r="A6" s="24" t="s">
        <v>1343</v>
      </c>
      <c r="B6" s="24" t="s">
        <v>1344</v>
      </c>
      <c r="C6" s="24" t="s">
        <v>1345</v>
      </c>
      <c r="D6" s="24" t="s">
        <v>1346</v>
      </c>
      <c r="E6" s="24" t="s">
        <v>1347</v>
      </c>
      <c r="F6" s="24" t="s">
        <v>1315</v>
      </c>
      <c r="G6" s="24" t="s">
        <v>1348</v>
      </c>
      <c r="H6" s="24" t="s">
        <v>1349</v>
      </c>
      <c r="I6" s="24" t="s">
        <v>1350</v>
      </c>
      <c r="J6" s="24" t="s">
        <v>1344</v>
      </c>
    </row>
    <row r="7" spans="1:10">
      <c r="A7" s="24" t="s">
        <v>1351</v>
      </c>
      <c r="B7" s="24" t="s">
        <v>1352</v>
      </c>
      <c r="C7" s="24" t="s">
        <v>1353</v>
      </c>
      <c r="D7" s="24" t="s">
        <v>1354</v>
      </c>
      <c r="E7" s="24" t="s">
        <v>1355</v>
      </c>
      <c r="F7" s="24" t="s">
        <v>1315</v>
      </c>
      <c r="G7" s="24" t="s">
        <v>1356</v>
      </c>
      <c r="H7" s="24" t="s">
        <v>1357</v>
      </c>
      <c r="I7" s="24" t="s">
        <v>1358</v>
      </c>
      <c r="J7" s="24" t="s">
        <v>1352</v>
      </c>
    </row>
    <row r="8" spans="1:10">
      <c r="A8" s="24" t="s">
        <v>1359</v>
      </c>
      <c r="B8" s="24" t="s">
        <v>1360</v>
      </c>
      <c r="C8" s="24" t="s">
        <v>1361</v>
      </c>
      <c r="D8" s="24" t="s">
        <v>1362</v>
      </c>
      <c r="E8" s="24" t="s">
        <v>1363</v>
      </c>
      <c r="F8" s="24" t="s">
        <v>1315</v>
      </c>
      <c r="G8" s="24" t="s">
        <v>1364</v>
      </c>
      <c r="H8" s="24" t="s">
        <v>1365</v>
      </c>
      <c r="I8" s="24" t="s">
        <v>1366</v>
      </c>
      <c r="J8" s="24" t="s">
        <v>1360</v>
      </c>
    </row>
    <row r="9" spans="1:10">
      <c r="A9" s="24" t="s">
        <v>1367</v>
      </c>
      <c r="B9" s="24" t="s">
        <v>1368</v>
      </c>
      <c r="C9" s="24" t="s">
        <v>1369</v>
      </c>
      <c r="D9" s="24" t="s">
        <v>1370</v>
      </c>
      <c r="E9" s="24" t="s">
        <v>1371</v>
      </c>
      <c r="F9" s="24" t="s">
        <v>1315</v>
      </c>
      <c r="G9" s="24" t="s">
        <v>1372</v>
      </c>
      <c r="H9" s="24" t="s">
        <v>1373</v>
      </c>
      <c r="I9" s="24" t="s">
        <v>1374</v>
      </c>
      <c r="J9" s="24" t="s">
        <v>1368</v>
      </c>
    </row>
    <row r="15" spans="1:10">
      <c r="B15" s="23" t="s">
        <v>1300</v>
      </c>
      <c r="C15" t="s">
        <v>1304</v>
      </c>
      <c r="D15" s="23" t="s">
        <v>1300</v>
      </c>
      <c r="E15" t="s">
        <v>1304</v>
      </c>
    </row>
    <row r="16" spans="1:10">
      <c r="B16" t="s">
        <v>1327</v>
      </c>
      <c r="C16" t="str" cm="1">
        <f t="array" ref="C16">INDEX(A1:J9,C19,C20)</f>
        <v>English (Mr. Wilson)</v>
      </c>
      <c r="D16" t="s">
        <v>1327</v>
      </c>
      <c r="E16" t="str">
        <f>INDEX(A1:J9,MATCH(D16,A1:A9,0),MATCH(E15,A1:J1,0))</f>
        <v>English (Mr. Wilson)</v>
      </c>
    </row>
    <row r="19" spans="2:3">
      <c r="B19" t="s">
        <v>1375</v>
      </c>
      <c r="C19">
        <f>MATCH(B16,A1:A9,0)</f>
        <v>4</v>
      </c>
    </row>
    <row r="20" spans="2:3">
      <c r="B20" t="s">
        <v>1376</v>
      </c>
      <c r="C20">
        <f>MATCH(C15,A1:J1,0)</f>
        <v>5</v>
      </c>
    </row>
  </sheetData>
  <dataValidations count="2">
    <dataValidation type="list" allowBlank="1" showInputMessage="1" showErrorMessage="1" sqref="B16 D16" xr:uid="{632C0FE0-7CBF-42F0-A841-B8513FEF755F}">
      <formula1>$A$1:$A$9</formula1>
    </dataValidation>
    <dataValidation type="list" allowBlank="1" showInputMessage="1" showErrorMessage="1" sqref="C15 E15" xr:uid="{84B2634C-CCBE-4947-A08F-CB811AEA0CC3}">
      <formula1>$A$1:$J$1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D31A-B12C-4B42-9DE3-98462B873658}">
  <dimension ref="A1:AF1001"/>
  <sheetViews>
    <sheetView topLeftCell="F1" workbookViewId="0">
      <selection activeCell="M9" sqref="M9"/>
    </sheetView>
  </sheetViews>
  <sheetFormatPr defaultRowHeight="14.25"/>
  <cols>
    <col min="1" max="1" width="9.9296875" bestFit="1" customWidth="1"/>
    <col min="2" max="2" width="13.73046875" bestFit="1" customWidth="1"/>
    <col min="3" max="3" width="10.06640625" bestFit="1" customWidth="1"/>
    <col min="4" max="4" width="10.53125" bestFit="1" customWidth="1"/>
    <col min="5" max="5" width="6.19921875" bestFit="1" customWidth="1"/>
    <col min="6" max="6" width="14.53125" bestFit="1" customWidth="1"/>
    <col min="7" max="7" width="12.06640625" bestFit="1" customWidth="1"/>
    <col min="8" max="8" width="7.46484375" bestFit="1" customWidth="1"/>
    <col min="9" max="9" width="11.46484375" bestFit="1" customWidth="1"/>
    <col min="10" max="10" width="11.6640625" bestFit="1" customWidth="1"/>
    <col min="12" max="12" width="18.73046875" customWidth="1"/>
    <col min="13" max="13" width="11.796875" customWidth="1"/>
    <col min="14" max="14" width="10.59765625" customWidth="1"/>
    <col min="15" max="15" width="11.73046875" bestFit="1" customWidth="1"/>
    <col min="16" max="16" width="14.53125" bestFit="1" customWidth="1"/>
    <col min="18" max="18" width="10.6640625" bestFit="1" customWidth="1"/>
    <col min="19" max="19" width="7.265625" customWidth="1"/>
    <col min="20" max="20" width="11.1328125" customWidth="1"/>
    <col min="21" max="21" width="10.53125" bestFit="1" customWidth="1"/>
    <col min="22" max="22" width="10.06640625" bestFit="1" customWidth="1"/>
    <col min="28" max="28" width="10.33203125" bestFit="1" customWidth="1"/>
    <col min="38" max="38" width="12.06640625" bestFit="1" customWidth="1"/>
  </cols>
  <sheetData>
    <row r="1" spans="1:22">
      <c r="A1" s="23" t="s">
        <v>1222</v>
      </c>
      <c r="B1" s="23" t="s">
        <v>1250</v>
      </c>
      <c r="C1" s="23" t="s">
        <v>1175</v>
      </c>
      <c r="D1" s="23" t="s">
        <v>1224</v>
      </c>
      <c r="E1" s="23" t="s">
        <v>1223</v>
      </c>
      <c r="F1" s="23" t="s">
        <v>1251</v>
      </c>
      <c r="G1" s="23" t="s">
        <v>111</v>
      </c>
      <c r="H1" s="23" t="s">
        <v>1226</v>
      </c>
      <c r="I1" s="23" t="s">
        <v>1227</v>
      </c>
      <c r="J1" s="23" t="s">
        <v>1228</v>
      </c>
      <c r="L1" s="23" t="s">
        <v>1224</v>
      </c>
      <c r="M1" s="23" t="s">
        <v>1378</v>
      </c>
      <c r="N1" s="23" t="s">
        <v>1377</v>
      </c>
      <c r="P1" s="23" t="s">
        <v>1251</v>
      </c>
      <c r="S1" s="23" t="s">
        <v>1223</v>
      </c>
      <c r="T1" s="23" t="s">
        <v>111</v>
      </c>
      <c r="U1" s="23" t="s">
        <v>1224</v>
      </c>
      <c r="V1" s="23" t="s">
        <v>1175</v>
      </c>
    </row>
    <row r="2" spans="1:22">
      <c r="A2" s="25">
        <v>45102</v>
      </c>
      <c r="B2" s="24" t="s">
        <v>1252</v>
      </c>
      <c r="C2" s="24" t="s">
        <v>1239</v>
      </c>
      <c r="D2" s="24" t="s">
        <v>1237</v>
      </c>
      <c r="E2" s="24" t="s">
        <v>1229</v>
      </c>
      <c r="F2" s="24" t="s">
        <v>132</v>
      </c>
      <c r="G2" s="24" t="s">
        <v>1253</v>
      </c>
      <c r="H2" s="26">
        <v>6</v>
      </c>
      <c r="I2" s="26">
        <v>4016.25</v>
      </c>
      <c r="J2" s="26">
        <v>24097.5</v>
      </c>
      <c r="L2" s="24" t="s">
        <v>1237</v>
      </c>
      <c r="M2">
        <f>COUNTIF(D:D,L2)</f>
        <v>207</v>
      </c>
      <c r="N2">
        <f>COUNTIF($D$1:$D$1001,L2)</f>
        <v>207</v>
      </c>
      <c r="P2" s="24" t="s">
        <v>132</v>
      </c>
      <c r="S2" s="24" t="s">
        <v>1229</v>
      </c>
      <c r="T2" s="24" t="s">
        <v>1253</v>
      </c>
      <c r="U2" s="24" t="s">
        <v>1237</v>
      </c>
      <c r="V2" s="24" t="s">
        <v>1239</v>
      </c>
    </row>
    <row r="3" spans="1:22">
      <c r="A3" s="25">
        <v>45231</v>
      </c>
      <c r="B3" s="24" t="s">
        <v>1254</v>
      </c>
      <c r="C3" s="24" t="s">
        <v>1234</v>
      </c>
      <c r="D3" s="24" t="s">
        <v>1232</v>
      </c>
      <c r="E3" s="24" t="s">
        <v>1231</v>
      </c>
      <c r="F3" s="24" t="s">
        <v>145</v>
      </c>
      <c r="G3" s="24" t="s">
        <v>1255</v>
      </c>
      <c r="H3" s="26">
        <v>9</v>
      </c>
      <c r="I3" s="26">
        <v>3801.85</v>
      </c>
      <c r="J3" s="26">
        <v>34216.65</v>
      </c>
      <c r="L3" s="24" t="s">
        <v>1232</v>
      </c>
      <c r="M3">
        <f t="shared" ref="M3:M6" si="0">COUNTIF(D:D,L3)</f>
        <v>208</v>
      </c>
      <c r="N3">
        <f t="shared" ref="N3:N6" si="1">COUNTIF($D$1:$D$1001,L3)</f>
        <v>208</v>
      </c>
      <c r="P3" s="24" t="s">
        <v>145</v>
      </c>
      <c r="S3" s="24" t="s">
        <v>1231</v>
      </c>
      <c r="T3" s="24" t="s">
        <v>1255</v>
      </c>
      <c r="U3" s="24" t="s">
        <v>1232</v>
      </c>
      <c r="V3" s="24" t="s">
        <v>1234</v>
      </c>
    </row>
    <row r="4" spans="1:22">
      <c r="A4" s="25">
        <v>45022</v>
      </c>
      <c r="B4" s="24" t="s">
        <v>1256</v>
      </c>
      <c r="C4" s="24" t="s">
        <v>1241</v>
      </c>
      <c r="D4" s="24" t="s">
        <v>1235</v>
      </c>
      <c r="E4" s="24" t="s">
        <v>1231</v>
      </c>
      <c r="F4" s="24" t="s">
        <v>145</v>
      </c>
      <c r="G4" s="24" t="s">
        <v>1255</v>
      </c>
      <c r="H4" s="26">
        <v>11</v>
      </c>
      <c r="I4" s="26">
        <v>3594.07</v>
      </c>
      <c r="J4" s="26">
        <v>39534.769999999997</v>
      </c>
      <c r="L4" s="24" t="s">
        <v>1235</v>
      </c>
      <c r="M4">
        <f t="shared" si="0"/>
        <v>212</v>
      </c>
      <c r="N4">
        <f t="shared" si="1"/>
        <v>212</v>
      </c>
      <c r="P4" s="24" t="s">
        <v>128</v>
      </c>
      <c r="S4" s="24" t="s">
        <v>1242</v>
      </c>
      <c r="T4" s="24" t="s">
        <v>1257</v>
      </c>
      <c r="U4" s="24" t="s">
        <v>1235</v>
      </c>
      <c r="V4" s="24" t="s">
        <v>1241</v>
      </c>
    </row>
    <row r="5" spans="1:22">
      <c r="A5" s="25">
        <v>45214</v>
      </c>
      <c r="B5" s="24" t="s">
        <v>1254</v>
      </c>
      <c r="C5" s="24" t="s">
        <v>1240</v>
      </c>
      <c r="D5" s="24" t="s">
        <v>1232</v>
      </c>
      <c r="E5" s="24" t="s">
        <v>1231</v>
      </c>
      <c r="F5" s="24" t="s">
        <v>128</v>
      </c>
      <c r="G5" s="24" t="s">
        <v>1257</v>
      </c>
      <c r="H5" s="26">
        <v>9</v>
      </c>
      <c r="I5" s="26">
        <v>4487</v>
      </c>
      <c r="J5" s="26">
        <v>40383</v>
      </c>
      <c r="L5" s="24" t="s">
        <v>1230</v>
      </c>
      <c r="M5">
        <f t="shared" si="0"/>
        <v>180</v>
      </c>
      <c r="N5">
        <f t="shared" si="1"/>
        <v>180</v>
      </c>
      <c r="P5" s="24" t="s">
        <v>1249</v>
      </c>
      <c r="T5" s="24" t="s">
        <v>1259</v>
      </c>
      <c r="U5" s="24" t="s">
        <v>1230</v>
      </c>
      <c r="V5" s="24" t="s">
        <v>1240</v>
      </c>
    </row>
    <row r="6" spans="1:22">
      <c r="A6" s="25">
        <v>45145</v>
      </c>
      <c r="B6" s="24" t="s">
        <v>1258</v>
      </c>
      <c r="C6" s="24" t="s">
        <v>1171</v>
      </c>
      <c r="D6" s="24" t="s">
        <v>1237</v>
      </c>
      <c r="E6" s="24" t="s">
        <v>1229</v>
      </c>
      <c r="F6" s="24" t="s">
        <v>1249</v>
      </c>
      <c r="G6" s="24" t="s">
        <v>1259</v>
      </c>
      <c r="H6" s="26">
        <v>17</v>
      </c>
      <c r="I6" s="26">
        <v>1240.77</v>
      </c>
      <c r="J6" s="26">
        <v>21093.09</v>
      </c>
      <c r="L6" s="24" t="s">
        <v>1243</v>
      </c>
      <c r="M6">
        <f t="shared" si="0"/>
        <v>193</v>
      </c>
      <c r="N6">
        <f t="shared" si="1"/>
        <v>193</v>
      </c>
      <c r="P6" s="24" t="s">
        <v>120</v>
      </c>
      <c r="T6" s="24" t="s">
        <v>1261</v>
      </c>
      <c r="U6" s="24" t="s">
        <v>1243</v>
      </c>
      <c r="V6" s="24" t="s">
        <v>1171</v>
      </c>
    </row>
    <row r="7" spans="1:22">
      <c r="A7" s="25">
        <v>45283</v>
      </c>
      <c r="B7" s="24" t="s">
        <v>1260</v>
      </c>
      <c r="C7" s="24" t="s">
        <v>1233</v>
      </c>
      <c r="D7" s="24" t="s">
        <v>1232</v>
      </c>
      <c r="E7" s="24" t="s">
        <v>1231</v>
      </c>
      <c r="F7" s="24" t="s">
        <v>145</v>
      </c>
      <c r="G7" s="24" t="s">
        <v>1261</v>
      </c>
      <c r="H7" s="26">
        <v>7</v>
      </c>
      <c r="I7" s="26">
        <v>4772.29</v>
      </c>
      <c r="J7" s="26">
        <v>33406.03</v>
      </c>
      <c r="T7" s="24" t="s">
        <v>1164</v>
      </c>
      <c r="V7" s="24" t="s">
        <v>1233</v>
      </c>
    </row>
    <row r="8" spans="1:22">
      <c r="A8" s="25">
        <v>45047</v>
      </c>
      <c r="B8" s="24" t="s">
        <v>1262</v>
      </c>
      <c r="C8" s="24" t="s">
        <v>1236</v>
      </c>
      <c r="D8" s="24" t="s">
        <v>1235</v>
      </c>
      <c r="E8" s="24" t="s">
        <v>1231</v>
      </c>
      <c r="F8" s="24" t="s">
        <v>120</v>
      </c>
      <c r="G8" s="24" t="s">
        <v>1164</v>
      </c>
      <c r="H8" s="26">
        <v>5</v>
      </c>
      <c r="I8" s="26">
        <v>2196.9899999999998</v>
      </c>
      <c r="J8" s="26">
        <v>10984.95</v>
      </c>
      <c r="L8" s="23" t="s">
        <v>1224</v>
      </c>
      <c r="M8" s="24" t="s">
        <v>132</v>
      </c>
      <c r="N8" s="24" t="s">
        <v>145</v>
      </c>
      <c r="O8" s="24" t="s">
        <v>128</v>
      </c>
      <c r="P8" s="24" t="s">
        <v>1249</v>
      </c>
      <c r="Q8" s="24" t="s">
        <v>120</v>
      </c>
      <c r="T8" s="24" t="s">
        <v>1165</v>
      </c>
      <c r="V8" s="24" t="s">
        <v>1236</v>
      </c>
    </row>
    <row r="9" spans="1:22">
      <c r="A9" s="25">
        <v>45283</v>
      </c>
      <c r="B9" s="24" t="s">
        <v>1263</v>
      </c>
      <c r="C9" s="24" t="s">
        <v>1248</v>
      </c>
      <c r="D9" s="24" t="s">
        <v>1230</v>
      </c>
      <c r="E9" s="24" t="s">
        <v>1229</v>
      </c>
      <c r="F9" s="24" t="s">
        <v>128</v>
      </c>
      <c r="G9" s="24" t="s">
        <v>1257</v>
      </c>
      <c r="H9" s="26">
        <v>5</v>
      </c>
      <c r="I9" s="26">
        <v>967.6</v>
      </c>
      <c r="J9" s="26">
        <v>4838</v>
      </c>
      <c r="L9" s="24" t="s">
        <v>1237</v>
      </c>
      <c r="M9">
        <f>COUNTIFS($D:$D,$L9,$F:$F,M$8)</f>
        <v>44</v>
      </c>
      <c r="N9">
        <f t="shared" ref="N9:Q13" si="2">COUNTIFS($D:$D,$L9,$F:$F,N$8)</f>
        <v>41</v>
      </c>
      <c r="O9">
        <f t="shared" si="2"/>
        <v>49</v>
      </c>
      <c r="P9">
        <f t="shared" si="2"/>
        <v>34</v>
      </c>
      <c r="Q9">
        <f t="shared" si="2"/>
        <v>39</v>
      </c>
      <c r="T9" s="24" t="s">
        <v>1264</v>
      </c>
      <c r="V9" s="24" t="s">
        <v>1248</v>
      </c>
    </row>
    <row r="10" spans="1:22">
      <c r="A10" s="25">
        <v>45222</v>
      </c>
      <c r="B10" s="24" t="s">
        <v>1254</v>
      </c>
      <c r="C10" s="24" t="s">
        <v>1240</v>
      </c>
      <c r="D10" s="24" t="s">
        <v>1232</v>
      </c>
      <c r="E10" s="24" t="s">
        <v>1231</v>
      </c>
      <c r="F10" s="24" t="s">
        <v>145</v>
      </c>
      <c r="G10" s="24" t="s">
        <v>1255</v>
      </c>
      <c r="H10" s="26">
        <v>18</v>
      </c>
      <c r="I10" s="26">
        <v>3128.59</v>
      </c>
      <c r="J10" s="26">
        <v>56314.62</v>
      </c>
      <c r="L10" s="24" t="s">
        <v>1232</v>
      </c>
      <c r="M10">
        <f t="shared" ref="M10:M13" si="3">COUNTIFS($D:$D,$L10,$F:$F,M$8)</f>
        <v>41</v>
      </c>
      <c r="N10">
        <f t="shared" si="2"/>
        <v>33</v>
      </c>
      <c r="O10">
        <f t="shared" si="2"/>
        <v>45</v>
      </c>
      <c r="P10">
        <f t="shared" si="2"/>
        <v>43</v>
      </c>
      <c r="Q10">
        <f t="shared" si="2"/>
        <v>46</v>
      </c>
      <c r="T10" s="24" t="s">
        <v>1266</v>
      </c>
      <c r="V10" s="24" t="s">
        <v>1244</v>
      </c>
    </row>
    <row r="11" spans="1:22">
      <c r="A11" s="25">
        <v>45247</v>
      </c>
      <c r="B11" s="24" t="s">
        <v>1256</v>
      </c>
      <c r="C11" s="24" t="s">
        <v>1233</v>
      </c>
      <c r="D11" s="24" t="s">
        <v>1232</v>
      </c>
      <c r="E11" s="24" t="s">
        <v>1231</v>
      </c>
      <c r="F11" s="24" t="s">
        <v>132</v>
      </c>
      <c r="G11" s="24" t="s">
        <v>1253</v>
      </c>
      <c r="H11" s="26">
        <v>10</v>
      </c>
      <c r="I11" s="26">
        <v>2754.3</v>
      </c>
      <c r="J11" s="26">
        <v>27543</v>
      </c>
      <c r="L11" s="24" t="s">
        <v>1235</v>
      </c>
      <c r="M11">
        <f t="shared" si="3"/>
        <v>42</v>
      </c>
      <c r="N11">
        <f t="shared" si="2"/>
        <v>46</v>
      </c>
      <c r="O11">
        <f t="shared" si="2"/>
        <v>42</v>
      </c>
      <c r="P11">
        <f t="shared" si="2"/>
        <v>42</v>
      </c>
      <c r="Q11">
        <f t="shared" si="2"/>
        <v>40</v>
      </c>
      <c r="T11" s="24" t="s">
        <v>1268</v>
      </c>
      <c r="V11" s="24" t="s">
        <v>1173</v>
      </c>
    </row>
    <row r="12" spans="1:22">
      <c r="A12" s="25">
        <v>44972</v>
      </c>
      <c r="B12" s="24" t="s">
        <v>1254</v>
      </c>
      <c r="C12" s="24" t="s">
        <v>1248</v>
      </c>
      <c r="D12" s="24" t="s">
        <v>1230</v>
      </c>
      <c r="E12" s="24" t="s">
        <v>1229</v>
      </c>
      <c r="F12" s="24" t="s">
        <v>120</v>
      </c>
      <c r="G12" s="24" t="s">
        <v>1165</v>
      </c>
      <c r="H12" s="26">
        <v>19</v>
      </c>
      <c r="I12" s="26">
        <v>4896.3100000000004</v>
      </c>
      <c r="J12" s="26">
        <v>93029.89</v>
      </c>
      <c r="L12" s="24" t="s">
        <v>1230</v>
      </c>
      <c r="M12">
        <f t="shared" si="3"/>
        <v>32</v>
      </c>
      <c r="N12">
        <f t="shared" si="2"/>
        <v>35</v>
      </c>
      <c r="O12">
        <f t="shared" si="2"/>
        <v>41</v>
      </c>
      <c r="P12">
        <f t="shared" si="2"/>
        <v>36</v>
      </c>
      <c r="Q12">
        <f t="shared" si="2"/>
        <v>36</v>
      </c>
      <c r="T12" s="24" t="s">
        <v>1270</v>
      </c>
      <c r="V12" s="24" t="s">
        <v>1169</v>
      </c>
    </row>
    <row r="13" spans="1:22">
      <c r="A13" s="25">
        <v>45037</v>
      </c>
      <c r="B13" s="24" t="s">
        <v>1262</v>
      </c>
      <c r="C13" s="24" t="s">
        <v>1236</v>
      </c>
      <c r="D13" s="24" t="s">
        <v>1235</v>
      </c>
      <c r="E13" s="24" t="s">
        <v>1231</v>
      </c>
      <c r="F13" s="24" t="s">
        <v>128</v>
      </c>
      <c r="G13" s="24" t="s">
        <v>1264</v>
      </c>
      <c r="H13" s="26">
        <v>19</v>
      </c>
      <c r="I13" s="26">
        <v>4562.0200000000004</v>
      </c>
      <c r="J13" s="26">
        <v>86678.38</v>
      </c>
      <c r="L13" s="24" t="s">
        <v>1243</v>
      </c>
      <c r="M13">
        <f t="shared" si="3"/>
        <v>46</v>
      </c>
      <c r="N13">
        <f t="shared" si="2"/>
        <v>39</v>
      </c>
      <c r="O13">
        <f t="shared" si="2"/>
        <v>33</v>
      </c>
      <c r="P13">
        <f t="shared" si="2"/>
        <v>34</v>
      </c>
      <c r="Q13">
        <f t="shared" si="2"/>
        <v>41</v>
      </c>
      <c r="T13" s="24" t="s">
        <v>1271</v>
      </c>
      <c r="V13" s="24" t="s">
        <v>1247</v>
      </c>
    </row>
    <row r="14" spans="1:22">
      <c r="A14" s="25">
        <v>44938</v>
      </c>
      <c r="B14" s="24" t="s">
        <v>1260</v>
      </c>
      <c r="C14" s="24" t="s">
        <v>1171</v>
      </c>
      <c r="D14" s="24" t="s">
        <v>1237</v>
      </c>
      <c r="E14" s="24" t="s">
        <v>1229</v>
      </c>
      <c r="F14" s="24" t="s">
        <v>145</v>
      </c>
      <c r="G14" s="24" t="s">
        <v>1261</v>
      </c>
      <c r="H14" s="26">
        <v>6</v>
      </c>
      <c r="I14" s="26">
        <v>4231.7700000000004</v>
      </c>
      <c r="J14" s="26">
        <v>25390.62</v>
      </c>
      <c r="T14" s="24" t="s">
        <v>1272</v>
      </c>
      <c r="V14" s="24" t="s">
        <v>1238</v>
      </c>
    </row>
    <row r="15" spans="1:22">
      <c r="A15" s="25">
        <v>44952</v>
      </c>
      <c r="B15" s="24" t="s">
        <v>1265</v>
      </c>
      <c r="C15" s="24" t="s">
        <v>1248</v>
      </c>
      <c r="D15" s="24" t="s">
        <v>1230</v>
      </c>
      <c r="E15" s="24" t="s">
        <v>1229</v>
      </c>
      <c r="F15" s="24" t="s">
        <v>128</v>
      </c>
      <c r="G15" s="24" t="s">
        <v>1266</v>
      </c>
      <c r="H15" s="26">
        <v>20</v>
      </c>
      <c r="I15" s="26">
        <v>1027.53</v>
      </c>
      <c r="J15" s="26">
        <v>20550.599999999999</v>
      </c>
      <c r="L15" s="23" t="s">
        <v>1223</v>
      </c>
      <c r="M15" s="16" t="s">
        <v>1226</v>
      </c>
      <c r="T15" s="24" t="s">
        <v>1273</v>
      </c>
      <c r="V15" s="24" t="s">
        <v>1245</v>
      </c>
    </row>
    <row r="16" spans="1:22">
      <c r="A16" s="25">
        <v>45073</v>
      </c>
      <c r="B16" s="24" t="s">
        <v>1267</v>
      </c>
      <c r="C16" s="24" t="s">
        <v>1239</v>
      </c>
      <c r="D16" s="24" t="s">
        <v>1237</v>
      </c>
      <c r="E16" s="24" t="s">
        <v>1229</v>
      </c>
      <c r="F16" s="24" t="s">
        <v>128</v>
      </c>
      <c r="G16" s="24" t="s">
        <v>1264</v>
      </c>
      <c r="H16" s="26">
        <v>7</v>
      </c>
      <c r="I16" s="26">
        <v>1257.3399999999999</v>
      </c>
      <c r="J16" s="26">
        <v>8801.3799999999992</v>
      </c>
      <c r="L16" s="24" t="s">
        <v>1229</v>
      </c>
      <c r="M16">
        <f>SUMIF(E:E,L16,H:H)</f>
        <v>4073</v>
      </c>
      <c r="T16" s="24" t="s">
        <v>1274</v>
      </c>
      <c r="V16" s="24" t="s">
        <v>1246</v>
      </c>
    </row>
    <row r="17" spans="1:32">
      <c r="A17" s="25">
        <v>45258</v>
      </c>
      <c r="B17" s="24" t="s">
        <v>1262</v>
      </c>
      <c r="C17" s="24" t="s">
        <v>1244</v>
      </c>
      <c r="D17" s="24" t="s">
        <v>1243</v>
      </c>
      <c r="E17" s="24" t="s">
        <v>1242</v>
      </c>
      <c r="F17" s="24" t="s">
        <v>128</v>
      </c>
      <c r="G17" s="24" t="s">
        <v>1266</v>
      </c>
      <c r="H17" s="26">
        <v>9</v>
      </c>
      <c r="I17" s="26">
        <v>2634.14</v>
      </c>
      <c r="J17" s="26">
        <v>23707.26</v>
      </c>
      <c r="L17" s="24" t="s">
        <v>1231</v>
      </c>
      <c r="M17">
        <f t="shared" ref="M17:M18" si="4">SUMIF(E:E,L17,H:H)</f>
        <v>4434</v>
      </c>
      <c r="T17" s="24" t="s">
        <v>1275</v>
      </c>
    </row>
    <row r="18" spans="1:32">
      <c r="A18" s="25">
        <v>45079</v>
      </c>
      <c r="B18" s="24" t="s">
        <v>1258</v>
      </c>
      <c r="C18" s="24" t="s">
        <v>1173</v>
      </c>
      <c r="D18" s="24" t="s">
        <v>1237</v>
      </c>
      <c r="E18" s="24" t="s">
        <v>1229</v>
      </c>
      <c r="F18" s="24" t="s">
        <v>132</v>
      </c>
      <c r="G18" s="24" t="s">
        <v>1253</v>
      </c>
      <c r="H18" s="26">
        <v>11</v>
      </c>
      <c r="I18" s="26">
        <v>4509.49</v>
      </c>
      <c r="J18" s="26">
        <v>49604.39</v>
      </c>
      <c r="L18" s="24" t="s">
        <v>1242</v>
      </c>
      <c r="M18">
        <f t="shared" si="4"/>
        <v>2067</v>
      </c>
      <c r="T18" s="24" t="s">
        <v>1276</v>
      </c>
    </row>
    <row r="19" spans="1:32">
      <c r="A19" s="25">
        <v>44981</v>
      </c>
      <c r="B19" s="24" t="s">
        <v>1260</v>
      </c>
      <c r="C19" s="24" t="s">
        <v>1169</v>
      </c>
      <c r="D19" s="24" t="s">
        <v>1230</v>
      </c>
      <c r="E19" s="24" t="s">
        <v>1229</v>
      </c>
      <c r="F19" s="24" t="s">
        <v>1249</v>
      </c>
      <c r="G19" s="24" t="s">
        <v>1268</v>
      </c>
      <c r="H19" s="26">
        <v>3</v>
      </c>
      <c r="I19" s="26">
        <v>2738.83</v>
      </c>
      <c r="J19" s="26">
        <v>8216.49</v>
      </c>
      <c r="T19" s="24" t="s">
        <v>1277</v>
      </c>
    </row>
    <row r="20" spans="1:32">
      <c r="A20" s="25">
        <v>44974</v>
      </c>
      <c r="B20" s="24" t="s">
        <v>1260</v>
      </c>
      <c r="C20" s="24" t="s">
        <v>1239</v>
      </c>
      <c r="D20" s="24" t="s">
        <v>1237</v>
      </c>
      <c r="E20" s="24" t="s">
        <v>1229</v>
      </c>
      <c r="F20" s="24" t="s">
        <v>128</v>
      </c>
      <c r="G20" s="24" t="s">
        <v>1257</v>
      </c>
      <c r="H20" s="26">
        <v>10</v>
      </c>
      <c r="I20" s="26">
        <v>4247.74</v>
      </c>
      <c r="J20" s="26">
        <v>42477.4</v>
      </c>
      <c r="L20" s="23" t="s">
        <v>1379</v>
      </c>
      <c r="M20" s="24" t="s">
        <v>1229</v>
      </c>
      <c r="N20" s="24" t="s">
        <v>1231</v>
      </c>
      <c r="O20" s="24" t="s">
        <v>1242</v>
      </c>
      <c r="P20" s="24"/>
      <c r="Q20" s="24"/>
      <c r="R20" s="24"/>
      <c r="S20" s="24"/>
      <c r="T20" s="24" t="s">
        <v>1278</v>
      </c>
      <c r="W20" s="24"/>
      <c r="X20" s="24"/>
      <c r="Y20" s="24"/>
      <c r="AA20" s="24"/>
      <c r="AB20" s="24"/>
      <c r="AC20" s="24"/>
      <c r="AD20" s="24"/>
      <c r="AE20" s="24"/>
      <c r="AF20" s="24"/>
    </row>
    <row r="21" spans="1:32">
      <c r="A21" s="25">
        <v>44972</v>
      </c>
      <c r="B21" s="24" t="s">
        <v>1256</v>
      </c>
      <c r="C21" s="24" t="s">
        <v>1236</v>
      </c>
      <c r="D21" s="24" t="s">
        <v>1235</v>
      </c>
      <c r="E21" s="24" t="s">
        <v>1231</v>
      </c>
      <c r="F21" s="24" t="s">
        <v>145</v>
      </c>
      <c r="G21" s="24" t="s">
        <v>1261</v>
      </c>
      <c r="H21" s="26">
        <v>3</v>
      </c>
      <c r="I21" s="26">
        <v>1133.19</v>
      </c>
      <c r="J21" s="26">
        <v>3399.57</v>
      </c>
      <c r="L21" s="24" t="s">
        <v>1253</v>
      </c>
      <c r="M21">
        <f>SUMIFS($H:$H,$G:$G,$L21,$E:$E,M$20)</f>
        <v>195</v>
      </c>
      <c r="N21">
        <f t="shared" ref="N21:O36" si="5">SUMIFS($H:$H,$G:$G,$L21,$E:$E,N$20)</f>
        <v>126</v>
      </c>
      <c r="O21">
        <f t="shared" si="5"/>
        <v>122</v>
      </c>
      <c r="T21" s="24" t="s">
        <v>1279</v>
      </c>
    </row>
    <row r="22" spans="1:32">
      <c r="A22" s="25">
        <v>44976</v>
      </c>
      <c r="B22" s="24" t="s">
        <v>1269</v>
      </c>
      <c r="C22" s="24" t="s">
        <v>1247</v>
      </c>
      <c r="D22" s="24" t="s">
        <v>1243</v>
      </c>
      <c r="E22" s="24" t="s">
        <v>1242</v>
      </c>
      <c r="F22" s="24" t="s">
        <v>120</v>
      </c>
      <c r="G22" s="24" t="s">
        <v>1165</v>
      </c>
      <c r="H22" s="26">
        <v>6</v>
      </c>
      <c r="I22" s="26">
        <v>623.22</v>
      </c>
      <c r="J22" s="26">
        <v>3739.32</v>
      </c>
      <c r="L22" s="24" t="s">
        <v>1255</v>
      </c>
      <c r="M22">
        <f t="shared" ref="M22:N40" si="6">SUMIFS($H:$H,$G:$G,$L22,$E:$E,M$20)</f>
        <v>299</v>
      </c>
      <c r="N22">
        <f t="shared" si="5"/>
        <v>227</v>
      </c>
      <c r="O22">
        <f t="shared" si="5"/>
        <v>100</v>
      </c>
    </row>
    <row r="23" spans="1:32">
      <c r="A23" s="25">
        <v>45044</v>
      </c>
      <c r="B23" s="24" t="s">
        <v>1258</v>
      </c>
      <c r="C23" s="24" t="s">
        <v>1234</v>
      </c>
      <c r="D23" s="24" t="s">
        <v>1232</v>
      </c>
      <c r="E23" s="24" t="s">
        <v>1231</v>
      </c>
      <c r="F23" s="24" t="s">
        <v>145</v>
      </c>
      <c r="G23" s="24" t="s">
        <v>1255</v>
      </c>
      <c r="H23" s="26">
        <v>18</v>
      </c>
      <c r="I23" s="26">
        <v>698.42</v>
      </c>
      <c r="J23" s="26">
        <v>12571.56</v>
      </c>
      <c r="L23" s="24" t="s">
        <v>1257</v>
      </c>
      <c r="M23">
        <f t="shared" si="6"/>
        <v>333</v>
      </c>
      <c r="N23">
        <f t="shared" si="5"/>
        <v>218</v>
      </c>
      <c r="O23">
        <f t="shared" si="5"/>
        <v>94</v>
      </c>
    </row>
    <row r="24" spans="1:32">
      <c r="A24" s="25">
        <v>45266</v>
      </c>
      <c r="B24" s="24" t="s">
        <v>1263</v>
      </c>
      <c r="C24" s="24" t="s">
        <v>1238</v>
      </c>
      <c r="D24" s="24" t="s">
        <v>1235</v>
      </c>
      <c r="E24" s="24" t="s">
        <v>1231</v>
      </c>
      <c r="F24" s="24" t="s">
        <v>1249</v>
      </c>
      <c r="G24" s="24" t="s">
        <v>1270</v>
      </c>
      <c r="H24" s="26">
        <v>19</v>
      </c>
      <c r="I24" s="26">
        <v>2494.11</v>
      </c>
      <c r="J24" s="26">
        <v>47388.09</v>
      </c>
      <c r="L24" s="24" t="s">
        <v>1259</v>
      </c>
      <c r="M24">
        <f t="shared" si="6"/>
        <v>212</v>
      </c>
      <c r="N24">
        <f t="shared" si="5"/>
        <v>170</v>
      </c>
      <c r="O24">
        <f t="shared" si="5"/>
        <v>82</v>
      </c>
    </row>
    <row r="25" spans="1:32">
      <c r="A25" s="25">
        <v>45101</v>
      </c>
      <c r="B25" s="24" t="s">
        <v>1262</v>
      </c>
      <c r="C25" s="24" t="s">
        <v>1233</v>
      </c>
      <c r="D25" s="24" t="s">
        <v>1232</v>
      </c>
      <c r="E25" s="24" t="s">
        <v>1231</v>
      </c>
      <c r="F25" s="24" t="s">
        <v>1249</v>
      </c>
      <c r="G25" s="24" t="s">
        <v>1270</v>
      </c>
      <c r="H25" s="26">
        <v>15</v>
      </c>
      <c r="I25" s="26">
        <v>3368.77</v>
      </c>
      <c r="J25" s="26">
        <v>50531.55</v>
      </c>
      <c r="L25" s="24" t="s">
        <v>1261</v>
      </c>
      <c r="M25">
        <f t="shared" si="6"/>
        <v>221</v>
      </c>
      <c r="N25">
        <f t="shared" si="5"/>
        <v>196</v>
      </c>
      <c r="O25">
        <f t="shared" si="5"/>
        <v>102</v>
      </c>
    </row>
    <row r="26" spans="1:32">
      <c r="A26" s="25">
        <v>45012</v>
      </c>
      <c r="B26" s="24" t="s">
        <v>1256</v>
      </c>
      <c r="C26" s="24" t="s">
        <v>1236</v>
      </c>
      <c r="D26" s="24" t="s">
        <v>1235</v>
      </c>
      <c r="E26" s="24" t="s">
        <v>1231</v>
      </c>
      <c r="F26" s="24" t="s">
        <v>132</v>
      </c>
      <c r="G26" s="24" t="s">
        <v>1271</v>
      </c>
      <c r="H26" s="26">
        <v>2</v>
      </c>
      <c r="I26" s="26">
        <v>962.28</v>
      </c>
      <c r="J26" s="26">
        <v>1924.56</v>
      </c>
      <c r="L26" s="24" t="s">
        <v>1164</v>
      </c>
      <c r="M26">
        <f t="shared" si="6"/>
        <v>136</v>
      </c>
      <c r="N26">
        <f t="shared" si="5"/>
        <v>289</v>
      </c>
      <c r="O26">
        <f t="shared" si="5"/>
        <v>113</v>
      </c>
    </row>
    <row r="27" spans="1:32">
      <c r="A27" s="25">
        <v>45017</v>
      </c>
      <c r="B27" s="24" t="s">
        <v>1269</v>
      </c>
      <c r="C27" s="24" t="s">
        <v>1173</v>
      </c>
      <c r="D27" s="24" t="s">
        <v>1237</v>
      </c>
      <c r="E27" s="24" t="s">
        <v>1229</v>
      </c>
      <c r="F27" s="24" t="s">
        <v>128</v>
      </c>
      <c r="G27" s="24" t="s">
        <v>1266</v>
      </c>
      <c r="H27" s="26">
        <v>19</v>
      </c>
      <c r="I27" s="26">
        <v>1065.27</v>
      </c>
      <c r="J27" s="26">
        <v>20240.13</v>
      </c>
      <c r="L27" s="24" t="s">
        <v>1165</v>
      </c>
      <c r="M27">
        <f t="shared" si="6"/>
        <v>224</v>
      </c>
      <c r="N27">
        <f t="shared" si="5"/>
        <v>161</v>
      </c>
      <c r="O27">
        <f t="shared" si="5"/>
        <v>76</v>
      </c>
    </row>
    <row r="28" spans="1:32">
      <c r="A28" s="25">
        <v>45277</v>
      </c>
      <c r="B28" s="24" t="s">
        <v>1269</v>
      </c>
      <c r="C28" s="24" t="s">
        <v>1248</v>
      </c>
      <c r="D28" s="24" t="s">
        <v>1230</v>
      </c>
      <c r="E28" s="24" t="s">
        <v>1229</v>
      </c>
      <c r="F28" s="24" t="s">
        <v>1249</v>
      </c>
      <c r="G28" s="24" t="s">
        <v>1268</v>
      </c>
      <c r="H28" s="26">
        <v>10</v>
      </c>
      <c r="I28" s="26">
        <v>4507.62</v>
      </c>
      <c r="J28" s="26">
        <v>45076.2</v>
      </c>
      <c r="L28" s="24" t="s">
        <v>1264</v>
      </c>
      <c r="M28">
        <f t="shared" si="6"/>
        <v>240</v>
      </c>
      <c r="N28">
        <f t="shared" si="5"/>
        <v>187</v>
      </c>
      <c r="O28">
        <f t="shared" si="5"/>
        <v>117</v>
      </c>
    </row>
    <row r="29" spans="1:32">
      <c r="A29" s="25">
        <v>45128</v>
      </c>
      <c r="B29" s="24" t="s">
        <v>1258</v>
      </c>
      <c r="C29" s="24" t="s">
        <v>1247</v>
      </c>
      <c r="D29" s="24" t="s">
        <v>1243</v>
      </c>
      <c r="E29" s="24" t="s">
        <v>1242</v>
      </c>
      <c r="F29" s="24" t="s">
        <v>128</v>
      </c>
      <c r="G29" s="24" t="s">
        <v>1264</v>
      </c>
      <c r="H29" s="26">
        <v>4</v>
      </c>
      <c r="I29" s="26">
        <v>4373.75</v>
      </c>
      <c r="J29" s="26">
        <v>17495</v>
      </c>
      <c r="L29" s="24" t="s">
        <v>1266</v>
      </c>
      <c r="M29">
        <f t="shared" si="6"/>
        <v>205</v>
      </c>
      <c r="N29">
        <f t="shared" si="5"/>
        <v>246</v>
      </c>
      <c r="O29">
        <f t="shared" si="5"/>
        <v>100</v>
      </c>
    </row>
    <row r="30" spans="1:32">
      <c r="A30" s="25">
        <v>45167</v>
      </c>
      <c r="B30" s="24" t="s">
        <v>1265</v>
      </c>
      <c r="C30" s="24" t="s">
        <v>1234</v>
      </c>
      <c r="D30" s="24" t="s">
        <v>1232</v>
      </c>
      <c r="E30" s="24" t="s">
        <v>1231</v>
      </c>
      <c r="F30" s="24" t="s">
        <v>128</v>
      </c>
      <c r="G30" s="24" t="s">
        <v>1264</v>
      </c>
      <c r="H30" s="26">
        <v>4</v>
      </c>
      <c r="I30" s="26">
        <v>791.28</v>
      </c>
      <c r="J30" s="26">
        <v>3165.12</v>
      </c>
      <c r="L30" s="24" t="s">
        <v>1268</v>
      </c>
      <c r="M30">
        <f t="shared" si="6"/>
        <v>149</v>
      </c>
      <c r="N30">
        <f t="shared" si="5"/>
        <v>193</v>
      </c>
      <c r="O30">
        <f t="shared" si="5"/>
        <v>93</v>
      </c>
    </row>
    <row r="31" spans="1:32">
      <c r="A31" s="25">
        <v>45052</v>
      </c>
      <c r="B31" s="24" t="s">
        <v>1263</v>
      </c>
      <c r="C31" s="24" t="s">
        <v>1236</v>
      </c>
      <c r="D31" s="24" t="s">
        <v>1235</v>
      </c>
      <c r="E31" s="24" t="s">
        <v>1231</v>
      </c>
      <c r="F31" s="24" t="s">
        <v>1249</v>
      </c>
      <c r="G31" s="24" t="s">
        <v>1259</v>
      </c>
      <c r="H31" s="26">
        <v>14</v>
      </c>
      <c r="I31" s="26">
        <v>4868.33</v>
      </c>
      <c r="J31" s="26">
        <v>68156.62</v>
      </c>
      <c r="L31" s="24" t="s">
        <v>1270</v>
      </c>
      <c r="M31">
        <f t="shared" si="6"/>
        <v>166</v>
      </c>
      <c r="N31">
        <f t="shared" si="5"/>
        <v>286</v>
      </c>
      <c r="O31">
        <f t="shared" si="5"/>
        <v>141</v>
      </c>
    </row>
    <row r="32" spans="1:32">
      <c r="A32" s="25">
        <v>45258</v>
      </c>
      <c r="B32" s="24" t="s">
        <v>1262</v>
      </c>
      <c r="C32" s="24" t="s">
        <v>1244</v>
      </c>
      <c r="D32" s="24" t="s">
        <v>1243</v>
      </c>
      <c r="E32" s="24" t="s">
        <v>1242</v>
      </c>
      <c r="F32" s="24" t="s">
        <v>128</v>
      </c>
      <c r="G32" s="24" t="s">
        <v>1266</v>
      </c>
      <c r="H32" s="26">
        <v>12</v>
      </c>
      <c r="I32" s="26">
        <v>1958.77</v>
      </c>
      <c r="J32" s="26">
        <v>23505.24</v>
      </c>
      <c r="L32" s="24" t="s">
        <v>1271</v>
      </c>
      <c r="M32">
        <f t="shared" si="6"/>
        <v>269</v>
      </c>
      <c r="N32">
        <f t="shared" si="5"/>
        <v>201</v>
      </c>
      <c r="O32">
        <f t="shared" si="5"/>
        <v>98</v>
      </c>
    </row>
    <row r="33" spans="1:15">
      <c r="A33" s="25">
        <v>44939</v>
      </c>
      <c r="B33" s="24" t="s">
        <v>1256</v>
      </c>
      <c r="C33" s="24" t="s">
        <v>1173</v>
      </c>
      <c r="D33" s="24" t="s">
        <v>1237</v>
      </c>
      <c r="E33" s="24" t="s">
        <v>1229</v>
      </c>
      <c r="F33" s="24" t="s">
        <v>145</v>
      </c>
      <c r="G33" s="24" t="s">
        <v>1261</v>
      </c>
      <c r="H33" s="26">
        <v>10</v>
      </c>
      <c r="I33" s="26">
        <v>3690.75</v>
      </c>
      <c r="J33" s="26">
        <v>36907.5</v>
      </c>
      <c r="L33" s="24" t="s">
        <v>1272</v>
      </c>
      <c r="M33">
        <f t="shared" si="6"/>
        <v>140</v>
      </c>
      <c r="N33">
        <f t="shared" si="5"/>
        <v>269</v>
      </c>
      <c r="O33">
        <f t="shared" si="5"/>
        <v>49</v>
      </c>
    </row>
    <row r="34" spans="1:15">
      <c r="A34" s="25">
        <v>45097</v>
      </c>
      <c r="B34" s="24" t="s">
        <v>1256</v>
      </c>
      <c r="C34" s="24" t="s">
        <v>1248</v>
      </c>
      <c r="D34" s="24" t="s">
        <v>1230</v>
      </c>
      <c r="E34" s="24" t="s">
        <v>1229</v>
      </c>
      <c r="F34" s="24" t="s">
        <v>145</v>
      </c>
      <c r="G34" s="24" t="s">
        <v>1261</v>
      </c>
      <c r="H34" s="26">
        <v>17</v>
      </c>
      <c r="I34" s="26">
        <v>1037.05</v>
      </c>
      <c r="J34" s="26">
        <v>17629.849999999999</v>
      </c>
      <c r="L34" s="24" t="s">
        <v>1273</v>
      </c>
      <c r="M34">
        <f t="shared" si="6"/>
        <v>124</v>
      </c>
      <c r="N34">
        <f t="shared" si="5"/>
        <v>309</v>
      </c>
      <c r="O34">
        <f t="shared" si="5"/>
        <v>79</v>
      </c>
    </row>
    <row r="35" spans="1:15">
      <c r="A35" s="25">
        <v>44937</v>
      </c>
      <c r="B35" s="24" t="s">
        <v>1267</v>
      </c>
      <c r="C35" s="24" t="s">
        <v>1238</v>
      </c>
      <c r="D35" s="24" t="s">
        <v>1235</v>
      </c>
      <c r="E35" s="24" t="s">
        <v>1231</v>
      </c>
      <c r="F35" s="24" t="s">
        <v>1249</v>
      </c>
      <c r="G35" s="24" t="s">
        <v>1272</v>
      </c>
      <c r="H35" s="26">
        <v>17</v>
      </c>
      <c r="I35" s="26">
        <v>2215.5500000000002</v>
      </c>
      <c r="J35" s="26">
        <v>37664.35</v>
      </c>
      <c r="L35" s="24" t="s">
        <v>1274</v>
      </c>
      <c r="M35">
        <f t="shared" si="6"/>
        <v>179</v>
      </c>
      <c r="N35">
        <f t="shared" si="5"/>
        <v>258</v>
      </c>
      <c r="O35">
        <f t="shared" si="5"/>
        <v>162</v>
      </c>
    </row>
    <row r="36" spans="1:15">
      <c r="A36" s="25">
        <v>45260</v>
      </c>
      <c r="B36" s="24" t="s">
        <v>1267</v>
      </c>
      <c r="C36" s="24" t="s">
        <v>1240</v>
      </c>
      <c r="D36" s="24" t="s">
        <v>1232</v>
      </c>
      <c r="E36" s="24" t="s">
        <v>1231</v>
      </c>
      <c r="F36" s="24" t="s">
        <v>128</v>
      </c>
      <c r="G36" s="24" t="s">
        <v>1273</v>
      </c>
      <c r="H36" s="26">
        <v>19</v>
      </c>
      <c r="I36" s="26">
        <v>1343.6</v>
      </c>
      <c r="J36" s="26">
        <v>25528.400000000001</v>
      </c>
      <c r="L36" s="24" t="s">
        <v>1275</v>
      </c>
      <c r="M36">
        <f t="shared" si="6"/>
        <v>241</v>
      </c>
      <c r="N36">
        <f t="shared" si="5"/>
        <v>205</v>
      </c>
      <c r="O36">
        <f t="shared" si="5"/>
        <v>178</v>
      </c>
    </row>
    <row r="37" spans="1:15">
      <c r="A37" s="25">
        <v>45056</v>
      </c>
      <c r="B37" s="24" t="s">
        <v>1267</v>
      </c>
      <c r="C37" s="24" t="s">
        <v>1239</v>
      </c>
      <c r="D37" s="24" t="s">
        <v>1237</v>
      </c>
      <c r="E37" s="24" t="s">
        <v>1229</v>
      </c>
      <c r="F37" s="24" t="s">
        <v>1249</v>
      </c>
      <c r="G37" s="24" t="s">
        <v>1259</v>
      </c>
      <c r="H37" s="26">
        <v>8</v>
      </c>
      <c r="I37" s="26">
        <v>4455.43</v>
      </c>
      <c r="J37" s="26">
        <v>35643.440000000002</v>
      </c>
      <c r="L37" s="24" t="s">
        <v>1276</v>
      </c>
      <c r="M37">
        <f t="shared" si="6"/>
        <v>150</v>
      </c>
      <c r="N37">
        <f t="shared" si="6"/>
        <v>146</v>
      </c>
      <c r="O37">
        <f t="shared" ref="O37:O40" si="7">SUMIFS($H:$H,$G:$G,$L37,$E:$E,O$20)</f>
        <v>105</v>
      </c>
    </row>
    <row r="38" spans="1:15">
      <c r="A38" s="25">
        <v>44950</v>
      </c>
      <c r="B38" s="24" t="s">
        <v>1263</v>
      </c>
      <c r="C38" s="24" t="s">
        <v>1233</v>
      </c>
      <c r="D38" s="24" t="s">
        <v>1232</v>
      </c>
      <c r="E38" s="24" t="s">
        <v>1231</v>
      </c>
      <c r="F38" s="24" t="s">
        <v>145</v>
      </c>
      <c r="G38" s="24" t="s">
        <v>1274</v>
      </c>
      <c r="H38" s="26">
        <v>9</v>
      </c>
      <c r="I38" s="26">
        <v>3892.79</v>
      </c>
      <c r="J38" s="26">
        <v>35035.11</v>
      </c>
      <c r="L38" s="24" t="s">
        <v>1277</v>
      </c>
      <c r="M38">
        <f t="shared" si="6"/>
        <v>216</v>
      </c>
      <c r="N38">
        <f t="shared" si="6"/>
        <v>272</v>
      </c>
      <c r="O38">
        <f t="shared" si="7"/>
        <v>141</v>
      </c>
    </row>
    <row r="39" spans="1:15">
      <c r="A39" s="25">
        <v>45266</v>
      </c>
      <c r="B39" s="24" t="s">
        <v>1263</v>
      </c>
      <c r="C39" s="24" t="s">
        <v>1247</v>
      </c>
      <c r="D39" s="24" t="s">
        <v>1243</v>
      </c>
      <c r="E39" s="24" t="s">
        <v>1242</v>
      </c>
      <c r="F39" s="24" t="s">
        <v>120</v>
      </c>
      <c r="G39" s="24" t="s">
        <v>1165</v>
      </c>
      <c r="H39" s="26">
        <v>9</v>
      </c>
      <c r="I39" s="26">
        <v>4618.59</v>
      </c>
      <c r="J39" s="26">
        <v>41567.31</v>
      </c>
      <c r="L39" s="24" t="s">
        <v>1278</v>
      </c>
      <c r="M39">
        <f t="shared" si="6"/>
        <v>188</v>
      </c>
      <c r="N39">
        <f t="shared" si="6"/>
        <v>212</v>
      </c>
      <c r="O39">
        <f t="shared" si="7"/>
        <v>42</v>
      </c>
    </row>
    <row r="40" spans="1:15">
      <c r="A40" s="25">
        <v>45161</v>
      </c>
      <c r="B40" s="24" t="s">
        <v>1265</v>
      </c>
      <c r="C40" s="24" t="s">
        <v>1238</v>
      </c>
      <c r="D40" s="24" t="s">
        <v>1235</v>
      </c>
      <c r="E40" s="24" t="s">
        <v>1231</v>
      </c>
      <c r="F40" s="24" t="s">
        <v>128</v>
      </c>
      <c r="G40" s="24" t="s">
        <v>1273</v>
      </c>
      <c r="H40" s="26">
        <v>11</v>
      </c>
      <c r="I40" s="26">
        <v>3385.93</v>
      </c>
      <c r="J40" s="26">
        <v>37245.230000000003</v>
      </c>
      <c r="L40" s="24" t="s">
        <v>1279</v>
      </c>
      <c r="M40">
        <f t="shared" si="6"/>
        <v>186</v>
      </c>
      <c r="N40">
        <f t="shared" si="6"/>
        <v>263</v>
      </c>
      <c r="O40">
        <f t="shared" si="7"/>
        <v>73</v>
      </c>
    </row>
    <row r="41" spans="1:15">
      <c r="A41" s="25">
        <v>44975</v>
      </c>
      <c r="B41" s="24" t="s">
        <v>1263</v>
      </c>
      <c r="C41" s="24" t="s">
        <v>1248</v>
      </c>
      <c r="D41" s="24" t="s">
        <v>1230</v>
      </c>
      <c r="E41" s="24" t="s">
        <v>1229</v>
      </c>
      <c r="F41" s="24" t="s">
        <v>145</v>
      </c>
      <c r="G41" s="24" t="s">
        <v>1261</v>
      </c>
      <c r="H41" s="26">
        <v>14</v>
      </c>
      <c r="I41" s="26">
        <v>2452.98</v>
      </c>
      <c r="J41" s="26">
        <v>34341.72</v>
      </c>
    </row>
    <row r="42" spans="1:15">
      <c r="A42" s="25">
        <v>45142</v>
      </c>
      <c r="B42" s="24" t="s">
        <v>1252</v>
      </c>
      <c r="C42" s="24" t="s">
        <v>1241</v>
      </c>
      <c r="D42" s="24" t="s">
        <v>1235</v>
      </c>
      <c r="E42" s="24" t="s">
        <v>1231</v>
      </c>
      <c r="F42" s="24" t="s">
        <v>120</v>
      </c>
      <c r="G42" s="24" t="s">
        <v>1164</v>
      </c>
      <c r="H42" s="26">
        <v>16</v>
      </c>
      <c r="I42" s="26">
        <v>695.96</v>
      </c>
      <c r="J42" s="26">
        <v>11135.36</v>
      </c>
      <c r="L42" s="27" t="s">
        <v>1224</v>
      </c>
      <c r="M42" s="20" t="s">
        <v>1228</v>
      </c>
    </row>
    <row r="43" spans="1:15">
      <c r="A43" s="25">
        <v>44986</v>
      </c>
      <c r="B43" s="24" t="s">
        <v>1258</v>
      </c>
      <c r="C43" s="24" t="s">
        <v>1248</v>
      </c>
      <c r="D43" s="24" t="s">
        <v>1230</v>
      </c>
      <c r="E43" s="24" t="s">
        <v>1229</v>
      </c>
      <c r="F43" s="24" t="s">
        <v>120</v>
      </c>
      <c r="G43" s="24" t="s">
        <v>1275</v>
      </c>
      <c r="H43" s="26">
        <v>1</v>
      </c>
      <c r="I43" s="26">
        <v>1979.54</v>
      </c>
      <c r="J43" s="26">
        <v>1979.54</v>
      </c>
      <c r="L43" s="24" t="s">
        <v>1237</v>
      </c>
      <c r="M43">
        <f>AVERAGEIF(D:D,L43,J:J)</f>
        <v>27830.673719806764</v>
      </c>
    </row>
    <row r="44" spans="1:15">
      <c r="A44" s="25">
        <v>45016</v>
      </c>
      <c r="B44" s="24" t="s">
        <v>1262</v>
      </c>
      <c r="C44" s="24" t="s">
        <v>1247</v>
      </c>
      <c r="D44" s="24" t="s">
        <v>1243</v>
      </c>
      <c r="E44" s="24" t="s">
        <v>1242</v>
      </c>
      <c r="F44" s="24" t="s">
        <v>145</v>
      </c>
      <c r="G44" s="24" t="s">
        <v>1255</v>
      </c>
      <c r="H44" s="26">
        <v>9</v>
      </c>
      <c r="I44" s="26">
        <v>3727.82</v>
      </c>
      <c r="J44" s="26">
        <v>33550.379999999997</v>
      </c>
      <c r="L44" s="24" t="s">
        <v>1232</v>
      </c>
      <c r="M44">
        <f t="shared" ref="M44:M47" si="8">AVERAGEIF(D:D,L44,J:J)</f>
        <v>27134.402211538465</v>
      </c>
    </row>
    <row r="45" spans="1:15">
      <c r="A45" s="25">
        <v>45031</v>
      </c>
      <c r="B45" s="24" t="s">
        <v>1252</v>
      </c>
      <c r="C45" s="24" t="s">
        <v>1169</v>
      </c>
      <c r="D45" s="24" t="s">
        <v>1230</v>
      </c>
      <c r="E45" s="24" t="s">
        <v>1229</v>
      </c>
      <c r="F45" s="24" t="s">
        <v>1249</v>
      </c>
      <c r="G45" s="24" t="s">
        <v>1272</v>
      </c>
      <c r="H45" s="26">
        <v>1</v>
      </c>
      <c r="I45" s="26">
        <v>1495.61</v>
      </c>
      <c r="J45" s="26">
        <v>1495.61</v>
      </c>
      <c r="L45" s="24" t="s">
        <v>1235</v>
      </c>
      <c r="M45">
        <f t="shared" si="8"/>
        <v>26483.015047169814</v>
      </c>
    </row>
    <row r="46" spans="1:15">
      <c r="A46" s="25">
        <v>45288</v>
      </c>
      <c r="B46" s="24" t="s">
        <v>1265</v>
      </c>
      <c r="C46" s="24" t="s">
        <v>1171</v>
      </c>
      <c r="D46" s="24" t="s">
        <v>1237</v>
      </c>
      <c r="E46" s="24" t="s">
        <v>1229</v>
      </c>
      <c r="F46" s="24" t="s">
        <v>128</v>
      </c>
      <c r="G46" s="24" t="s">
        <v>1264</v>
      </c>
      <c r="H46" s="26">
        <v>18</v>
      </c>
      <c r="I46" s="26">
        <v>1928.15</v>
      </c>
      <c r="J46" s="26">
        <v>34706.699999999997</v>
      </c>
      <c r="L46" s="24" t="s">
        <v>1230</v>
      </c>
      <c r="M46">
        <f t="shared" si="8"/>
        <v>28533.112000000012</v>
      </c>
    </row>
    <row r="47" spans="1:15">
      <c r="A47" s="25">
        <v>44989</v>
      </c>
      <c r="B47" s="24" t="s">
        <v>1260</v>
      </c>
      <c r="C47" s="24" t="s">
        <v>1171</v>
      </c>
      <c r="D47" s="24" t="s">
        <v>1237</v>
      </c>
      <c r="E47" s="24" t="s">
        <v>1229</v>
      </c>
      <c r="F47" s="24" t="s">
        <v>145</v>
      </c>
      <c r="G47" s="24" t="s">
        <v>1261</v>
      </c>
      <c r="H47" s="26">
        <v>1</v>
      </c>
      <c r="I47" s="26">
        <v>4192.3900000000003</v>
      </c>
      <c r="J47" s="26">
        <v>4192.3900000000003</v>
      </c>
      <c r="L47" s="24" t="s">
        <v>1243</v>
      </c>
      <c r="M47">
        <f t="shared" si="8"/>
        <v>26873.913056994821</v>
      </c>
    </row>
    <row r="48" spans="1:15">
      <c r="A48" s="25">
        <v>44961</v>
      </c>
      <c r="B48" s="24" t="s">
        <v>1265</v>
      </c>
      <c r="C48" s="24" t="s">
        <v>1233</v>
      </c>
      <c r="D48" s="24" t="s">
        <v>1232</v>
      </c>
      <c r="E48" s="24" t="s">
        <v>1231</v>
      </c>
      <c r="F48" s="24" t="s">
        <v>120</v>
      </c>
      <c r="G48" s="24" t="s">
        <v>1276</v>
      </c>
      <c r="H48" s="26">
        <v>7</v>
      </c>
      <c r="I48" s="26">
        <v>4988.71</v>
      </c>
      <c r="J48" s="26">
        <v>34920.97</v>
      </c>
    </row>
    <row r="49" spans="1:17">
      <c r="A49" s="25">
        <v>45035</v>
      </c>
      <c r="B49" s="24" t="s">
        <v>1263</v>
      </c>
      <c r="C49" s="24" t="s">
        <v>1238</v>
      </c>
      <c r="D49" s="24" t="s">
        <v>1235</v>
      </c>
      <c r="E49" s="24" t="s">
        <v>1231</v>
      </c>
      <c r="F49" s="24" t="s">
        <v>128</v>
      </c>
      <c r="G49" s="24" t="s">
        <v>1264</v>
      </c>
      <c r="H49" s="26">
        <v>9</v>
      </c>
      <c r="I49" s="26">
        <v>1328.13</v>
      </c>
      <c r="J49" s="26">
        <v>11953.17</v>
      </c>
      <c r="L49" s="23" t="s">
        <v>1380</v>
      </c>
      <c r="M49" s="27" t="s">
        <v>1237</v>
      </c>
      <c r="N49" s="27" t="s">
        <v>1232</v>
      </c>
      <c r="O49" s="27" t="s">
        <v>1235</v>
      </c>
      <c r="P49" s="27" t="s">
        <v>1230</v>
      </c>
      <c r="Q49" s="27" t="s">
        <v>1243</v>
      </c>
    </row>
    <row r="50" spans="1:17">
      <c r="A50" s="25">
        <v>45190</v>
      </c>
      <c r="B50" s="24" t="s">
        <v>1265</v>
      </c>
      <c r="C50" s="24" t="s">
        <v>1173</v>
      </c>
      <c r="D50" s="24" t="s">
        <v>1237</v>
      </c>
      <c r="E50" s="24" t="s">
        <v>1229</v>
      </c>
      <c r="F50" s="24" t="s">
        <v>132</v>
      </c>
      <c r="G50" s="24" t="s">
        <v>1277</v>
      </c>
      <c r="H50" s="26">
        <v>9</v>
      </c>
      <c r="I50" s="26">
        <v>722.44</v>
      </c>
      <c r="J50" s="26">
        <v>6501.96</v>
      </c>
      <c r="L50" s="24" t="s">
        <v>1253</v>
      </c>
      <c r="M50">
        <f>AVERAGEIFS($J:$J,$G:$G,$L50,$D:$D,M$49)</f>
        <v>38662.597000000002</v>
      </c>
      <c r="N50">
        <f t="shared" ref="N50:Q65" si="9">AVERAGEIFS($J:$J,$G:$G,$L50,$D:$D,N$49)</f>
        <v>35085.671428571426</v>
      </c>
      <c r="O50">
        <f t="shared" si="9"/>
        <v>23067.121111111115</v>
      </c>
      <c r="P50">
        <f t="shared" si="9"/>
        <v>32837.26</v>
      </c>
      <c r="Q50">
        <f t="shared" si="9"/>
        <v>15672.716153846159</v>
      </c>
    </row>
    <row r="51" spans="1:17">
      <c r="A51" s="25">
        <v>45220</v>
      </c>
      <c r="B51" s="24" t="s">
        <v>1256</v>
      </c>
      <c r="C51" s="24" t="s">
        <v>1239</v>
      </c>
      <c r="D51" s="24" t="s">
        <v>1237</v>
      </c>
      <c r="E51" s="24" t="s">
        <v>1229</v>
      </c>
      <c r="F51" s="24" t="s">
        <v>128</v>
      </c>
      <c r="G51" s="24" t="s">
        <v>1264</v>
      </c>
      <c r="H51" s="26">
        <v>2</v>
      </c>
      <c r="I51" s="26">
        <v>4726.0600000000004</v>
      </c>
      <c r="J51" s="26">
        <v>9452.1200000000008</v>
      </c>
      <c r="L51" s="24" t="s">
        <v>1255</v>
      </c>
      <c r="M51">
        <f t="shared" ref="M51:Q69" si="10">AVERAGEIFS($J:$J,$G:$G,$L51,$D:$D,M$49)</f>
        <v>43785.45785714285</v>
      </c>
      <c r="N51">
        <f t="shared" si="9"/>
        <v>30057.322727272731</v>
      </c>
      <c r="O51">
        <f t="shared" si="9"/>
        <v>31485.851111111115</v>
      </c>
      <c r="P51">
        <f t="shared" si="9"/>
        <v>26490.767777777783</v>
      </c>
      <c r="Q51">
        <f t="shared" si="9"/>
        <v>18489.218181818178</v>
      </c>
    </row>
    <row r="52" spans="1:17">
      <c r="A52" s="25">
        <v>44963</v>
      </c>
      <c r="B52" s="24" t="s">
        <v>1263</v>
      </c>
      <c r="C52" s="24" t="s">
        <v>1241</v>
      </c>
      <c r="D52" s="24" t="s">
        <v>1235</v>
      </c>
      <c r="E52" s="24" t="s">
        <v>1231</v>
      </c>
      <c r="F52" s="24" t="s">
        <v>128</v>
      </c>
      <c r="G52" s="24" t="s">
        <v>1266</v>
      </c>
      <c r="H52" s="26">
        <v>3</v>
      </c>
      <c r="I52" s="26">
        <v>2263.4699999999998</v>
      </c>
      <c r="J52" s="26">
        <v>6790.41</v>
      </c>
      <c r="L52" s="24" t="s">
        <v>1257</v>
      </c>
      <c r="M52">
        <f t="shared" si="10"/>
        <v>30640.467857142856</v>
      </c>
      <c r="N52">
        <f t="shared" si="9"/>
        <v>29541.248333333333</v>
      </c>
      <c r="O52">
        <f t="shared" si="9"/>
        <v>24915.604615384618</v>
      </c>
      <c r="P52">
        <f t="shared" si="9"/>
        <v>36623.430625000001</v>
      </c>
      <c r="Q52">
        <f t="shared" si="9"/>
        <v>17321.052222222221</v>
      </c>
    </row>
    <row r="53" spans="1:17">
      <c r="A53" s="25">
        <v>45042</v>
      </c>
      <c r="B53" s="24" t="s">
        <v>1256</v>
      </c>
      <c r="C53" s="24" t="s">
        <v>1236</v>
      </c>
      <c r="D53" s="24" t="s">
        <v>1235</v>
      </c>
      <c r="E53" s="24" t="s">
        <v>1231</v>
      </c>
      <c r="F53" s="24" t="s">
        <v>132</v>
      </c>
      <c r="G53" s="24" t="s">
        <v>1271</v>
      </c>
      <c r="H53" s="26">
        <v>20</v>
      </c>
      <c r="I53" s="26">
        <v>4365.58</v>
      </c>
      <c r="J53" s="26">
        <v>87311.6</v>
      </c>
      <c r="L53" s="24" t="s">
        <v>1259</v>
      </c>
      <c r="M53">
        <f t="shared" si="10"/>
        <v>22604.764999999999</v>
      </c>
      <c r="N53">
        <f t="shared" si="9"/>
        <v>22387.314545454548</v>
      </c>
      <c r="O53">
        <f t="shared" si="9"/>
        <v>18460.167142857143</v>
      </c>
      <c r="P53">
        <f t="shared" si="9"/>
        <v>33434.662499999999</v>
      </c>
      <c r="Q53">
        <f t="shared" si="9"/>
        <v>30643.447777777779</v>
      </c>
    </row>
    <row r="54" spans="1:17">
      <c r="A54" s="25">
        <v>44942</v>
      </c>
      <c r="B54" s="24" t="s">
        <v>1267</v>
      </c>
      <c r="C54" s="24" t="s">
        <v>1245</v>
      </c>
      <c r="D54" s="24" t="s">
        <v>1243</v>
      </c>
      <c r="E54" s="24" t="s">
        <v>1242</v>
      </c>
      <c r="F54" s="24" t="s">
        <v>120</v>
      </c>
      <c r="G54" s="24" t="s">
        <v>1164</v>
      </c>
      <c r="H54" s="26">
        <v>20</v>
      </c>
      <c r="I54" s="26">
        <v>3925.65</v>
      </c>
      <c r="J54" s="26">
        <v>78513</v>
      </c>
      <c r="L54" s="24" t="s">
        <v>1261</v>
      </c>
      <c r="M54">
        <f t="shared" si="10"/>
        <v>21005.857272727266</v>
      </c>
      <c r="N54">
        <f t="shared" si="9"/>
        <v>38438.672500000001</v>
      </c>
      <c r="O54">
        <f t="shared" si="9"/>
        <v>27159.828000000001</v>
      </c>
      <c r="P54">
        <f t="shared" si="9"/>
        <v>27662.045000000002</v>
      </c>
      <c r="Q54">
        <f t="shared" si="9"/>
        <v>27295.468000000001</v>
      </c>
    </row>
    <row r="55" spans="1:17">
      <c r="A55" s="25">
        <v>45202</v>
      </c>
      <c r="B55" s="24" t="s">
        <v>1254</v>
      </c>
      <c r="C55" s="24" t="s">
        <v>1233</v>
      </c>
      <c r="D55" s="24" t="s">
        <v>1232</v>
      </c>
      <c r="E55" s="24" t="s">
        <v>1231</v>
      </c>
      <c r="F55" s="24" t="s">
        <v>132</v>
      </c>
      <c r="G55" s="24" t="s">
        <v>1277</v>
      </c>
      <c r="H55" s="26">
        <v>3</v>
      </c>
      <c r="I55" s="26">
        <v>3613.98</v>
      </c>
      <c r="J55" s="26">
        <v>10841.94</v>
      </c>
      <c r="L55" s="24" t="s">
        <v>1164</v>
      </c>
      <c r="M55">
        <f t="shared" si="10"/>
        <v>20493.717000000001</v>
      </c>
      <c r="N55">
        <f t="shared" si="9"/>
        <v>30791.050769230766</v>
      </c>
      <c r="O55">
        <f t="shared" si="9"/>
        <v>19381.846000000001</v>
      </c>
      <c r="P55">
        <f t="shared" si="9"/>
        <v>24442.227999999996</v>
      </c>
      <c r="Q55">
        <f t="shared" si="9"/>
        <v>29032.670000000002</v>
      </c>
    </row>
    <row r="56" spans="1:17">
      <c r="A56" s="25">
        <v>45088</v>
      </c>
      <c r="B56" s="24" t="s">
        <v>1265</v>
      </c>
      <c r="C56" s="24" t="s">
        <v>1171</v>
      </c>
      <c r="D56" s="24" t="s">
        <v>1237</v>
      </c>
      <c r="E56" s="24" t="s">
        <v>1229</v>
      </c>
      <c r="F56" s="24" t="s">
        <v>145</v>
      </c>
      <c r="G56" s="24" t="s">
        <v>1274</v>
      </c>
      <c r="H56" s="26">
        <v>7</v>
      </c>
      <c r="I56" s="26">
        <v>2483.54</v>
      </c>
      <c r="J56" s="26">
        <v>17384.78</v>
      </c>
      <c r="L56" s="24" t="s">
        <v>1165</v>
      </c>
      <c r="M56">
        <f t="shared" si="10"/>
        <v>30650.07</v>
      </c>
      <c r="N56">
        <f t="shared" si="9"/>
        <v>17166.381818181821</v>
      </c>
      <c r="O56">
        <f t="shared" si="9"/>
        <v>16054.804545454546</v>
      </c>
      <c r="P56">
        <f t="shared" si="9"/>
        <v>18891.224285714281</v>
      </c>
      <c r="Q56">
        <f t="shared" si="9"/>
        <v>29154.786666666663</v>
      </c>
    </row>
    <row r="57" spans="1:17">
      <c r="A57" s="25">
        <v>45201</v>
      </c>
      <c r="B57" s="24" t="s">
        <v>1260</v>
      </c>
      <c r="C57" s="24" t="s">
        <v>1244</v>
      </c>
      <c r="D57" s="24" t="s">
        <v>1243</v>
      </c>
      <c r="E57" s="24" t="s">
        <v>1242</v>
      </c>
      <c r="F57" s="24" t="s">
        <v>132</v>
      </c>
      <c r="G57" s="24" t="s">
        <v>1277</v>
      </c>
      <c r="H57" s="26">
        <v>14</v>
      </c>
      <c r="I57" s="26">
        <v>2145.21</v>
      </c>
      <c r="J57" s="26">
        <v>30032.94</v>
      </c>
      <c r="L57" s="24" t="s">
        <v>1264</v>
      </c>
      <c r="M57">
        <f t="shared" si="10"/>
        <v>23413.66153846154</v>
      </c>
      <c r="N57">
        <f t="shared" si="9"/>
        <v>19109.514166666664</v>
      </c>
      <c r="O57">
        <f t="shared" si="9"/>
        <v>30651.684285714284</v>
      </c>
      <c r="P57">
        <f t="shared" si="9"/>
        <v>18084.935000000001</v>
      </c>
      <c r="Q57">
        <f t="shared" si="9"/>
        <v>26026.233</v>
      </c>
    </row>
    <row r="58" spans="1:17">
      <c r="A58" s="25">
        <v>45254</v>
      </c>
      <c r="B58" s="24" t="s">
        <v>1265</v>
      </c>
      <c r="C58" s="24" t="s">
        <v>1238</v>
      </c>
      <c r="D58" s="24" t="s">
        <v>1235</v>
      </c>
      <c r="E58" s="24" t="s">
        <v>1231</v>
      </c>
      <c r="F58" s="24" t="s">
        <v>120</v>
      </c>
      <c r="G58" s="24" t="s">
        <v>1275</v>
      </c>
      <c r="H58" s="26">
        <v>8</v>
      </c>
      <c r="I58" s="26">
        <v>4997.45</v>
      </c>
      <c r="J58" s="26">
        <v>39979.599999999999</v>
      </c>
      <c r="L58" s="24" t="s">
        <v>1266</v>
      </c>
      <c r="M58">
        <f t="shared" si="10"/>
        <v>27481.546153846153</v>
      </c>
      <c r="N58">
        <f t="shared" si="9"/>
        <v>27920.510714285716</v>
      </c>
      <c r="O58">
        <f t="shared" si="9"/>
        <v>17877.334999999999</v>
      </c>
      <c r="P58">
        <f t="shared" si="9"/>
        <v>18763.748333333333</v>
      </c>
      <c r="Q58">
        <f t="shared" si="9"/>
        <v>37175.017500000002</v>
      </c>
    </row>
    <row r="59" spans="1:17">
      <c r="A59" s="25">
        <v>45116</v>
      </c>
      <c r="B59" s="24" t="s">
        <v>1267</v>
      </c>
      <c r="C59" s="24" t="s">
        <v>1248</v>
      </c>
      <c r="D59" s="24" t="s">
        <v>1230</v>
      </c>
      <c r="E59" s="24" t="s">
        <v>1229</v>
      </c>
      <c r="F59" s="24" t="s">
        <v>120</v>
      </c>
      <c r="G59" s="24" t="s">
        <v>1165</v>
      </c>
      <c r="H59" s="26">
        <v>3</v>
      </c>
      <c r="I59" s="26">
        <v>1753.98</v>
      </c>
      <c r="J59" s="26">
        <v>5261.94</v>
      </c>
      <c r="L59" s="24" t="s">
        <v>1268</v>
      </c>
      <c r="M59">
        <f t="shared" si="10"/>
        <v>38081.866249999999</v>
      </c>
      <c r="N59">
        <f t="shared" si="9"/>
        <v>23350.72923076923</v>
      </c>
      <c r="O59">
        <f t="shared" si="9"/>
        <v>19208.84375</v>
      </c>
      <c r="P59">
        <f t="shared" si="9"/>
        <v>31220.098571428571</v>
      </c>
      <c r="Q59">
        <f t="shared" si="9"/>
        <v>30889.668888888886</v>
      </c>
    </row>
    <row r="60" spans="1:17">
      <c r="A60" s="25">
        <v>45036</v>
      </c>
      <c r="B60" s="24" t="s">
        <v>1262</v>
      </c>
      <c r="C60" s="24" t="s">
        <v>1236</v>
      </c>
      <c r="D60" s="24" t="s">
        <v>1235</v>
      </c>
      <c r="E60" s="24" t="s">
        <v>1231</v>
      </c>
      <c r="F60" s="24" t="s">
        <v>120</v>
      </c>
      <c r="G60" s="24" t="s">
        <v>1275</v>
      </c>
      <c r="H60" s="26">
        <v>2</v>
      </c>
      <c r="I60" s="26">
        <v>1207.92</v>
      </c>
      <c r="J60" s="26">
        <v>2415.84</v>
      </c>
      <c r="L60" s="24" t="s">
        <v>1270</v>
      </c>
      <c r="M60">
        <f t="shared" si="10"/>
        <v>13318.489999999998</v>
      </c>
      <c r="N60">
        <f t="shared" si="9"/>
        <v>40036.877500000002</v>
      </c>
      <c r="O60">
        <f t="shared" si="9"/>
        <v>31959.315624999999</v>
      </c>
      <c r="P60">
        <f t="shared" si="9"/>
        <v>29435.414444444443</v>
      </c>
      <c r="Q60">
        <f t="shared" si="9"/>
        <v>30991.66272727272</v>
      </c>
    </row>
    <row r="61" spans="1:17">
      <c r="A61" s="25">
        <v>44995</v>
      </c>
      <c r="B61" s="24" t="s">
        <v>1258</v>
      </c>
      <c r="C61" s="24" t="s">
        <v>1173</v>
      </c>
      <c r="D61" s="24" t="s">
        <v>1237</v>
      </c>
      <c r="E61" s="24" t="s">
        <v>1229</v>
      </c>
      <c r="F61" s="24" t="s">
        <v>120</v>
      </c>
      <c r="G61" s="24" t="s">
        <v>1276</v>
      </c>
      <c r="H61" s="26">
        <v>13</v>
      </c>
      <c r="I61" s="26">
        <v>4196.33</v>
      </c>
      <c r="J61" s="26">
        <v>54552.29</v>
      </c>
      <c r="L61" s="24" t="s">
        <v>1271</v>
      </c>
      <c r="M61">
        <f t="shared" si="10"/>
        <v>24333.632142857143</v>
      </c>
      <c r="N61">
        <f t="shared" si="9"/>
        <v>16080.82</v>
      </c>
      <c r="O61">
        <f t="shared" si="9"/>
        <v>32533.198666666667</v>
      </c>
      <c r="P61">
        <f t="shared" si="9"/>
        <v>25486.045000000002</v>
      </c>
      <c r="Q61">
        <f t="shared" si="9"/>
        <v>23029.406666666666</v>
      </c>
    </row>
    <row r="62" spans="1:17">
      <c r="A62" s="25">
        <v>45049</v>
      </c>
      <c r="B62" s="24" t="s">
        <v>1269</v>
      </c>
      <c r="C62" s="24" t="s">
        <v>1246</v>
      </c>
      <c r="D62" s="24" t="s">
        <v>1230</v>
      </c>
      <c r="E62" s="24" t="s">
        <v>1229</v>
      </c>
      <c r="F62" s="24" t="s">
        <v>145</v>
      </c>
      <c r="G62" s="24" t="s">
        <v>1255</v>
      </c>
      <c r="H62" s="26">
        <v>18</v>
      </c>
      <c r="I62" s="26">
        <v>1310.78</v>
      </c>
      <c r="J62" s="26">
        <v>23594.04</v>
      </c>
      <c r="L62" s="24" t="s">
        <v>1272</v>
      </c>
      <c r="M62">
        <f t="shared" si="10"/>
        <v>17657.137999999999</v>
      </c>
      <c r="N62">
        <f t="shared" si="9"/>
        <v>37448.047272727272</v>
      </c>
      <c r="O62">
        <f t="shared" si="9"/>
        <v>22077.200909090905</v>
      </c>
      <c r="P62">
        <f t="shared" si="9"/>
        <v>21420.663333333334</v>
      </c>
      <c r="Q62">
        <f t="shared" si="9"/>
        <v>25667.204000000002</v>
      </c>
    </row>
    <row r="63" spans="1:17">
      <c r="A63" s="25">
        <v>45228</v>
      </c>
      <c r="B63" s="24" t="s">
        <v>1267</v>
      </c>
      <c r="C63" s="24" t="s">
        <v>1173</v>
      </c>
      <c r="D63" s="24" t="s">
        <v>1237</v>
      </c>
      <c r="E63" s="24" t="s">
        <v>1229</v>
      </c>
      <c r="F63" s="24" t="s">
        <v>132</v>
      </c>
      <c r="G63" s="24" t="s">
        <v>1277</v>
      </c>
      <c r="H63" s="26">
        <v>20</v>
      </c>
      <c r="I63" s="26">
        <v>2142.9</v>
      </c>
      <c r="J63" s="26">
        <v>42858</v>
      </c>
      <c r="L63" s="24" t="s">
        <v>1273</v>
      </c>
      <c r="M63">
        <f t="shared" si="10"/>
        <v>18048.376666666667</v>
      </c>
      <c r="N63">
        <f t="shared" si="9"/>
        <v>31840.896153846155</v>
      </c>
      <c r="O63">
        <f t="shared" si="9"/>
        <v>33361.73333333333</v>
      </c>
      <c r="P63">
        <f t="shared" si="9"/>
        <v>32038.840000000004</v>
      </c>
      <c r="Q63">
        <f t="shared" si="9"/>
        <v>44804.761666666665</v>
      </c>
    </row>
    <row r="64" spans="1:17">
      <c r="A64" s="25">
        <v>45263</v>
      </c>
      <c r="B64" s="24" t="s">
        <v>1269</v>
      </c>
      <c r="C64" s="24" t="s">
        <v>1245</v>
      </c>
      <c r="D64" s="24" t="s">
        <v>1243</v>
      </c>
      <c r="E64" s="24" t="s">
        <v>1242</v>
      </c>
      <c r="F64" s="24" t="s">
        <v>120</v>
      </c>
      <c r="G64" s="24" t="s">
        <v>1276</v>
      </c>
      <c r="H64" s="26">
        <v>19</v>
      </c>
      <c r="I64" s="26">
        <v>1359.7</v>
      </c>
      <c r="J64" s="26">
        <v>25834.3</v>
      </c>
      <c r="L64" s="24" t="s">
        <v>1274</v>
      </c>
      <c r="M64">
        <f t="shared" si="10"/>
        <v>37838.783749999995</v>
      </c>
      <c r="N64">
        <f t="shared" si="9"/>
        <v>28004.417000000005</v>
      </c>
      <c r="O64">
        <f t="shared" si="9"/>
        <v>39912.095000000001</v>
      </c>
      <c r="P64">
        <f t="shared" si="9"/>
        <v>26236.234000000004</v>
      </c>
      <c r="Q64">
        <f t="shared" si="9"/>
        <v>21468.407857142858</v>
      </c>
    </row>
    <row r="65" spans="1:17">
      <c r="A65" s="25">
        <v>45072</v>
      </c>
      <c r="B65" s="24" t="s">
        <v>1252</v>
      </c>
      <c r="C65" s="24" t="s">
        <v>1238</v>
      </c>
      <c r="D65" s="24" t="s">
        <v>1235</v>
      </c>
      <c r="E65" s="24" t="s">
        <v>1231</v>
      </c>
      <c r="F65" s="24" t="s">
        <v>132</v>
      </c>
      <c r="G65" s="24" t="s">
        <v>1277</v>
      </c>
      <c r="H65" s="26">
        <v>16</v>
      </c>
      <c r="I65" s="26">
        <v>4896.07</v>
      </c>
      <c r="J65" s="26">
        <v>78337.119999999995</v>
      </c>
      <c r="L65" s="24" t="s">
        <v>1275</v>
      </c>
      <c r="M65">
        <f t="shared" si="10"/>
        <v>27004.650909090913</v>
      </c>
      <c r="N65">
        <f t="shared" si="9"/>
        <v>20202.60125</v>
      </c>
      <c r="O65">
        <f t="shared" si="9"/>
        <v>21837.68</v>
      </c>
      <c r="P65">
        <f t="shared" si="9"/>
        <v>39713.643636363639</v>
      </c>
      <c r="Q65">
        <f t="shared" si="9"/>
        <v>28486.251176470589</v>
      </c>
    </row>
    <row r="66" spans="1:17">
      <c r="A66" s="25">
        <v>45286</v>
      </c>
      <c r="B66" s="24" t="s">
        <v>1260</v>
      </c>
      <c r="C66" s="24" t="s">
        <v>1241</v>
      </c>
      <c r="D66" s="24" t="s">
        <v>1235</v>
      </c>
      <c r="E66" s="24" t="s">
        <v>1231</v>
      </c>
      <c r="F66" s="24" t="s">
        <v>145</v>
      </c>
      <c r="G66" s="24" t="s">
        <v>1274</v>
      </c>
      <c r="H66" s="26">
        <v>8</v>
      </c>
      <c r="I66" s="26">
        <v>4216.03</v>
      </c>
      <c r="J66" s="26">
        <v>33728.239999999998</v>
      </c>
      <c r="L66" s="24" t="s">
        <v>1276</v>
      </c>
      <c r="M66">
        <f t="shared" si="10"/>
        <v>23835.444444444438</v>
      </c>
      <c r="N66">
        <f t="shared" si="10"/>
        <v>23809.700714285718</v>
      </c>
      <c r="O66">
        <f t="shared" si="10"/>
        <v>13271.98</v>
      </c>
      <c r="P66">
        <f t="shared" si="10"/>
        <v>22217.923333333336</v>
      </c>
      <c r="Q66">
        <f t="shared" si="10"/>
        <v>36482.33625</v>
      </c>
    </row>
    <row r="67" spans="1:17">
      <c r="A67" s="25">
        <v>45143</v>
      </c>
      <c r="B67" s="24" t="s">
        <v>1258</v>
      </c>
      <c r="C67" s="24" t="s">
        <v>1173</v>
      </c>
      <c r="D67" s="24" t="s">
        <v>1237</v>
      </c>
      <c r="E67" s="24" t="s">
        <v>1229</v>
      </c>
      <c r="F67" s="24" t="s">
        <v>1249</v>
      </c>
      <c r="G67" s="24" t="s">
        <v>1268</v>
      </c>
      <c r="H67" s="26">
        <v>14</v>
      </c>
      <c r="I67" s="26">
        <v>2134.06</v>
      </c>
      <c r="J67" s="26">
        <v>29876.84</v>
      </c>
      <c r="L67" s="24" t="s">
        <v>1277</v>
      </c>
      <c r="M67">
        <f t="shared" si="10"/>
        <v>30217.910909090904</v>
      </c>
      <c r="N67">
        <f t="shared" si="10"/>
        <v>22212.576923076922</v>
      </c>
      <c r="O67">
        <f t="shared" si="10"/>
        <v>35664.82</v>
      </c>
      <c r="P67">
        <f t="shared" si="10"/>
        <v>38399.10833333333</v>
      </c>
      <c r="Q67">
        <f t="shared" si="10"/>
        <v>31648.520714285714</v>
      </c>
    </row>
    <row r="68" spans="1:17">
      <c r="A68" s="25">
        <v>45041</v>
      </c>
      <c r="B68" s="24" t="s">
        <v>1269</v>
      </c>
      <c r="C68" s="24" t="s">
        <v>1244</v>
      </c>
      <c r="D68" s="24" t="s">
        <v>1243</v>
      </c>
      <c r="E68" s="24" t="s">
        <v>1242</v>
      </c>
      <c r="F68" s="24" t="s">
        <v>132</v>
      </c>
      <c r="G68" s="24" t="s">
        <v>1271</v>
      </c>
      <c r="H68" s="26">
        <v>6</v>
      </c>
      <c r="I68" s="26">
        <v>1523.33</v>
      </c>
      <c r="J68" s="26">
        <v>9139.98</v>
      </c>
      <c r="L68" s="24" t="s">
        <v>1278</v>
      </c>
      <c r="M68">
        <f t="shared" si="10"/>
        <v>30544.414999999997</v>
      </c>
      <c r="N68">
        <f t="shared" si="10"/>
        <v>29065.8325</v>
      </c>
      <c r="O68">
        <f t="shared" si="10"/>
        <v>26651.268000000004</v>
      </c>
      <c r="P68">
        <f t="shared" si="10"/>
        <v>37593.99</v>
      </c>
      <c r="Q68">
        <f t="shared" si="10"/>
        <v>35862.337499999994</v>
      </c>
    </row>
    <row r="69" spans="1:17">
      <c r="A69" s="25">
        <v>45043</v>
      </c>
      <c r="B69" s="24" t="s">
        <v>1256</v>
      </c>
      <c r="C69" s="24" t="s">
        <v>1240</v>
      </c>
      <c r="D69" s="24" t="s">
        <v>1232</v>
      </c>
      <c r="E69" s="24" t="s">
        <v>1231</v>
      </c>
      <c r="F69" s="24" t="s">
        <v>1249</v>
      </c>
      <c r="G69" s="24" t="s">
        <v>1259</v>
      </c>
      <c r="H69" s="26">
        <v>13</v>
      </c>
      <c r="I69" s="26">
        <v>646.63</v>
      </c>
      <c r="J69" s="26">
        <v>8406.19</v>
      </c>
      <c r="L69" s="24" t="s">
        <v>1279</v>
      </c>
      <c r="M69">
        <f t="shared" si="10"/>
        <v>31185.264444444445</v>
      </c>
      <c r="N69">
        <f t="shared" si="10"/>
        <v>29243.803333333333</v>
      </c>
      <c r="O69">
        <f t="shared" si="10"/>
        <v>28592.913750000003</v>
      </c>
      <c r="P69">
        <f t="shared" si="10"/>
        <v>42883.333333333336</v>
      </c>
      <c r="Q69">
        <f t="shared" si="10"/>
        <v>16542.956999999999</v>
      </c>
    </row>
    <row r="70" spans="1:17">
      <c r="A70" s="25">
        <v>45016</v>
      </c>
      <c r="B70" s="24" t="s">
        <v>1262</v>
      </c>
      <c r="C70" s="24" t="s">
        <v>1238</v>
      </c>
      <c r="D70" s="24" t="s">
        <v>1235</v>
      </c>
      <c r="E70" s="24" t="s">
        <v>1231</v>
      </c>
      <c r="F70" s="24" t="s">
        <v>145</v>
      </c>
      <c r="G70" s="24" t="s">
        <v>1278</v>
      </c>
      <c r="H70" s="26">
        <v>4</v>
      </c>
      <c r="I70" s="26">
        <v>4965.34</v>
      </c>
      <c r="J70" s="26">
        <v>19861.36</v>
      </c>
    </row>
    <row r="71" spans="1:17">
      <c r="A71" s="25">
        <v>45103</v>
      </c>
      <c r="B71" s="24" t="s">
        <v>1265</v>
      </c>
      <c r="C71" s="24" t="s">
        <v>1173</v>
      </c>
      <c r="D71" s="24" t="s">
        <v>1237</v>
      </c>
      <c r="E71" s="24" t="s">
        <v>1229</v>
      </c>
      <c r="F71" s="24" t="s">
        <v>145</v>
      </c>
      <c r="G71" s="24" t="s">
        <v>1261</v>
      </c>
      <c r="H71" s="26">
        <v>14</v>
      </c>
      <c r="I71" s="26">
        <v>2883.11</v>
      </c>
      <c r="J71" s="26">
        <v>40363.54</v>
      </c>
      <c r="L71" s="20" t="s">
        <v>1175</v>
      </c>
      <c r="M71" s="20" t="s">
        <v>1381</v>
      </c>
      <c r="O71" s="20" t="s">
        <v>1175</v>
      </c>
      <c r="P71" s="20" t="s">
        <v>1382</v>
      </c>
    </row>
    <row r="72" spans="1:17">
      <c r="A72" s="25">
        <v>45095</v>
      </c>
      <c r="B72" s="24" t="s">
        <v>1260</v>
      </c>
      <c r="C72" s="24" t="s">
        <v>1247</v>
      </c>
      <c r="D72" s="24" t="s">
        <v>1243</v>
      </c>
      <c r="E72" s="24" t="s">
        <v>1242</v>
      </c>
      <c r="F72" s="24" t="s">
        <v>1249</v>
      </c>
      <c r="G72" s="24" t="s">
        <v>1268</v>
      </c>
      <c r="H72" s="26">
        <v>9</v>
      </c>
      <c r="I72" s="26">
        <v>2819.87</v>
      </c>
      <c r="J72" s="26">
        <v>25378.83</v>
      </c>
      <c r="L72" s="24" t="s">
        <v>1239</v>
      </c>
      <c r="M72">
        <f>_xlfn.MAXIFS(J:J,C:C,L72)</f>
        <v>87316.38</v>
      </c>
      <c r="O72" t="s">
        <v>1241</v>
      </c>
      <c r="P72">
        <f>_xlfn.MAXIFS(J:J,C:C,O72)</f>
        <v>82928.160000000003</v>
      </c>
    </row>
    <row r="73" spans="1:17">
      <c r="A73" s="25">
        <v>45247</v>
      </c>
      <c r="B73" s="24" t="s">
        <v>1258</v>
      </c>
      <c r="C73" s="24" t="s">
        <v>1171</v>
      </c>
      <c r="D73" s="24" t="s">
        <v>1237</v>
      </c>
      <c r="E73" s="24" t="s">
        <v>1229</v>
      </c>
      <c r="F73" s="24" t="s">
        <v>128</v>
      </c>
      <c r="G73" s="24" t="s">
        <v>1257</v>
      </c>
      <c r="H73" s="26">
        <v>12</v>
      </c>
      <c r="I73" s="26">
        <v>3961.23</v>
      </c>
      <c r="J73" s="26">
        <v>47534.76</v>
      </c>
      <c r="L73" s="24" t="s">
        <v>1234</v>
      </c>
      <c r="M73">
        <f t="shared" ref="M73:M86" si="11">_xlfn.MAXIFS(J:J,C:C,L73)</f>
        <v>95022.8</v>
      </c>
    </row>
    <row r="74" spans="1:17">
      <c r="A74" s="25">
        <v>44987</v>
      </c>
      <c r="B74" s="24" t="s">
        <v>1262</v>
      </c>
      <c r="C74" s="24" t="s">
        <v>1240</v>
      </c>
      <c r="D74" s="24" t="s">
        <v>1232</v>
      </c>
      <c r="E74" s="24" t="s">
        <v>1231</v>
      </c>
      <c r="F74" s="24" t="s">
        <v>128</v>
      </c>
      <c r="G74" s="24" t="s">
        <v>1257</v>
      </c>
      <c r="H74" s="26">
        <v>15</v>
      </c>
      <c r="I74" s="26">
        <v>2194.7199999999998</v>
      </c>
      <c r="J74" s="26">
        <v>32920.800000000003</v>
      </c>
      <c r="L74" s="24" t="s">
        <v>1241</v>
      </c>
      <c r="M74">
        <f t="shared" si="11"/>
        <v>82928.160000000003</v>
      </c>
    </row>
    <row r="75" spans="1:17">
      <c r="A75" s="25">
        <v>45003</v>
      </c>
      <c r="B75" s="24" t="s">
        <v>1260</v>
      </c>
      <c r="C75" s="24" t="s">
        <v>1236</v>
      </c>
      <c r="D75" s="24" t="s">
        <v>1235</v>
      </c>
      <c r="E75" s="24" t="s">
        <v>1231</v>
      </c>
      <c r="F75" s="24" t="s">
        <v>120</v>
      </c>
      <c r="G75" s="24" t="s">
        <v>1275</v>
      </c>
      <c r="H75" s="26">
        <v>5</v>
      </c>
      <c r="I75" s="26">
        <v>3058.74</v>
      </c>
      <c r="J75" s="26">
        <v>15293.7</v>
      </c>
      <c r="L75" s="24" t="s">
        <v>1240</v>
      </c>
      <c r="M75">
        <f t="shared" si="11"/>
        <v>87949.2</v>
      </c>
    </row>
    <row r="76" spans="1:17">
      <c r="A76" s="25">
        <v>45270</v>
      </c>
      <c r="B76" s="24" t="s">
        <v>1263</v>
      </c>
      <c r="C76" s="24" t="s">
        <v>1171</v>
      </c>
      <c r="D76" s="24" t="s">
        <v>1237</v>
      </c>
      <c r="E76" s="24" t="s">
        <v>1229</v>
      </c>
      <c r="F76" s="24" t="s">
        <v>128</v>
      </c>
      <c r="G76" s="24" t="s">
        <v>1257</v>
      </c>
      <c r="H76" s="26">
        <v>11</v>
      </c>
      <c r="I76" s="26">
        <v>827.59</v>
      </c>
      <c r="J76" s="26">
        <v>9103.49</v>
      </c>
      <c r="L76" s="24" t="s">
        <v>1171</v>
      </c>
      <c r="M76">
        <f t="shared" si="11"/>
        <v>99406.6</v>
      </c>
    </row>
    <row r="77" spans="1:17">
      <c r="A77" s="25">
        <v>45229</v>
      </c>
      <c r="B77" s="24" t="s">
        <v>1265</v>
      </c>
      <c r="C77" s="24" t="s">
        <v>1240</v>
      </c>
      <c r="D77" s="24" t="s">
        <v>1232</v>
      </c>
      <c r="E77" s="24" t="s">
        <v>1231</v>
      </c>
      <c r="F77" s="24" t="s">
        <v>120</v>
      </c>
      <c r="G77" s="24" t="s">
        <v>1276</v>
      </c>
      <c r="H77" s="26">
        <v>10</v>
      </c>
      <c r="I77" s="26">
        <v>2008.29</v>
      </c>
      <c r="J77" s="26">
        <v>20082.900000000001</v>
      </c>
      <c r="L77" s="24" t="s">
        <v>1233</v>
      </c>
      <c r="M77">
        <f t="shared" si="11"/>
        <v>94929.32</v>
      </c>
    </row>
    <row r="78" spans="1:17">
      <c r="A78" s="25">
        <v>44981</v>
      </c>
      <c r="B78" s="24" t="s">
        <v>1263</v>
      </c>
      <c r="C78" s="24" t="s">
        <v>1169</v>
      </c>
      <c r="D78" s="24" t="s">
        <v>1230</v>
      </c>
      <c r="E78" s="24" t="s">
        <v>1229</v>
      </c>
      <c r="F78" s="24" t="s">
        <v>128</v>
      </c>
      <c r="G78" s="24" t="s">
        <v>1264</v>
      </c>
      <c r="H78" s="26">
        <v>3</v>
      </c>
      <c r="I78" s="26">
        <v>4157.17</v>
      </c>
      <c r="J78" s="26">
        <v>12471.51</v>
      </c>
      <c r="L78" s="24" t="s">
        <v>1236</v>
      </c>
      <c r="M78">
        <f t="shared" si="11"/>
        <v>87311.6</v>
      </c>
    </row>
    <row r="79" spans="1:17">
      <c r="A79" s="25">
        <v>44964</v>
      </c>
      <c r="B79" s="24" t="s">
        <v>1258</v>
      </c>
      <c r="C79" s="24" t="s">
        <v>1238</v>
      </c>
      <c r="D79" s="24" t="s">
        <v>1235</v>
      </c>
      <c r="E79" s="24" t="s">
        <v>1231</v>
      </c>
      <c r="F79" s="24" t="s">
        <v>132</v>
      </c>
      <c r="G79" s="24" t="s">
        <v>1279</v>
      </c>
      <c r="H79" s="26">
        <v>19</v>
      </c>
      <c r="I79" s="26">
        <v>2880.28</v>
      </c>
      <c r="J79" s="26">
        <v>54725.32</v>
      </c>
      <c r="L79" s="24" t="s">
        <v>1248</v>
      </c>
      <c r="M79">
        <f t="shared" si="11"/>
        <v>97123.4</v>
      </c>
    </row>
    <row r="80" spans="1:17">
      <c r="A80" s="25">
        <v>45163</v>
      </c>
      <c r="B80" s="24" t="s">
        <v>1269</v>
      </c>
      <c r="C80" s="24" t="s">
        <v>1248</v>
      </c>
      <c r="D80" s="24" t="s">
        <v>1230</v>
      </c>
      <c r="E80" s="24" t="s">
        <v>1229</v>
      </c>
      <c r="F80" s="24" t="s">
        <v>120</v>
      </c>
      <c r="G80" s="24" t="s">
        <v>1165</v>
      </c>
      <c r="H80" s="26">
        <v>6</v>
      </c>
      <c r="I80" s="26">
        <v>1212.76</v>
      </c>
      <c r="J80" s="26">
        <v>7276.56</v>
      </c>
      <c r="L80" s="24" t="s">
        <v>1244</v>
      </c>
      <c r="M80">
        <f t="shared" si="11"/>
        <v>94230.2</v>
      </c>
    </row>
    <row r="81" spans="1:13">
      <c r="A81" s="25">
        <v>45184</v>
      </c>
      <c r="B81" s="24" t="s">
        <v>1260</v>
      </c>
      <c r="C81" s="24" t="s">
        <v>1246</v>
      </c>
      <c r="D81" s="24" t="s">
        <v>1230</v>
      </c>
      <c r="E81" s="24" t="s">
        <v>1229</v>
      </c>
      <c r="F81" s="24" t="s">
        <v>120</v>
      </c>
      <c r="G81" s="24" t="s">
        <v>1275</v>
      </c>
      <c r="H81" s="26">
        <v>11</v>
      </c>
      <c r="I81" s="26">
        <v>4463.4799999999996</v>
      </c>
      <c r="J81" s="26">
        <v>49098.28</v>
      </c>
      <c r="L81" s="24" t="s">
        <v>1173</v>
      </c>
      <c r="M81">
        <f t="shared" si="11"/>
        <v>79546.16</v>
      </c>
    </row>
    <row r="82" spans="1:13">
      <c r="A82" s="25">
        <v>45088</v>
      </c>
      <c r="B82" s="24" t="s">
        <v>1265</v>
      </c>
      <c r="C82" s="24" t="s">
        <v>1236</v>
      </c>
      <c r="D82" s="24" t="s">
        <v>1235</v>
      </c>
      <c r="E82" s="24" t="s">
        <v>1231</v>
      </c>
      <c r="F82" s="24" t="s">
        <v>145</v>
      </c>
      <c r="G82" s="24" t="s">
        <v>1261</v>
      </c>
      <c r="H82" s="26">
        <v>17</v>
      </c>
      <c r="I82" s="26">
        <v>3975.74</v>
      </c>
      <c r="J82" s="26">
        <v>67587.58</v>
      </c>
      <c r="L82" s="24" t="s">
        <v>1169</v>
      </c>
      <c r="M82">
        <f t="shared" si="11"/>
        <v>74713.86</v>
      </c>
    </row>
    <row r="83" spans="1:13">
      <c r="A83" s="25">
        <v>45126</v>
      </c>
      <c r="B83" s="24" t="s">
        <v>1252</v>
      </c>
      <c r="C83" s="24" t="s">
        <v>1234</v>
      </c>
      <c r="D83" s="24" t="s">
        <v>1232</v>
      </c>
      <c r="E83" s="24" t="s">
        <v>1231</v>
      </c>
      <c r="F83" s="24" t="s">
        <v>128</v>
      </c>
      <c r="G83" s="24" t="s">
        <v>1266</v>
      </c>
      <c r="H83" s="26">
        <v>15</v>
      </c>
      <c r="I83" s="26">
        <v>2158.2199999999998</v>
      </c>
      <c r="J83" s="26">
        <v>32373.3</v>
      </c>
      <c r="L83" s="24" t="s">
        <v>1247</v>
      </c>
      <c r="M83">
        <f t="shared" si="11"/>
        <v>77219.199999999997</v>
      </c>
    </row>
    <row r="84" spans="1:13">
      <c r="A84" s="25">
        <v>45063</v>
      </c>
      <c r="B84" s="24" t="s">
        <v>1256</v>
      </c>
      <c r="C84" s="24" t="s">
        <v>1169</v>
      </c>
      <c r="D84" s="24" t="s">
        <v>1230</v>
      </c>
      <c r="E84" s="24" t="s">
        <v>1229</v>
      </c>
      <c r="F84" s="24" t="s">
        <v>128</v>
      </c>
      <c r="G84" s="24" t="s">
        <v>1264</v>
      </c>
      <c r="H84" s="26">
        <v>17</v>
      </c>
      <c r="I84" s="26">
        <v>1720.9</v>
      </c>
      <c r="J84" s="26">
        <v>29255.3</v>
      </c>
      <c r="L84" s="24" t="s">
        <v>1238</v>
      </c>
      <c r="M84">
        <f t="shared" si="11"/>
        <v>85758.399999999994</v>
      </c>
    </row>
    <row r="85" spans="1:13">
      <c r="A85" s="25">
        <v>45107</v>
      </c>
      <c r="B85" s="24" t="s">
        <v>1263</v>
      </c>
      <c r="C85" s="24" t="s">
        <v>1171</v>
      </c>
      <c r="D85" s="24" t="s">
        <v>1237</v>
      </c>
      <c r="E85" s="24" t="s">
        <v>1229</v>
      </c>
      <c r="F85" s="24" t="s">
        <v>128</v>
      </c>
      <c r="G85" s="24" t="s">
        <v>1257</v>
      </c>
      <c r="H85" s="26">
        <v>11</v>
      </c>
      <c r="I85" s="26">
        <v>3562.92</v>
      </c>
      <c r="J85" s="26">
        <v>39192.120000000003</v>
      </c>
      <c r="L85" s="24" t="s">
        <v>1245</v>
      </c>
      <c r="M85">
        <f t="shared" si="11"/>
        <v>78513</v>
      </c>
    </row>
    <row r="86" spans="1:13">
      <c r="A86" s="25">
        <v>45259</v>
      </c>
      <c r="B86" s="24" t="s">
        <v>1260</v>
      </c>
      <c r="C86" s="24" t="s">
        <v>1171</v>
      </c>
      <c r="D86" s="24" t="s">
        <v>1237</v>
      </c>
      <c r="E86" s="24" t="s">
        <v>1229</v>
      </c>
      <c r="F86" s="24" t="s">
        <v>145</v>
      </c>
      <c r="G86" s="24" t="s">
        <v>1261</v>
      </c>
      <c r="H86" s="26">
        <v>17</v>
      </c>
      <c r="I86" s="26">
        <v>608.79</v>
      </c>
      <c r="J86" s="26">
        <v>10349.43</v>
      </c>
      <c r="L86" s="24" t="s">
        <v>1246</v>
      </c>
      <c r="M86">
        <f t="shared" si="11"/>
        <v>69317.13</v>
      </c>
    </row>
    <row r="87" spans="1:13">
      <c r="A87" s="25">
        <v>45035</v>
      </c>
      <c r="B87" s="24" t="s">
        <v>1262</v>
      </c>
      <c r="C87" s="24" t="s">
        <v>1248</v>
      </c>
      <c r="D87" s="24" t="s">
        <v>1230</v>
      </c>
      <c r="E87" s="24" t="s">
        <v>1229</v>
      </c>
      <c r="F87" s="24" t="s">
        <v>1249</v>
      </c>
      <c r="G87" s="24" t="s">
        <v>1259</v>
      </c>
      <c r="H87" s="26">
        <v>20</v>
      </c>
      <c r="I87" s="26">
        <v>4856.17</v>
      </c>
      <c r="J87" s="26">
        <v>97123.4</v>
      </c>
    </row>
    <row r="88" spans="1:13">
      <c r="A88" s="25">
        <v>45043</v>
      </c>
      <c r="B88" s="24" t="s">
        <v>1269</v>
      </c>
      <c r="C88" s="24" t="s">
        <v>1244</v>
      </c>
      <c r="D88" s="24" t="s">
        <v>1243</v>
      </c>
      <c r="E88" s="24" t="s">
        <v>1242</v>
      </c>
      <c r="F88" s="24" t="s">
        <v>145</v>
      </c>
      <c r="G88" s="24" t="s">
        <v>1255</v>
      </c>
      <c r="H88" s="26">
        <v>12</v>
      </c>
      <c r="I88" s="26">
        <v>4298</v>
      </c>
      <c r="J88" s="26">
        <v>51576</v>
      </c>
    </row>
    <row r="89" spans="1:13">
      <c r="A89" s="25">
        <v>45020</v>
      </c>
      <c r="B89" s="24" t="s">
        <v>1260</v>
      </c>
      <c r="C89" s="24" t="s">
        <v>1247</v>
      </c>
      <c r="D89" s="24" t="s">
        <v>1243</v>
      </c>
      <c r="E89" s="24" t="s">
        <v>1242</v>
      </c>
      <c r="F89" s="24" t="s">
        <v>120</v>
      </c>
      <c r="G89" s="24" t="s">
        <v>1275</v>
      </c>
      <c r="H89" s="26">
        <v>7</v>
      </c>
      <c r="I89" s="26">
        <v>1160.3499999999999</v>
      </c>
      <c r="J89" s="26">
        <v>8122.45</v>
      </c>
    </row>
    <row r="90" spans="1:13">
      <c r="A90" s="25">
        <v>45145</v>
      </c>
      <c r="B90" s="24" t="s">
        <v>1263</v>
      </c>
      <c r="C90" s="24" t="s">
        <v>1244</v>
      </c>
      <c r="D90" s="24" t="s">
        <v>1243</v>
      </c>
      <c r="E90" s="24" t="s">
        <v>1242</v>
      </c>
      <c r="F90" s="24" t="s">
        <v>128</v>
      </c>
      <c r="G90" s="24" t="s">
        <v>1264</v>
      </c>
      <c r="H90" s="26">
        <v>3</v>
      </c>
      <c r="I90" s="26">
        <v>2488.34</v>
      </c>
      <c r="J90" s="26">
        <v>7465.02</v>
      </c>
    </row>
    <row r="91" spans="1:13">
      <c r="A91" s="25">
        <v>45126</v>
      </c>
      <c r="B91" s="24" t="s">
        <v>1256</v>
      </c>
      <c r="C91" s="24" t="s">
        <v>1234</v>
      </c>
      <c r="D91" s="24" t="s">
        <v>1232</v>
      </c>
      <c r="E91" s="24" t="s">
        <v>1231</v>
      </c>
      <c r="F91" s="24" t="s">
        <v>132</v>
      </c>
      <c r="G91" s="24" t="s">
        <v>1277</v>
      </c>
      <c r="H91" s="26">
        <v>8</v>
      </c>
      <c r="I91" s="26">
        <v>1990</v>
      </c>
      <c r="J91" s="26">
        <v>15920</v>
      </c>
    </row>
    <row r="92" spans="1:13">
      <c r="A92" s="25">
        <v>44998</v>
      </c>
      <c r="B92" s="24" t="s">
        <v>1262</v>
      </c>
      <c r="C92" s="24" t="s">
        <v>1246</v>
      </c>
      <c r="D92" s="24" t="s">
        <v>1230</v>
      </c>
      <c r="E92" s="24" t="s">
        <v>1229</v>
      </c>
      <c r="F92" s="24" t="s">
        <v>120</v>
      </c>
      <c r="G92" s="24" t="s">
        <v>1275</v>
      </c>
      <c r="H92" s="26">
        <v>20</v>
      </c>
      <c r="I92" s="26">
        <v>2446.21</v>
      </c>
      <c r="J92" s="26">
        <v>48924.2</v>
      </c>
    </row>
    <row r="93" spans="1:13">
      <c r="A93" s="25">
        <v>45221</v>
      </c>
      <c r="B93" s="24" t="s">
        <v>1258</v>
      </c>
      <c r="C93" s="24" t="s">
        <v>1238</v>
      </c>
      <c r="D93" s="24" t="s">
        <v>1235</v>
      </c>
      <c r="E93" s="24" t="s">
        <v>1231</v>
      </c>
      <c r="F93" s="24" t="s">
        <v>145</v>
      </c>
      <c r="G93" s="24" t="s">
        <v>1278</v>
      </c>
      <c r="H93" s="26">
        <v>11</v>
      </c>
      <c r="I93" s="26">
        <v>1841.84</v>
      </c>
      <c r="J93" s="26">
        <v>20260.240000000002</v>
      </c>
    </row>
    <row r="94" spans="1:13">
      <c r="A94" s="25">
        <v>45261</v>
      </c>
      <c r="B94" s="24" t="s">
        <v>1262</v>
      </c>
      <c r="C94" s="24" t="s">
        <v>1245</v>
      </c>
      <c r="D94" s="24" t="s">
        <v>1243</v>
      </c>
      <c r="E94" s="24" t="s">
        <v>1242</v>
      </c>
      <c r="F94" s="24" t="s">
        <v>120</v>
      </c>
      <c r="G94" s="24" t="s">
        <v>1164</v>
      </c>
      <c r="H94" s="26">
        <v>5</v>
      </c>
      <c r="I94" s="26">
        <v>3289.83</v>
      </c>
      <c r="J94" s="26">
        <v>16449.150000000001</v>
      </c>
    </row>
    <row r="95" spans="1:13">
      <c r="A95" s="25">
        <v>45014</v>
      </c>
      <c r="B95" s="24" t="s">
        <v>1263</v>
      </c>
      <c r="C95" s="24" t="s">
        <v>1171</v>
      </c>
      <c r="D95" s="24" t="s">
        <v>1237</v>
      </c>
      <c r="E95" s="24" t="s">
        <v>1229</v>
      </c>
      <c r="F95" s="24" t="s">
        <v>1249</v>
      </c>
      <c r="G95" s="24" t="s">
        <v>1270</v>
      </c>
      <c r="H95" s="26">
        <v>6</v>
      </c>
      <c r="I95" s="26">
        <v>549.79999999999995</v>
      </c>
      <c r="J95" s="26">
        <v>3298.8</v>
      </c>
    </row>
    <row r="96" spans="1:13">
      <c r="A96" s="25">
        <v>44960</v>
      </c>
      <c r="B96" s="24" t="s">
        <v>1265</v>
      </c>
      <c r="C96" s="24" t="s">
        <v>1240</v>
      </c>
      <c r="D96" s="24" t="s">
        <v>1232</v>
      </c>
      <c r="E96" s="24" t="s">
        <v>1231</v>
      </c>
      <c r="F96" s="24" t="s">
        <v>120</v>
      </c>
      <c r="G96" s="24" t="s">
        <v>1164</v>
      </c>
      <c r="H96" s="26">
        <v>20</v>
      </c>
      <c r="I96" s="26">
        <v>4397.46</v>
      </c>
      <c r="J96" s="26">
        <v>87949.2</v>
      </c>
    </row>
    <row r="97" spans="1:10">
      <c r="A97" s="25">
        <v>45057</v>
      </c>
      <c r="B97" s="24" t="s">
        <v>1263</v>
      </c>
      <c r="C97" s="24" t="s">
        <v>1241</v>
      </c>
      <c r="D97" s="24" t="s">
        <v>1235</v>
      </c>
      <c r="E97" s="24" t="s">
        <v>1231</v>
      </c>
      <c r="F97" s="24" t="s">
        <v>1249</v>
      </c>
      <c r="G97" s="24" t="s">
        <v>1259</v>
      </c>
      <c r="H97" s="26">
        <v>3</v>
      </c>
      <c r="I97" s="26">
        <v>3107.88</v>
      </c>
      <c r="J97" s="26">
        <v>9323.64</v>
      </c>
    </row>
    <row r="98" spans="1:10">
      <c r="A98" s="25">
        <v>45254</v>
      </c>
      <c r="B98" s="24" t="s">
        <v>1252</v>
      </c>
      <c r="C98" s="24" t="s">
        <v>1169</v>
      </c>
      <c r="D98" s="24" t="s">
        <v>1230</v>
      </c>
      <c r="E98" s="24" t="s">
        <v>1229</v>
      </c>
      <c r="F98" s="24" t="s">
        <v>132</v>
      </c>
      <c r="G98" s="24" t="s">
        <v>1279</v>
      </c>
      <c r="H98" s="26">
        <v>11</v>
      </c>
      <c r="I98" s="26">
        <v>1451.86</v>
      </c>
      <c r="J98" s="26">
        <v>15970.46</v>
      </c>
    </row>
    <row r="99" spans="1:10">
      <c r="A99" s="25">
        <v>45110</v>
      </c>
      <c r="B99" s="24" t="s">
        <v>1263</v>
      </c>
      <c r="C99" s="24" t="s">
        <v>1234</v>
      </c>
      <c r="D99" s="24" t="s">
        <v>1232</v>
      </c>
      <c r="E99" s="24" t="s">
        <v>1231</v>
      </c>
      <c r="F99" s="24" t="s">
        <v>1249</v>
      </c>
      <c r="G99" s="24" t="s">
        <v>1272</v>
      </c>
      <c r="H99" s="26">
        <v>13</v>
      </c>
      <c r="I99" s="26">
        <v>4087.03</v>
      </c>
      <c r="J99" s="26">
        <v>53131.39</v>
      </c>
    </row>
    <row r="100" spans="1:10">
      <c r="A100" s="25">
        <v>45171</v>
      </c>
      <c r="B100" s="24" t="s">
        <v>1252</v>
      </c>
      <c r="C100" s="24" t="s">
        <v>1244</v>
      </c>
      <c r="D100" s="24" t="s">
        <v>1243</v>
      </c>
      <c r="E100" s="24" t="s">
        <v>1242</v>
      </c>
      <c r="F100" s="24" t="s">
        <v>145</v>
      </c>
      <c r="G100" s="24" t="s">
        <v>1255</v>
      </c>
      <c r="H100" s="26">
        <v>12</v>
      </c>
      <c r="I100" s="26">
        <v>3040.08</v>
      </c>
      <c r="J100" s="26">
        <v>36480.959999999999</v>
      </c>
    </row>
    <row r="101" spans="1:10">
      <c r="A101" s="25">
        <v>45229</v>
      </c>
      <c r="B101" s="24" t="s">
        <v>1262</v>
      </c>
      <c r="C101" s="24" t="s">
        <v>1245</v>
      </c>
      <c r="D101" s="24" t="s">
        <v>1243</v>
      </c>
      <c r="E101" s="24" t="s">
        <v>1242</v>
      </c>
      <c r="F101" s="24" t="s">
        <v>1249</v>
      </c>
      <c r="G101" s="24" t="s">
        <v>1270</v>
      </c>
      <c r="H101" s="26">
        <v>19</v>
      </c>
      <c r="I101" s="26">
        <v>3968.42</v>
      </c>
      <c r="J101" s="26">
        <v>75399.98</v>
      </c>
    </row>
    <row r="102" spans="1:10">
      <c r="A102" s="25">
        <v>45122</v>
      </c>
      <c r="B102" s="24" t="s">
        <v>1269</v>
      </c>
      <c r="C102" s="24" t="s">
        <v>1236</v>
      </c>
      <c r="D102" s="24" t="s">
        <v>1235</v>
      </c>
      <c r="E102" s="24" t="s">
        <v>1231</v>
      </c>
      <c r="F102" s="24" t="s">
        <v>120</v>
      </c>
      <c r="G102" s="24" t="s">
        <v>1165</v>
      </c>
      <c r="H102" s="26">
        <v>4</v>
      </c>
      <c r="I102" s="26">
        <v>894.64</v>
      </c>
      <c r="J102" s="26">
        <v>3578.56</v>
      </c>
    </row>
    <row r="103" spans="1:10">
      <c r="A103" s="25">
        <v>45233</v>
      </c>
      <c r="B103" s="24" t="s">
        <v>1263</v>
      </c>
      <c r="C103" s="24" t="s">
        <v>1236</v>
      </c>
      <c r="D103" s="24" t="s">
        <v>1235</v>
      </c>
      <c r="E103" s="24" t="s">
        <v>1231</v>
      </c>
      <c r="F103" s="24" t="s">
        <v>1249</v>
      </c>
      <c r="G103" s="24" t="s">
        <v>1272</v>
      </c>
      <c r="H103" s="26">
        <v>20</v>
      </c>
      <c r="I103" s="26">
        <v>1787.99</v>
      </c>
      <c r="J103" s="26">
        <v>35759.800000000003</v>
      </c>
    </row>
    <row r="104" spans="1:10">
      <c r="A104" s="25">
        <v>45090</v>
      </c>
      <c r="B104" s="24" t="s">
        <v>1252</v>
      </c>
      <c r="C104" s="24" t="s">
        <v>1171</v>
      </c>
      <c r="D104" s="24" t="s">
        <v>1237</v>
      </c>
      <c r="E104" s="24" t="s">
        <v>1229</v>
      </c>
      <c r="F104" s="24" t="s">
        <v>132</v>
      </c>
      <c r="G104" s="24" t="s">
        <v>1271</v>
      </c>
      <c r="H104" s="26">
        <v>17</v>
      </c>
      <c r="I104" s="26">
        <v>2910.12</v>
      </c>
      <c r="J104" s="26">
        <v>49472.04</v>
      </c>
    </row>
    <row r="105" spans="1:10">
      <c r="A105" s="25">
        <v>44960</v>
      </c>
      <c r="B105" s="24" t="s">
        <v>1269</v>
      </c>
      <c r="C105" s="24" t="s">
        <v>1234</v>
      </c>
      <c r="D105" s="24" t="s">
        <v>1232</v>
      </c>
      <c r="E105" s="24" t="s">
        <v>1231</v>
      </c>
      <c r="F105" s="24" t="s">
        <v>1249</v>
      </c>
      <c r="G105" s="24" t="s">
        <v>1259</v>
      </c>
      <c r="H105" s="26">
        <v>16</v>
      </c>
      <c r="I105" s="26">
        <v>827.8</v>
      </c>
      <c r="J105" s="26">
        <v>13244.8</v>
      </c>
    </row>
    <row r="106" spans="1:10">
      <c r="A106" s="25">
        <v>45055</v>
      </c>
      <c r="B106" s="24" t="s">
        <v>1256</v>
      </c>
      <c r="C106" s="24" t="s">
        <v>1244</v>
      </c>
      <c r="D106" s="24" t="s">
        <v>1243</v>
      </c>
      <c r="E106" s="24" t="s">
        <v>1242</v>
      </c>
      <c r="F106" s="24" t="s">
        <v>145</v>
      </c>
      <c r="G106" s="24" t="s">
        <v>1261</v>
      </c>
      <c r="H106" s="26">
        <v>18</v>
      </c>
      <c r="I106" s="26">
        <v>3093.44</v>
      </c>
      <c r="J106" s="26">
        <v>55681.919999999998</v>
      </c>
    </row>
    <row r="107" spans="1:10">
      <c r="A107" s="25">
        <v>44946</v>
      </c>
      <c r="B107" s="24" t="s">
        <v>1263</v>
      </c>
      <c r="C107" s="24" t="s">
        <v>1233</v>
      </c>
      <c r="D107" s="24" t="s">
        <v>1232</v>
      </c>
      <c r="E107" s="24" t="s">
        <v>1231</v>
      </c>
      <c r="F107" s="24" t="s">
        <v>128</v>
      </c>
      <c r="G107" s="24" t="s">
        <v>1266</v>
      </c>
      <c r="H107" s="26">
        <v>10</v>
      </c>
      <c r="I107" s="26">
        <v>2469.04</v>
      </c>
      <c r="J107" s="26">
        <v>24690.400000000001</v>
      </c>
    </row>
    <row r="108" spans="1:10">
      <c r="A108" s="25">
        <v>45062</v>
      </c>
      <c r="B108" s="24" t="s">
        <v>1256</v>
      </c>
      <c r="C108" s="24" t="s">
        <v>1233</v>
      </c>
      <c r="D108" s="24" t="s">
        <v>1232</v>
      </c>
      <c r="E108" s="24" t="s">
        <v>1231</v>
      </c>
      <c r="F108" s="24" t="s">
        <v>145</v>
      </c>
      <c r="G108" s="24" t="s">
        <v>1255</v>
      </c>
      <c r="H108" s="26">
        <v>12</v>
      </c>
      <c r="I108" s="26">
        <v>2127.2800000000002</v>
      </c>
      <c r="J108" s="26">
        <v>25527.360000000001</v>
      </c>
    </row>
    <row r="109" spans="1:10">
      <c r="A109" s="25">
        <v>44944</v>
      </c>
      <c r="B109" s="24" t="s">
        <v>1262</v>
      </c>
      <c r="C109" s="24" t="s">
        <v>1233</v>
      </c>
      <c r="D109" s="24" t="s">
        <v>1232</v>
      </c>
      <c r="E109" s="24" t="s">
        <v>1231</v>
      </c>
      <c r="F109" s="24" t="s">
        <v>120</v>
      </c>
      <c r="G109" s="24" t="s">
        <v>1165</v>
      </c>
      <c r="H109" s="26">
        <v>1</v>
      </c>
      <c r="I109" s="26">
        <v>1811.76</v>
      </c>
      <c r="J109" s="26">
        <v>1811.76</v>
      </c>
    </row>
    <row r="110" spans="1:10">
      <c r="A110" s="25">
        <v>45075</v>
      </c>
      <c r="B110" s="24" t="s">
        <v>1267</v>
      </c>
      <c r="C110" s="24" t="s">
        <v>1238</v>
      </c>
      <c r="D110" s="24" t="s">
        <v>1235</v>
      </c>
      <c r="E110" s="24" t="s">
        <v>1231</v>
      </c>
      <c r="F110" s="24" t="s">
        <v>132</v>
      </c>
      <c r="G110" s="24" t="s">
        <v>1271</v>
      </c>
      <c r="H110" s="26">
        <v>4</v>
      </c>
      <c r="I110" s="26">
        <v>4485.82</v>
      </c>
      <c r="J110" s="26">
        <v>17943.28</v>
      </c>
    </row>
    <row r="111" spans="1:10">
      <c r="A111" s="25">
        <v>45172</v>
      </c>
      <c r="B111" s="24" t="s">
        <v>1267</v>
      </c>
      <c r="C111" s="24" t="s">
        <v>1236</v>
      </c>
      <c r="D111" s="24" t="s">
        <v>1235</v>
      </c>
      <c r="E111" s="24" t="s">
        <v>1231</v>
      </c>
      <c r="F111" s="24" t="s">
        <v>120</v>
      </c>
      <c r="G111" s="24" t="s">
        <v>1165</v>
      </c>
      <c r="H111" s="26">
        <v>8</v>
      </c>
      <c r="I111" s="26">
        <v>4649.3500000000004</v>
      </c>
      <c r="J111" s="26">
        <v>37194.800000000003</v>
      </c>
    </row>
    <row r="112" spans="1:10">
      <c r="A112" s="25">
        <v>45009</v>
      </c>
      <c r="B112" s="24" t="s">
        <v>1254</v>
      </c>
      <c r="C112" s="24" t="s">
        <v>1240</v>
      </c>
      <c r="D112" s="24" t="s">
        <v>1232</v>
      </c>
      <c r="E112" s="24" t="s">
        <v>1231</v>
      </c>
      <c r="F112" s="24" t="s">
        <v>132</v>
      </c>
      <c r="G112" s="24" t="s">
        <v>1279</v>
      </c>
      <c r="H112" s="26">
        <v>3</v>
      </c>
      <c r="I112" s="26">
        <v>4027.17</v>
      </c>
      <c r="J112" s="26">
        <v>12081.51</v>
      </c>
    </row>
    <row r="113" spans="1:10">
      <c r="A113" s="25">
        <v>45244</v>
      </c>
      <c r="B113" s="24" t="s">
        <v>1267</v>
      </c>
      <c r="C113" s="24" t="s">
        <v>1245</v>
      </c>
      <c r="D113" s="24" t="s">
        <v>1243</v>
      </c>
      <c r="E113" s="24" t="s">
        <v>1242</v>
      </c>
      <c r="F113" s="24" t="s">
        <v>120</v>
      </c>
      <c r="G113" s="24" t="s">
        <v>1275</v>
      </c>
      <c r="H113" s="26">
        <v>14</v>
      </c>
      <c r="I113" s="26">
        <v>4406.29</v>
      </c>
      <c r="J113" s="26">
        <v>61688.06</v>
      </c>
    </row>
    <row r="114" spans="1:10">
      <c r="A114" s="25">
        <v>45077</v>
      </c>
      <c r="B114" s="24" t="s">
        <v>1254</v>
      </c>
      <c r="C114" s="24" t="s">
        <v>1233</v>
      </c>
      <c r="D114" s="24" t="s">
        <v>1232</v>
      </c>
      <c r="E114" s="24" t="s">
        <v>1231</v>
      </c>
      <c r="F114" s="24" t="s">
        <v>1249</v>
      </c>
      <c r="G114" s="24" t="s">
        <v>1270</v>
      </c>
      <c r="H114" s="26">
        <v>20</v>
      </c>
      <c r="I114" s="26">
        <v>4072.4</v>
      </c>
      <c r="J114" s="26">
        <v>81448</v>
      </c>
    </row>
    <row r="115" spans="1:10">
      <c r="A115" s="25">
        <v>45098</v>
      </c>
      <c r="B115" s="24" t="s">
        <v>1260</v>
      </c>
      <c r="C115" s="24" t="s">
        <v>1245</v>
      </c>
      <c r="D115" s="24" t="s">
        <v>1243</v>
      </c>
      <c r="E115" s="24" t="s">
        <v>1242</v>
      </c>
      <c r="F115" s="24" t="s">
        <v>1249</v>
      </c>
      <c r="G115" s="24" t="s">
        <v>1272</v>
      </c>
      <c r="H115" s="26">
        <v>1</v>
      </c>
      <c r="I115" s="26">
        <v>4801.38</v>
      </c>
      <c r="J115" s="26">
        <v>4801.38</v>
      </c>
    </row>
    <row r="116" spans="1:10">
      <c r="A116" s="25">
        <v>44932</v>
      </c>
      <c r="B116" s="24" t="s">
        <v>1263</v>
      </c>
      <c r="C116" s="24" t="s">
        <v>1241</v>
      </c>
      <c r="D116" s="24" t="s">
        <v>1235</v>
      </c>
      <c r="E116" s="24" t="s">
        <v>1231</v>
      </c>
      <c r="F116" s="24" t="s">
        <v>128</v>
      </c>
      <c r="G116" s="24" t="s">
        <v>1266</v>
      </c>
      <c r="H116" s="26">
        <v>17</v>
      </c>
      <c r="I116" s="26">
        <v>828.26</v>
      </c>
      <c r="J116" s="26">
        <v>14080.42</v>
      </c>
    </row>
    <row r="117" spans="1:10">
      <c r="A117" s="25">
        <v>44935</v>
      </c>
      <c r="B117" s="24" t="s">
        <v>1258</v>
      </c>
      <c r="C117" s="24" t="s">
        <v>1169</v>
      </c>
      <c r="D117" s="24" t="s">
        <v>1230</v>
      </c>
      <c r="E117" s="24" t="s">
        <v>1229</v>
      </c>
      <c r="F117" s="24" t="s">
        <v>1249</v>
      </c>
      <c r="G117" s="24" t="s">
        <v>1270</v>
      </c>
      <c r="H117" s="26">
        <v>13</v>
      </c>
      <c r="I117" s="26">
        <v>4331.5</v>
      </c>
      <c r="J117" s="26">
        <v>56309.5</v>
      </c>
    </row>
    <row r="118" spans="1:10">
      <c r="A118" s="25">
        <v>45172</v>
      </c>
      <c r="B118" s="24" t="s">
        <v>1260</v>
      </c>
      <c r="C118" s="24" t="s">
        <v>1173</v>
      </c>
      <c r="D118" s="24" t="s">
        <v>1237</v>
      </c>
      <c r="E118" s="24" t="s">
        <v>1229</v>
      </c>
      <c r="F118" s="24" t="s">
        <v>128</v>
      </c>
      <c r="G118" s="24" t="s">
        <v>1266</v>
      </c>
      <c r="H118" s="26">
        <v>14</v>
      </c>
      <c r="I118" s="26">
        <v>3404.4</v>
      </c>
      <c r="J118" s="26">
        <v>47661.599999999999</v>
      </c>
    </row>
    <row r="119" spans="1:10">
      <c r="A119" s="25">
        <v>44956</v>
      </c>
      <c r="B119" s="24" t="s">
        <v>1267</v>
      </c>
      <c r="C119" s="24" t="s">
        <v>1239</v>
      </c>
      <c r="D119" s="24" t="s">
        <v>1237</v>
      </c>
      <c r="E119" s="24" t="s">
        <v>1229</v>
      </c>
      <c r="F119" s="24" t="s">
        <v>132</v>
      </c>
      <c r="G119" s="24" t="s">
        <v>1279</v>
      </c>
      <c r="H119" s="26">
        <v>20</v>
      </c>
      <c r="I119" s="26">
        <v>3734.44</v>
      </c>
      <c r="J119" s="26">
        <v>74688.800000000003</v>
      </c>
    </row>
    <row r="120" spans="1:10">
      <c r="A120" s="25">
        <v>44983</v>
      </c>
      <c r="B120" s="24" t="s">
        <v>1269</v>
      </c>
      <c r="C120" s="24" t="s">
        <v>1239</v>
      </c>
      <c r="D120" s="24" t="s">
        <v>1237</v>
      </c>
      <c r="E120" s="24" t="s">
        <v>1229</v>
      </c>
      <c r="F120" s="24" t="s">
        <v>132</v>
      </c>
      <c r="G120" s="24" t="s">
        <v>1271</v>
      </c>
      <c r="H120" s="26">
        <v>6</v>
      </c>
      <c r="I120" s="26">
        <v>112.76</v>
      </c>
      <c r="J120" s="26">
        <v>676.56</v>
      </c>
    </row>
    <row r="121" spans="1:10">
      <c r="A121" s="25">
        <v>45275</v>
      </c>
      <c r="B121" s="24" t="s">
        <v>1269</v>
      </c>
      <c r="C121" s="24" t="s">
        <v>1247</v>
      </c>
      <c r="D121" s="24" t="s">
        <v>1243</v>
      </c>
      <c r="E121" s="24" t="s">
        <v>1242</v>
      </c>
      <c r="F121" s="24" t="s">
        <v>120</v>
      </c>
      <c r="G121" s="24" t="s">
        <v>1164</v>
      </c>
      <c r="H121" s="26">
        <v>6</v>
      </c>
      <c r="I121" s="26">
        <v>4751.7700000000004</v>
      </c>
      <c r="J121" s="26">
        <v>28510.62</v>
      </c>
    </row>
    <row r="122" spans="1:10">
      <c r="A122" s="25">
        <v>45115</v>
      </c>
      <c r="B122" s="24" t="s">
        <v>1256</v>
      </c>
      <c r="C122" s="24" t="s">
        <v>1169</v>
      </c>
      <c r="D122" s="24" t="s">
        <v>1230</v>
      </c>
      <c r="E122" s="24" t="s">
        <v>1229</v>
      </c>
      <c r="F122" s="24" t="s">
        <v>1249</v>
      </c>
      <c r="G122" s="24" t="s">
        <v>1270</v>
      </c>
      <c r="H122" s="26">
        <v>4</v>
      </c>
      <c r="I122" s="26">
        <v>3214.1</v>
      </c>
      <c r="J122" s="26">
        <v>12856.4</v>
      </c>
    </row>
    <row r="123" spans="1:10">
      <c r="A123" s="25">
        <v>45192</v>
      </c>
      <c r="B123" s="24" t="s">
        <v>1252</v>
      </c>
      <c r="C123" s="24" t="s">
        <v>1247</v>
      </c>
      <c r="D123" s="24" t="s">
        <v>1243</v>
      </c>
      <c r="E123" s="24" t="s">
        <v>1242</v>
      </c>
      <c r="F123" s="24" t="s">
        <v>120</v>
      </c>
      <c r="G123" s="24" t="s">
        <v>1165</v>
      </c>
      <c r="H123" s="26">
        <v>20</v>
      </c>
      <c r="I123" s="26">
        <v>598.97</v>
      </c>
      <c r="J123" s="26">
        <v>11979.4</v>
      </c>
    </row>
    <row r="124" spans="1:10">
      <c r="A124" s="25">
        <v>45031</v>
      </c>
      <c r="B124" s="24" t="s">
        <v>1269</v>
      </c>
      <c r="C124" s="24" t="s">
        <v>1239</v>
      </c>
      <c r="D124" s="24" t="s">
        <v>1237</v>
      </c>
      <c r="E124" s="24" t="s">
        <v>1229</v>
      </c>
      <c r="F124" s="24" t="s">
        <v>132</v>
      </c>
      <c r="G124" s="24" t="s">
        <v>1271</v>
      </c>
      <c r="H124" s="26">
        <v>15</v>
      </c>
      <c r="I124" s="26">
        <v>1513.67</v>
      </c>
      <c r="J124" s="26">
        <v>22705.05</v>
      </c>
    </row>
    <row r="125" spans="1:10">
      <c r="A125" s="25">
        <v>44999</v>
      </c>
      <c r="B125" s="24" t="s">
        <v>1263</v>
      </c>
      <c r="C125" s="24" t="s">
        <v>1246</v>
      </c>
      <c r="D125" s="24" t="s">
        <v>1230</v>
      </c>
      <c r="E125" s="24" t="s">
        <v>1229</v>
      </c>
      <c r="F125" s="24" t="s">
        <v>128</v>
      </c>
      <c r="G125" s="24" t="s">
        <v>1264</v>
      </c>
      <c r="H125" s="26">
        <v>6</v>
      </c>
      <c r="I125" s="26">
        <v>194.62</v>
      </c>
      <c r="J125" s="26">
        <v>1167.72</v>
      </c>
    </row>
    <row r="126" spans="1:10">
      <c r="A126" s="25">
        <v>45261</v>
      </c>
      <c r="B126" s="24" t="s">
        <v>1265</v>
      </c>
      <c r="C126" s="24" t="s">
        <v>1246</v>
      </c>
      <c r="D126" s="24" t="s">
        <v>1230</v>
      </c>
      <c r="E126" s="24" t="s">
        <v>1229</v>
      </c>
      <c r="F126" s="24" t="s">
        <v>128</v>
      </c>
      <c r="G126" s="24" t="s">
        <v>1264</v>
      </c>
      <c r="H126" s="26">
        <v>6</v>
      </c>
      <c r="I126" s="26">
        <v>4508.3</v>
      </c>
      <c r="J126" s="26">
        <v>27049.8</v>
      </c>
    </row>
    <row r="127" spans="1:10">
      <c r="A127" s="25">
        <v>45180</v>
      </c>
      <c r="B127" s="24" t="s">
        <v>1262</v>
      </c>
      <c r="C127" s="24" t="s">
        <v>1248</v>
      </c>
      <c r="D127" s="24" t="s">
        <v>1230</v>
      </c>
      <c r="E127" s="24" t="s">
        <v>1229</v>
      </c>
      <c r="F127" s="24" t="s">
        <v>132</v>
      </c>
      <c r="G127" s="24" t="s">
        <v>1279</v>
      </c>
      <c r="H127" s="26">
        <v>20</v>
      </c>
      <c r="I127" s="26">
        <v>4055.72</v>
      </c>
      <c r="J127" s="26">
        <v>81114.399999999994</v>
      </c>
    </row>
    <row r="128" spans="1:10">
      <c r="A128" s="25">
        <v>45202</v>
      </c>
      <c r="B128" s="24" t="s">
        <v>1263</v>
      </c>
      <c r="C128" s="24" t="s">
        <v>1240</v>
      </c>
      <c r="D128" s="24" t="s">
        <v>1232</v>
      </c>
      <c r="E128" s="24" t="s">
        <v>1231</v>
      </c>
      <c r="F128" s="24" t="s">
        <v>132</v>
      </c>
      <c r="G128" s="24" t="s">
        <v>1279</v>
      </c>
      <c r="H128" s="26">
        <v>8</v>
      </c>
      <c r="I128" s="26">
        <v>2986.89</v>
      </c>
      <c r="J128" s="26">
        <v>23895.119999999999</v>
      </c>
    </row>
    <row r="129" spans="1:10">
      <c r="A129" s="25">
        <v>45041</v>
      </c>
      <c r="B129" s="24" t="s">
        <v>1260</v>
      </c>
      <c r="C129" s="24" t="s">
        <v>1244</v>
      </c>
      <c r="D129" s="24" t="s">
        <v>1243</v>
      </c>
      <c r="E129" s="24" t="s">
        <v>1242</v>
      </c>
      <c r="F129" s="24" t="s">
        <v>120</v>
      </c>
      <c r="G129" s="24" t="s">
        <v>1275</v>
      </c>
      <c r="H129" s="26">
        <v>7</v>
      </c>
      <c r="I129" s="26">
        <v>4933.0600000000004</v>
      </c>
      <c r="J129" s="26">
        <v>34531.42</v>
      </c>
    </row>
    <row r="130" spans="1:10">
      <c r="A130" s="25">
        <v>45194</v>
      </c>
      <c r="B130" s="24" t="s">
        <v>1267</v>
      </c>
      <c r="C130" s="24" t="s">
        <v>1241</v>
      </c>
      <c r="D130" s="24" t="s">
        <v>1235</v>
      </c>
      <c r="E130" s="24" t="s">
        <v>1231</v>
      </c>
      <c r="F130" s="24" t="s">
        <v>145</v>
      </c>
      <c r="G130" s="24" t="s">
        <v>1255</v>
      </c>
      <c r="H130" s="26">
        <v>4</v>
      </c>
      <c r="I130" s="26">
        <v>4837.17</v>
      </c>
      <c r="J130" s="26">
        <v>19348.68</v>
      </c>
    </row>
    <row r="131" spans="1:10">
      <c r="A131" s="25">
        <v>45203</v>
      </c>
      <c r="B131" s="24" t="s">
        <v>1263</v>
      </c>
      <c r="C131" s="24" t="s">
        <v>1247</v>
      </c>
      <c r="D131" s="24" t="s">
        <v>1243</v>
      </c>
      <c r="E131" s="24" t="s">
        <v>1242</v>
      </c>
      <c r="F131" s="24" t="s">
        <v>145</v>
      </c>
      <c r="G131" s="24" t="s">
        <v>1255</v>
      </c>
      <c r="H131" s="26">
        <v>1</v>
      </c>
      <c r="I131" s="26">
        <v>4813.2299999999996</v>
      </c>
      <c r="J131" s="26">
        <v>4813.2299999999996</v>
      </c>
    </row>
    <row r="132" spans="1:10">
      <c r="A132" s="25">
        <v>45012</v>
      </c>
      <c r="B132" s="24" t="s">
        <v>1263</v>
      </c>
      <c r="C132" s="24" t="s">
        <v>1236</v>
      </c>
      <c r="D132" s="24" t="s">
        <v>1235</v>
      </c>
      <c r="E132" s="24" t="s">
        <v>1231</v>
      </c>
      <c r="F132" s="24" t="s">
        <v>128</v>
      </c>
      <c r="G132" s="24" t="s">
        <v>1273</v>
      </c>
      <c r="H132" s="26">
        <v>16</v>
      </c>
      <c r="I132" s="26">
        <v>3158.66</v>
      </c>
      <c r="J132" s="26">
        <v>50538.559999999998</v>
      </c>
    </row>
    <row r="133" spans="1:10">
      <c r="A133" s="25">
        <v>45175</v>
      </c>
      <c r="B133" s="24" t="s">
        <v>1254</v>
      </c>
      <c r="C133" s="24" t="s">
        <v>1239</v>
      </c>
      <c r="D133" s="24" t="s">
        <v>1237</v>
      </c>
      <c r="E133" s="24" t="s">
        <v>1229</v>
      </c>
      <c r="F133" s="24" t="s">
        <v>120</v>
      </c>
      <c r="G133" s="24" t="s">
        <v>1165</v>
      </c>
      <c r="H133" s="26">
        <v>6</v>
      </c>
      <c r="I133" s="26">
        <v>2920.43</v>
      </c>
      <c r="J133" s="26">
        <v>17522.580000000002</v>
      </c>
    </row>
    <row r="134" spans="1:10">
      <c r="A134" s="25">
        <v>45267</v>
      </c>
      <c r="B134" s="24" t="s">
        <v>1254</v>
      </c>
      <c r="C134" s="24" t="s">
        <v>1239</v>
      </c>
      <c r="D134" s="24" t="s">
        <v>1237</v>
      </c>
      <c r="E134" s="24" t="s">
        <v>1229</v>
      </c>
      <c r="F134" s="24" t="s">
        <v>128</v>
      </c>
      <c r="G134" s="24" t="s">
        <v>1264</v>
      </c>
      <c r="H134" s="26">
        <v>12</v>
      </c>
      <c r="I134" s="26">
        <v>2170.02</v>
      </c>
      <c r="J134" s="26">
        <v>26040.240000000002</v>
      </c>
    </row>
    <row r="135" spans="1:10">
      <c r="A135" s="25">
        <v>45060</v>
      </c>
      <c r="B135" s="24" t="s">
        <v>1260</v>
      </c>
      <c r="C135" s="24" t="s">
        <v>1239</v>
      </c>
      <c r="D135" s="24" t="s">
        <v>1237</v>
      </c>
      <c r="E135" s="24" t="s">
        <v>1229</v>
      </c>
      <c r="F135" s="24" t="s">
        <v>120</v>
      </c>
      <c r="G135" s="24" t="s">
        <v>1164</v>
      </c>
      <c r="H135" s="26">
        <v>2</v>
      </c>
      <c r="I135" s="26">
        <v>4542.6099999999997</v>
      </c>
      <c r="J135" s="26">
        <v>9085.2199999999993</v>
      </c>
    </row>
    <row r="136" spans="1:10">
      <c r="A136" s="25">
        <v>45283</v>
      </c>
      <c r="B136" s="24" t="s">
        <v>1256</v>
      </c>
      <c r="C136" s="24" t="s">
        <v>1173</v>
      </c>
      <c r="D136" s="24" t="s">
        <v>1237</v>
      </c>
      <c r="E136" s="24" t="s">
        <v>1229</v>
      </c>
      <c r="F136" s="24" t="s">
        <v>120</v>
      </c>
      <c r="G136" s="24" t="s">
        <v>1164</v>
      </c>
      <c r="H136" s="26">
        <v>1</v>
      </c>
      <c r="I136" s="26">
        <v>3091.48</v>
      </c>
      <c r="J136" s="26">
        <v>3091.48</v>
      </c>
    </row>
    <row r="137" spans="1:10">
      <c r="A137" s="25">
        <v>44930</v>
      </c>
      <c r="B137" s="24" t="s">
        <v>1263</v>
      </c>
      <c r="C137" s="24" t="s">
        <v>1169</v>
      </c>
      <c r="D137" s="24" t="s">
        <v>1230</v>
      </c>
      <c r="E137" s="24" t="s">
        <v>1229</v>
      </c>
      <c r="F137" s="24" t="s">
        <v>132</v>
      </c>
      <c r="G137" s="24" t="s">
        <v>1253</v>
      </c>
      <c r="H137" s="26">
        <v>3</v>
      </c>
      <c r="I137" s="26">
        <v>2205.6</v>
      </c>
      <c r="J137" s="26">
        <v>6616.8</v>
      </c>
    </row>
    <row r="138" spans="1:10">
      <c r="A138" s="25">
        <v>45129</v>
      </c>
      <c r="B138" s="24" t="s">
        <v>1256</v>
      </c>
      <c r="C138" s="24" t="s">
        <v>1239</v>
      </c>
      <c r="D138" s="24" t="s">
        <v>1237</v>
      </c>
      <c r="E138" s="24" t="s">
        <v>1229</v>
      </c>
      <c r="F138" s="24" t="s">
        <v>120</v>
      </c>
      <c r="G138" s="24" t="s">
        <v>1275</v>
      </c>
      <c r="H138" s="26">
        <v>10</v>
      </c>
      <c r="I138" s="26">
        <v>4282.18</v>
      </c>
      <c r="J138" s="26">
        <v>42821.8</v>
      </c>
    </row>
    <row r="139" spans="1:10">
      <c r="A139" s="25">
        <v>45248</v>
      </c>
      <c r="B139" s="24" t="s">
        <v>1260</v>
      </c>
      <c r="C139" s="24" t="s">
        <v>1241</v>
      </c>
      <c r="D139" s="24" t="s">
        <v>1235</v>
      </c>
      <c r="E139" s="24" t="s">
        <v>1231</v>
      </c>
      <c r="F139" s="24" t="s">
        <v>145</v>
      </c>
      <c r="G139" s="24" t="s">
        <v>1255</v>
      </c>
      <c r="H139" s="26">
        <v>5</v>
      </c>
      <c r="I139" s="26">
        <v>4252.84</v>
      </c>
      <c r="J139" s="26">
        <v>21264.2</v>
      </c>
    </row>
    <row r="140" spans="1:10">
      <c r="A140" s="25">
        <v>44934</v>
      </c>
      <c r="B140" s="24" t="s">
        <v>1254</v>
      </c>
      <c r="C140" s="24" t="s">
        <v>1245</v>
      </c>
      <c r="D140" s="24" t="s">
        <v>1243</v>
      </c>
      <c r="E140" s="24" t="s">
        <v>1242</v>
      </c>
      <c r="F140" s="24" t="s">
        <v>132</v>
      </c>
      <c r="G140" s="24" t="s">
        <v>1279</v>
      </c>
      <c r="H140" s="26">
        <v>3</v>
      </c>
      <c r="I140" s="26">
        <v>916.33</v>
      </c>
      <c r="J140" s="26">
        <v>2748.99</v>
      </c>
    </row>
    <row r="141" spans="1:10">
      <c r="A141" s="25">
        <v>45029</v>
      </c>
      <c r="B141" s="24" t="s">
        <v>1254</v>
      </c>
      <c r="C141" s="24" t="s">
        <v>1248</v>
      </c>
      <c r="D141" s="24" t="s">
        <v>1230</v>
      </c>
      <c r="E141" s="24" t="s">
        <v>1229</v>
      </c>
      <c r="F141" s="24" t="s">
        <v>132</v>
      </c>
      <c r="G141" s="24" t="s">
        <v>1279</v>
      </c>
      <c r="H141" s="26">
        <v>3</v>
      </c>
      <c r="I141" s="26">
        <v>1270.1500000000001</v>
      </c>
      <c r="J141" s="26">
        <v>3810.45</v>
      </c>
    </row>
    <row r="142" spans="1:10">
      <c r="A142" s="25">
        <v>44968</v>
      </c>
      <c r="B142" s="24" t="s">
        <v>1256</v>
      </c>
      <c r="C142" s="24" t="s">
        <v>1234</v>
      </c>
      <c r="D142" s="24" t="s">
        <v>1232</v>
      </c>
      <c r="E142" s="24" t="s">
        <v>1231</v>
      </c>
      <c r="F142" s="24" t="s">
        <v>132</v>
      </c>
      <c r="G142" s="24" t="s">
        <v>1271</v>
      </c>
      <c r="H142" s="26">
        <v>6</v>
      </c>
      <c r="I142" s="26">
        <v>1750.35</v>
      </c>
      <c r="J142" s="26">
        <v>10502.1</v>
      </c>
    </row>
    <row r="143" spans="1:10">
      <c r="A143" s="25">
        <v>45230</v>
      </c>
      <c r="B143" s="24" t="s">
        <v>1252</v>
      </c>
      <c r="C143" s="24" t="s">
        <v>1234</v>
      </c>
      <c r="D143" s="24" t="s">
        <v>1232</v>
      </c>
      <c r="E143" s="24" t="s">
        <v>1231</v>
      </c>
      <c r="F143" s="24" t="s">
        <v>1249</v>
      </c>
      <c r="G143" s="24" t="s">
        <v>1259</v>
      </c>
      <c r="H143" s="26">
        <v>6</v>
      </c>
      <c r="I143" s="26">
        <v>1105.03</v>
      </c>
      <c r="J143" s="26">
        <v>6630.18</v>
      </c>
    </row>
    <row r="144" spans="1:10">
      <c r="A144" s="25">
        <v>45011</v>
      </c>
      <c r="B144" s="24" t="s">
        <v>1263</v>
      </c>
      <c r="C144" s="24" t="s">
        <v>1234</v>
      </c>
      <c r="D144" s="24" t="s">
        <v>1232</v>
      </c>
      <c r="E144" s="24" t="s">
        <v>1231</v>
      </c>
      <c r="F144" s="24" t="s">
        <v>132</v>
      </c>
      <c r="G144" s="24" t="s">
        <v>1253</v>
      </c>
      <c r="H144" s="26">
        <v>17</v>
      </c>
      <c r="I144" s="26">
        <v>1801.69</v>
      </c>
      <c r="J144" s="26">
        <v>30628.73</v>
      </c>
    </row>
    <row r="145" spans="1:10">
      <c r="A145" s="25">
        <v>45116</v>
      </c>
      <c r="B145" s="24" t="s">
        <v>1265</v>
      </c>
      <c r="C145" s="24" t="s">
        <v>1238</v>
      </c>
      <c r="D145" s="24" t="s">
        <v>1235</v>
      </c>
      <c r="E145" s="24" t="s">
        <v>1231</v>
      </c>
      <c r="F145" s="24" t="s">
        <v>120</v>
      </c>
      <c r="G145" s="24" t="s">
        <v>1164</v>
      </c>
      <c r="H145" s="26">
        <v>19</v>
      </c>
      <c r="I145" s="26">
        <v>717.29</v>
      </c>
      <c r="J145" s="26">
        <v>13628.51</v>
      </c>
    </row>
    <row r="146" spans="1:10">
      <c r="A146" s="25">
        <v>45221</v>
      </c>
      <c r="B146" s="24" t="s">
        <v>1256</v>
      </c>
      <c r="C146" s="24" t="s">
        <v>1246</v>
      </c>
      <c r="D146" s="24" t="s">
        <v>1230</v>
      </c>
      <c r="E146" s="24" t="s">
        <v>1229</v>
      </c>
      <c r="F146" s="24" t="s">
        <v>145</v>
      </c>
      <c r="G146" s="24" t="s">
        <v>1274</v>
      </c>
      <c r="H146" s="26">
        <v>2</v>
      </c>
      <c r="I146" s="26">
        <v>4547.16</v>
      </c>
      <c r="J146" s="26">
        <v>9094.32</v>
      </c>
    </row>
    <row r="147" spans="1:10">
      <c r="A147" s="25">
        <v>45234</v>
      </c>
      <c r="B147" s="24" t="s">
        <v>1263</v>
      </c>
      <c r="C147" s="24" t="s">
        <v>1245</v>
      </c>
      <c r="D147" s="24" t="s">
        <v>1243</v>
      </c>
      <c r="E147" s="24" t="s">
        <v>1242</v>
      </c>
      <c r="F147" s="24" t="s">
        <v>128</v>
      </c>
      <c r="G147" s="24" t="s">
        <v>1257</v>
      </c>
      <c r="H147" s="26">
        <v>2</v>
      </c>
      <c r="I147" s="26">
        <v>4818.49</v>
      </c>
      <c r="J147" s="26">
        <v>9636.98</v>
      </c>
    </row>
    <row r="148" spans="1:10">
      <c r="A148" s="25">
        <v>45240</v>
      </c>
      <c r="B148" s="24" t="s">
        <v>1258</v>
      </c>
      <c r="C148" s="24" t="s">
        <v>1233</v>
      </c>
      <c r="D148" s="24" t="s">
        <v>1232</v>
      </c>
      <c r="E148" s="24" t="s">
        <v>1231</v>
      </c>
      <c r="F148" s="24" t="s">
        <v>145</v>
      </c>
      <c r="G148" s="24" t="s">
        <v>1255</v>
      </c>
      <c r="H148" s="26">
        <v>14</v>
      </c>
      <c r="I148" s="26">
        <v>1410.91</v>
      </c>
      <c r="J148" s="26">
        <v>19752.740000000002</v>
      </c>
    </row>
    <row r="149" spans="1:10">
      <c r="A149" s="25">
        <v>45005</v>
      </c>
      <c r="B149" s="24" t="s">
        <v>1269</v>
      </c>
      <c r="C149" s="24" t="s">
        <v>1241</v>
      </c>
      <c r="D149" s="24" t="s">
        <v>1235</v>
      </c>
      <c r="E149" s="24" t="s">
        <v>1231</v>
      </c>
      <c r="F149" s="24" t="s">
        <v>128</v>
      </c>
      <c r="G149" s="24" t="s">
        <v>1257</v>
      </c>
      <c r="H149" s="26">
        <v>20</v>
      </c>
      <c r="I149" s="26">
        <v>239.35</v>
      </c>
      <c r="J149" s="26">
        <v>4787</v>
      </c>
    </row>
    <row r="150" spans="1:10">
      <c r="A150" s="25">
        <v>45079</v>
      </c>
      <c r="B150" s="24" t="s">
        <v>1260</v>
      </c>
      <c r="C150" s="24" t="s">
        <v>1246</v>
      </c>
      <c r="D150" s="24" t="s">
        <v>1230</v>
      </c>
      <c r="E150" s="24" t="s">
        <v>1229</v>
      </c>
      <c r="F150" s="24" t="s">
        <v>145</v>
      </c>
      <c r="G150" s="24" t="s">
        <v>1274</v>
      </c>
      <c r="H150" s="26">
        <v>16</v>
      </c>
      <c r="I150" s="26">
        <v>4096.74</v>
      </c>
      <c r="J150" s="26">
        <v>65547.839999999997</v>
      </c>
    </row>
    <row r="151" spans="1:10">
      <c r="A151" s="25">
        <v>44945</v>
      </c>
      <c r="B151" s="24" t="s">
        <v>1260</v>
      </c>
      <c r="C151" s="24" t="s">
        <v>1233</v>
      </c>
      <c r="D151" s="24" t="s">
        <v>1232</v>
      </c>
      <c r="E151" s="24" t="s">
        <v>1231</v>
      </c>
      <c r="F151" s="24" t="s">
        <v>145</v>
      </c>
      <c r="G151" s="24" t="s">
        <v>1261</v>
      </c>
      <c r="H151" s="26">
        <v>14</v>
      </c>
      <c r="I151" s="26">
        <v>3507.25</v>
      </c>
      <c r="J151" s="26">
        <v>49101.5</v>
      </c>
    </row>
    <row r="152" spans="1:10">
      <c r="A152" s="25">
        <v>44971</v>
      </c>
      <c r="B152" s="24" t="s">
        <v>1258</v>
      </c>
      <c r="C152" s="24" t="s">
        <v>1173</v>
      </c>
      <c r="D152" s="24" t="s">
        <v>1237</v>
      </c>
      <c r="E152" s="24" t="s">
        <v>1229</v>
      </c>
      <c r="F152" s="24" t="s">
        <v>145</v>
      </c>
      <c r="G152" s="24" t="s">
        <v>1274</v>
      </c>
      <c r="H152" s="26">
        <v>16</v>
      </c>
      <c r="I152" s="26">
        <v>4507.37</v>
      </c>
      <c r="J152" s="26">
        <v>72117.919999999998</v>
      </c>
    </row>
    <row r="153" spans="1:10">
      <c r="A153" s="25">
        <v>45072</v>
      </c>
      <c r="B153" s="24" t="s">
        <v>1260</v>
      </c>
      <c r="C153" s="24" t="s">
        <v>1245</v>
      </c>
      <c r="D153" s="24" t="s">
        <v>1243</v>
      </c>
      <c r="E153" s="24" t="s">
        <v>1242</v>
      </c>
      <c r="F153" s="24" t="s">
        <v>132</v>
      </c>
      <c r="G153" s="24" t="s">
        <v>1271</v>
      </c>
      <c r="H153" s="26">
        <v>10</v>
      </c>
      <c r="I153" s="26">
        <v>239.55</v>
      </c>
      <c r="J153" s="26">
        <v>2395.5</v>
      </c>
    </row>
    <row r="154" spans="1:10">
      <c r="A154" s="25">
        <v>45095</v>
      </c>
      <c r="B154" s="24" t="s">
        <v>1252</v>
      </c>
      <c r="C154" s="24" t="s">
        <v>1239</v>
      </c>
      <c r="D154" s="24" t="s">
        <v>1237</v>
      </c>
      <c r="E154" s="24" t="s">
        <v>1229</v>
      </c>
      <c r="F154" s="24" t="s">
        <v>145</v>
      </c>
      <c r="G154" s="24" t="s">
        <v>1261</v>
      </c>
      <c r="H154" s="26">
        <v>17</v>
      </c>
      <c r="I154" s="26">
        <v>679.78</v>
      </c>
      <c r="J154" s="26">
        <v>11556.26</v>
      </c>
    </row>
    <row r="155" spans="1:10">
      <c r="A155" s="25">
        <v>45255</v>
      </c>
      <c r="B155" s="24" t="s">
        <v>1260</v>
      </c>
      <c r="C155" s="24" t="s">
        <v>1236</v>
      </c>
      <c r="D155" s="24" t="s">
        <v>1235</v>
      </c>
      <c r="E155" s="24" t="s">
        <v>1231</v>
      </c>
      <c r="F155" s="24" t="s">
        <v>132</v>
      </c>
      <c r="G155" s="24" t="s">
        <v>1279</v>
      </c>
      <c r="H155" s="26">
        <v>18</v>
      </c>
      <c r="I155" s="26">
        <v>2658.57</v>
      </c>
      <c r="J155" s="26">
        <v>47854.26</v>
      </c>
    </row>
    <row r="156" spans="1:10">
      <c r="A156" s="25">
        <v>45062</v>
      </c>
      <c r="B156" s="24" t="s">
        <v>1265</v>
      </c>
      <c r="C156" s="24" t="s">
        <v>1234</v>
      </c>
      <c r="D156" s="24" t="s">
        <v>1232</v>
      </c>
      <c r="E156" s="24" t="s">
        <v>1231</v>
      </c>
      <c r="F156" s="24" t="s">
        <v>132</v>
      </c>
      <c r="G156" s="24" t="s">
        <v>1253</v>
      </c>
      <c r="H156" s="26">
        <v>18</v>
      </c>
      <c r="I156" s="26">
        <v>4937.99</v>
      </c>
      <c r="J156" s="26">
        <v>88883.82</v>
      </c>
    </row>
    <row r="157" spans="1:10">
      <c r="A157" s="25">
        <v>45244</v>
      </c>
      <c r="B157" s="24" t="s">
        <v>1265</v>
      </c>
      <c r="C157" s="24" t="s">
        <v>1169</v>
      </c>
      <c r="D157" s="24" t="s">
        <v>1230</v>
      </c>
      <c r="E157" s="24" t="s">
        <v>1229</v>
      </c>
      <c r="F157" s="24" t="s">
        <v>132</v>
      </c>
      <c r="G157" s="24" t="s">
        <v>1277</v>
      </c>
      <c r="H157" s="26">
        <v>17</v>
      </c>
      <c r="I157" s="26">
        <v>3421.31</v>
      </c>
      <c r="J157" s="26">
        <v>58162.27</v>
      </c>
    </row>
    <row r="158" spans="1:10">
      <c r="A158" s="25">
        <v>45248</v>
      </c>
      <c r="B158" s="24" t="s">
        <v>1269</v>
      </c>
      <c r="C158" s="24" t="s">
        <v>1247</v>
      </c>
      <c r="D158" s="24" t="s">
        <v>1243</v>
      </c>
      <c r="E158" s="24" t="s">
        <v>1242</v>
      </c>
      <c r="F158" s="24" t="s">
        <v>120</v>
      </c>
      <c r="G158" s="24" t="s">
        <v>1164</v>
      </c>
      <c r="H158" s="26">
        <v>4</v>
      </c>
      <c r="I158" s="26">
        <v>1555.9</v>
      </c>
      <c r="J158" s="26">
        <v>6223.6</v>
      </c>
    </row>
    <row r="159" spans="1:10">
      <c r="A159" s="25">
        <v>45076</v>
      </c>
      <c r="B159" s="24" t="s">
        <v>1262</v>
      </c>
      <c r="C159" s="24" t="s">
        <v>1173</v>
      </c>
      <c r="D159" s="24" t="s">
        <v>1237</v>
      </c>
      <c r="E159" s="24" t="s">
        <v>1229</v>
      </c>
      <c r="F159" s="24" t="s">
        <v>120</v>
      </c>
      <c r="G159" s="24" t="s">
        <v>1164</v>
      </c>
      <c r="H159" s="26">
        <v>12</v>
      </c>
      <c r="I159" s="26">
        <v>932.42</v>
      </c>
      <c r="J159" s="26">
        <v>11189.04</v>
      </c>
    </row>
    <row r="160" spans="1:10">
      <c r="A160" s="25">
        <v>45098</v>
      </c>
      <c r="B160" s="24" t="s">
        <v>1260</v>
      </c>
      <c r="C160" s="24" t="s">
        <v>1236</v>
      </c>
      <c r="D160" s="24" t="s">
        <v>1235</v>
      </c>
      <c r="E160" s="24" t="s">
        <v>1231</v>
      </c>
      <c r="F160" s="24" t="s">
        <v>132</v>
      </c>
      <c r="G160" s="24" t="s">
        <v>1279</v>
      </c>
      <c r="H160" s="26">
        <v>20</v>
      </c>
      <c r="I160" s="26">
        <v>459.48</v>
      </c>
      <c r="J160" s="26">
        <v>9189.6</v>
      </c>
    </row>
    <row r="161" spans="1:10">
      <c r="A161" s="25">
        <v>45014</v>
      </c>
      <c r="B161" s="24" t="s">
        <v>1254</v>
      </c>
      <c r="C161" s="24" t="s">
        <v>1241</v>
      </c>
      <c r="D161" s="24" t="s">
        <v>1235</v>
      </c>
      <c r="E161" s="24" t="s">
        <v>1231</v>
      </c>
      <c r="F161" s="24" t="s">
        <v>120</v>
      </c>
      <c r="G161" s="24" t="s">
        <v>1275</v>
      </c>
      <c r="H161" s="26">
        <v>5</v>
      </c>
      <c r="I161" s="26">
        <v>568.87</v>
      </c>
      <c r="J161" s="26">
        <v>2844.35</v>
      </c>
    </row>
    <row r="162" spans="1:10">
      <c r="A162" s="25">
        <v>45063</v>
      </c>
      <c r="B162" s="24" t="s">
        <v>1256</v>
      </c>
      <c r="C162" s="24" t="s">
        <v>1238</v>
      </c>
      <c r="D162" s="24" t="s">
        <v>1235</v>
      </c>
      <c r="E162" s="24" t="s">
        <v>1231</v>
      </c>
      <c r="F162" s="24" t="s">
        <v>128</v>
      </c>
      <c r="G162" s="24" t="s">
        <v>1273</v>
      </c>
      <c r="H162" s="26">
        <v>10</v>
      </c>
      <c r="I162" s="26">
        <v>1468.96</v>
      </c>
      <c r="J162" s="26">
        <v>14689.6</v>
      </c>
    </row>
    <row r="163" spans="1:10">
      <c r="A163" s="25">
        <v>45129</v>
      </c>
      <c r="B163" s="24" t="s">
        <v>1269</v>
      </c>
      <c r="C163" s="24" t="s">
        <v>1247</v>
      </c>
      <c r="D163" s="24" t="s">
        <v>1243</v>
      </c>
      <c r="E163" s="24" t="s">
        <v>1242</v>
      </c>
      <c r="F163" s="24" t="s">
        <v>132</v>
      </c>
      <c r="G163" s="24" t="s">
        <v>1279</v>
      </c>
      <c r="H163" s="26">
        <v>6</v>
      </c>
      <c r="I163" s="26">
        <v>3080.25</v>
      </c>
      <c r="J163" s="26">
        <v>18481.5</v>
      </c>
    </row>
    <row r="164" spans="1:10">
      <c r="A164" s="25">
        <v>45227</v>
      </c>
      <c r="B164" s="24" t="s">
        <v>1269</v>
      </c>
      <c r="C164" s="24" t="s">
        <v>1241</v>
      </c>
      <c r="D164" s="24" t="s">
        <v>1235</v>
      </c>
      <c r="E164" s="24" t="s">
        <v>1231</v>
      </c>
      <c r="F164" s="24" t="s">
        <v>128</v>
      </c>
      <c r="G164" s="24" t="s">
        <v>1264</v>
      </c>
      <c r="H164" s="26">
        <v>11</v>
      </c>
      <c r="I164" s="26">
        <v>1817.43</v>
      </c>
      <c r="J164" s="26">
        <v>19991.73</v>
      </c>
    </row>
    <row r="165" spans="1:10">
      <c r="A165" s="25">
        <v>45000</v>
      </c>
      <c r="B165" s="24" t="s">
        <v>1252</v>
      </c>
      <c r="C165" s="24" t="s">
        <v>1245</v>
      </c>
      <c r="D165" s="24" t="s">
        <v>1243</v>
      </c>
      <c r="E165" s="24" t="s">
        <v>1242</v>
      </c>
      <c r="F165" s="24" t="s">
        <v>145</v>
      </c>
      <c r="G165" s="24" t="s">
        <v>1274</v>
      </c>
      <c r="H165" s="26">
        <v>19</v>
      </c>
      <c r="I165" s="26">
        <v>3800.55</v>
      </c>
      <c r="J165" s="26">
        <v>72210.45</v>
      </c>
    </row>
    <row r="166" spans="1:10">
      <c r="A166" s="25">
        <v>45121</v>
      </c>
      <c r="B166" s="24" t="s">
        <v>1262</v>
      </c>
      <c r="C166" s="24" t="s">
        <v>1246</v>
      </c>
      <c r="D166" s="24" t="s">
        <v>1230</v>
      </c>
      <c r="E166" s="24" t="s">
        <v>1229</v>
      </c>
      <c r="F166" s="24" t="s">
        <v>120</v>
      </c>
      <c r="G166" s="24" t="s">
        <v>1164</v>
      </c>
      <c r="H166" s="26">
        <v>17</v>
      </c>
      <c r="I166" s="26">
        <v>2809.13</v>
      </c>
      <c r="J166" s="26">
        <v>47755.21</v>
      </c>
    </row>
    <row r="167" spans="1:10">
      <c r="A167" s="25">
        <v>45083</v>
      </c>
      <c r="B167" s="24" t="s">
        <v>1256</v>
      </c>
      <c r="C167" s="24" t="s">
        <v>1236</v>
      </c>
      <c r="D167" s="24" t="s">
        <v>1235</v>
      </c>
      <c r="E167" s="24" t="s">
        <v>1231</v>
      </c>
      <c r="F167" s="24" t="s">
        <v>145</v>
      </c>
      <c r="G167" s="24" t="s">
        <v>1255</v>
      </c>
      <c r="H167" s="26">
        <v>9</v>
      </c>
      <c r="I167" s="26">
        <v>4712.9799999999996</v>
      </c>
      <c r="J167" s="26">
        <v>42416.82</v>
      </c>
    </row>
    <row r="168" spans="1:10">
      <c r="A168" s="25">
        <v>45262</v>
      </c>
      <c r="B168" s="24" t="s">
        <v>1256</v>
      </c>
      <c r="C168" s="24" t="s">
        <v>1246</v>
      </c>
      <c r="D168" s="24" t="s">
        <v>1230</v>
      </c>
      <c r="E168" s="24" t="s">
        <v>1229</v>
      </c>
      <c r="F168" s="24" t="s">
        <v>120</v>
      </c>
      <c r="G168" s="24" t="s">
        <v>1276</v>
      </c>
      <c r="H168" s="26">
        <v>1</v>
      </c>
      <c r="I168" s="26">
        <v>4541.7700000000004</v>
      </c>
      <c r="J168" s="26">
        <v>4541.7700000000004</v>
      </c>
    </row>
    <row r="169" spans="1:10">
      <c r="A169" s="25">
        <v>44988</v>
      </c>
      <c r="B169" s="24" t="s">
        <v>1263</v>
      </c>
      <c r="C169" s="24" t="s">
        <v>1244</v>
      </c>
      <c r="D169" s="24" t="s">
        <v>1243</v>
      </c>
      <c r="E169" s="24" t="s">
        <v>1242</v>
      </c>
      <c r="F169" s="24" t="s">
        <v>120</v>
      </c>
      <c r="G169" s="24" t="s">
        <v>1165</v>
      </c>
      <c r="H169" s="26">
        <v>9</v>
      </c>
      <c r="I169" s="26">
        <v>3122.72</v>
      </c>
      <c r="J169" s="26">
        <v>28104.48</v>
      </c>
    </row>
    <row r="170" spans="1:10">
      <c r="A170" s="25">
        <v>45005</v>
      </c>
      <c r="B170" s="24" t="s">
        <v>1262</v>
      </c>
      <c r="C170" s="24" t="s">
        <v>1171</v>
      </c>
      <c r="D170" s="24" t="s">
        <v>1237</v>
      </c>
      <c r="E170" s="24" t="s">
        <v>1229</v>
      </c>
      <c r="F170" s="24" t="s">
        <v>145</v>
      </c>
      <c r="G170" s="24" t="s">
        <v>1274</v>
      </c>
      <c r="H170" s="26">
        <v>9</v>
      </c>
      <c r="I170" s="26">
        <v>4198.92</v>
      </c>
      <c r="J170" s="26">
        <v>37790.28</v>
      </c>
    </row>
    <row r="171" spans="1:10">
      <c r="A171" s="25">
        <v>44989</v>
      </c>
      <c r="B171" s="24" t="s">
        <v>1260</v>
      </c>
      <c r="C171" s="24" t="s">
        <v>1234</v>
      </c>
      <c r="D171" s="24" t="s">
        <v>1232</v>
      </c>
      <c r="E171" s="24" t="s">
        <v>1231</v>
      </c>
      <c r="F171" s="24" t="s">
        <v>132</v>
      </c>
      <c r="G171" s="24" t="s">
        <v>1277</v>
      </c>
      <c r="H171" s="26">
        <v>17</v>
      </c>
      <c r="I171" s="26">
        <v>4415.8500000000004</v>
      </c>
      <c r="J171" s="26">
        <v>75069.45</v>
      </c>
    </row>
    <row r="172" spans="1:10">
      <c r="A172" s="25">
        <v>45224</v>
      </c>
      <c r="B172" s="24" t="s">
        <v>1267</v>
      </c>
      <c r="C172" s="24" t="s">
        <v>1241</v>
      </c>
      <c r="D172" s="24" t="s">
        <v>1235</v>
      </c>
      <c r="E172" s="24" t="s">
        <v>1231</v>
      </c>
      <c r="F172" s="24" t="s">
        <v>1249</v>
      </c>
      <c r="G172" s="24" t="s">
        <v>1270</v>
      </c>
      <c r="H172" s="26">
        <v>16</v>
      </c>
      <c r="I172" s="26">
        <v>4684.8599999999997</v>
      </c>
      <c r="J172" s="26">
        <v>74957.759999999995</v>
      </c>
    </row>
    <row r="173" spans="1:10">
      <c r="A173" s="25">
        <v>45283</v>
      </c>
      <c r="B173" s="24" t="s">
        <v>1256</v>
      </c>
      <c r="C173" s="24" t="s">
        <v>1241</v>
      </c>
      <c r="D173" s="24" t="s">
        <v>1235</v>
      </c>
      <c r="E173" s="24" t="s">
        <v>1231</v>
      </c>
      <c r="F173" s="24" t="s">
        <v>132</v>
      </c>
      <c r="G173" s="24" t="s">
        <v>1271</v>
      </c>
      <c r="H173" s="26">
        <v>17</v>
      </c>
      <c r="I173" s="26">
        <v>4156.25</v>
      </c>
      <c r="J173" s="26">
        <v>70656.25</v>
      </c>
    </row>
    <row r="174" spans="1:10">
      <c r="A174" s="25">
        <v>45051</v>
      </c>
      <c r="B174" s="24" t="s">
        <v>1256</v>
      </c>
      <c r="C174" s="24" t="s">
        <v>1234</v>
      </c>
      <c r="D174" s="24" t="s">
        <v>1232</v>
      </c>
      <c r="E174" s="24" t="s">
        <v>1231</v>
      </c>
      <c r="F174" s="24" t="s">
        <v>145</v>
      </c>
      <c r="G174" s="24" t="s">
        <v>1274</v>
      </c>
      <c r="H174" s="26">
        <v>10</v>
      </c>
      <c r="I174" s="26">
        <v>3776.8</v>
      </c>
      <c r="J174" s="26">
        <v>37768</v>
      </c>
    </row>
    <row r="175" spans="1:10">
      <c r="A175" s="25">
        <v>44950</v>
      </c>
      <c r="B175" s="24" t="s">
        <v>1265</v>
      </c>
      <c r="C175" s="24" t="s">
        <v>1169</v>
      </c>
      <c r="D175" s="24" t="s">
        <v>1230</v>
      </c>
      <c r="E175" s="24" t="s">
        <v>1229</v>
      </c>
      <c r="F175" s="24" t="s">
        <v>120</v>
      </c>
      <c r="G175" s="24" t="s">
        <v>1164</v>
      </c>
      <c r="H175" s="26">
        <v>8</v>
      </c>
      <c r="I175" s="26">
        <v>310.33</v>
      </c>
      <c r="J175" s="26">
        <v>2482.64</v>
      </c>
    </row>
    <row r="176" spans="1:10">
      <c r="A176" s="25">
        <v>45051</v>
      </c>
      <c r="B176" s="24" t="s">
        <v>1260</v>
      </c>
      <c r="C176" s="24" t="s">
        <v>1246</v>
      </c>
      <c r="D176" s="24" t="s">
        <v>1230</v>
      </c>
      <c r="E176" s="24" t="s">
        <v>1229</v>
      </c>
      <c r="F176" s="24" t="s">
        <v>1249</v>
      </c>
      <c r="G176" s="24" t="s">
        <v>1268</v>
      </c>
      <c r="H176" s="26">
        <v>5</v>
      </c>
      <c r="I176" s="26">
        <v>1313.4</v>
      </c>
      <c r="J176" s="26">
        <v>6567</v>
      </c>
    </row>
    <row r="177" spans="1:10">
      <c r="A177" s="25">
        <v>45218</v>
      </c>
      <c r="B177" s="24" t="s">
        <v>1269</v>
      </c>
      <c r="C177" s="24" t="s">
        <v>1239</v>
      </c>
      <c r="D177" s="24" t="s">
        <v>1237</v>
      </c>
      <c r="E177" s="24" t="s">
        <v>1229</v>
      </c>
      <c r="F177" s="24" t="s">
        <v>1249</v>
      </c>
      <c r="G177" s="24" t="s">
        <v>1270</v>
      </c>
      <c r="H177" s="26">
        <v>6</v>
      </c>
      <c r="I177" s="26">
        <v>2332.11</v>
      </c>
      <c r="J177" s="26">
        <v>13992.66</v>
      </c>
    </row>
    <row r="178" spans="1:10">
      <c r="A178" s="25">
        <v>45045</v>
      </c>
      <c r="B178" s="24" t="s">
        <v>1254</v>
      </c>
      <c r="C178" s="24" t="s">
        <v>1245</v>
      </c>
      <c r="D178" s="24" t="s">
        <v>1243</v>
      </c>
      <c r="E178" s="24" t="s">
        <v>1242</v>
      </c>
      <c r="F178" s="24" t="s">
        <v>145</v>
      </c>
      <c r="G178" s="24" t="s">
        <v>1278</v>
      </c>
      <c r="H178" s="26">
        <v>3</v>
      </c>
      <c r="I178" s="26">
        <v>4955.22</v>
      </c>
      <c r="J178" s="26">
        <v>14865.66</v>
      </c>
    </row>
    <row r="179" spans="1:10">
      <c r="A179" s="25">
        <v>45243</v>
      </c>
      <c r="B179" s="24" t="s">
        <v>1254</v>
      </c>
      <c r="C179" s="24" t="s">
        <v>1239</v>
      </c>
      <c r="D179" s="24" t="s">
        <v>1237</v>
      </c>
      <c r="E179" s="24" t="s">
        <v>1229</v>
      </c>
      <c r="F179" s="24" t="s">
        <v>132</v>
      </c>
      <c r="G179" s="24" t="s">
        <v>1253</v>
      </c>
      <c r="H179" s="26">
        <v>17</v>
      </c>
      <c r="I179" s="26">
        <v>3827.64</v>
      </c>
      <c r="J179" s="26">
        <v>65069.88</v>
      </c>
    </row>
    <row r="180" spans="1:10">
      <c r="A180" s="25">
        <v>45173</v>
      </c>
      <c r="B180" s="24" t="s">
        <v>1252</v>
      </c>
      <c r="C180" s="24" t="s">
        <v>1169</v>
      </c>
      <c r="D180" s="24" t="s">
        <v>1230</v>
      </c>
      <c r="E180" s="24" t="s">
        <v>1229</v>
      </c>
      <c r="F180" s="24" t="s">
        <v>128</v>
      </c>
      <c r="G180" s="24" t="s">
        <v>1257</v>
      </c>
      <c r="H180" s="26">
        <v>17</v>
      </c>
      <c r="I180" s="26">
        <v>3857.33</v>
      </c>
      <c r="J180" s="26">
        <v>65574.61</v>
      </c>
    </row>
    <row r="181" spans="1:10">
      <c r="A181" s="25">
        <v>45256</v>
      </c>
      <c r="B181" s="24" t="s">
        <v>1256</v>
      </c>
      <c r="C181" s="24" t="s">
        <v>1240</v>
      </c>
      <c r="D181" s="24" t="s">
        <v>1232</v>
      </c>
      <c r="E181" s="24" t="s">
        <v>1231</v>
      </c>
      <c r="F181" s="24" t="s">
        <v>128</v>
      </c>
      <c r="G181" s="24" t="s">
        <v>1266</v>
      </c>
      <c r="H181" s="26">
        <v>8</v>
      </c>
      <c r="I181" s="26">
        <v>1421.21</v>
      </c>
      <c r="J181" s="26">
        <v>11369.68</v>
      </c>
    </row>
    <row r="182" spans="1:10">
      <c r="A182" s="25">
        <v>45104</v>
      </c>
      <c r="B182" s="24" t="s">
        <v>1254</v>
      </c>
      <c r="C182" s="24" t="s">
        <v>1171</v>
      </c>
      <c r="D182" s="24" t="s">
        <v>1237</v>
      </c>
      <c r="E182" s="24" t="s">
        <v>1229</v>
      </c>
      <c r="F182" s="24" t="s">
        <v>1249</v>
      </c>
      <c r="G182" s="24" t="s">
        <v>1272</v>
      </c>
      <c r="H182" s="26">
        <v>1</v>
      </c>
      <c r="I182" s="26">
        <v>1544.87</v>
      </c>
      <c r="J182" s="26">
        <v>1544.87</v>
      </c>
    </row>
    <row r="183" spans="1:10">
      <c r="A183" s="25">
        <v>45136</v>
      </c>
      <c r="B183" s="24" t="s">
        <v>1256</v>
      </c>
      <c r="C183" s="24" t="s">
        <v>1169</v>
      </c>
      <c r="D183" s="24" t="s">
        <v>1230</v>
      </c>
      <c r="E183" s="24" t="s">
        <v>1229</v>
      </c>
      <c r="F183" s="24" t="s">
        <v>1249</v>
      </c>
      <c r="G183" s="24" t="s">
        <v>1270</v>
      </c>
      <c r="H183" s="26">
        <v>14</v>
      </c>
      <c r="I183" s="26">
        <v>2764.71</v>
      </c>
      <c r="J183" s="26">
        <v>38705.94</v>
      </c>
    </row>
    <row r="184" spans="1:10">
      <c r="A184" s="25">
        <v>45111</v>
      </c>
      <c r="B184" s="24" t="s">
        <v>1262</v>
      </c>
      <c r="C184" s="24" t="s">
        <v>1236</v>
      </c>
      <c r="D184" s="24" t="s">
        <v>1235</v>
      </c>
      <c r="E184" s="24" t="s">
        <v>1231</v>
      </c>
      <c r="F184" s="24" t="s">
        <v>128</v>
      </c>
      <c r="G184" s="24" t="s">
        <v>1257</v>
      </c>
      <c r="H184" s="26">
        <v>9</v>
      </c>
      <c r="I184" s="26">
        <v>2210.8000000000002</v>
      </c>
      <c r="J184" s="26">
        <v>19897.2</v>
      </c>
    </row>
    <row r="185" spans="1:10">
      <c r="A185" s="25">
        <v>44928</v>
      </c>
      <c r="B185" s="24" t="s">
        <v>1256</v>
      </c>
      <c r="C185" s="24" t="s">
        <v>1233</v>
      </c>
      <c r="D185" s="24" t="s">
        <v>1232</v>
      </c>
      <c r="E185" s="24" t="s">
        <v>1231</v>
      </c>
      <c r="F185" s="24" t="s">
        <v>132</v>
      </c>
      <c r="G185" s="24" t="s">
        <v>1279</v>
      </c>
      <c r="H185" s="26">
        <v>3</v>
      </c>
      <c r="I185" s="26">
        <v>4359.8999999999996</v>
      </c>
      <c r="J185" s="26">
        <v>13079.7</v>
      </c>
    </row>
    <row r="186" spans="1:10">
      <c r="A186" s="25">
        <v>45012</v>
      </c>
      <c r="B186" s="24" t="s">
        <v>1265</v>
      </c>
      <c r="C186" s="24" t="s">
        <v>1241</v>
      </c>
      <c r="D186" s="24" t="s">
        <v>1235</v>
      </c>
      <c r="E186" s="24" t="s">
        <v>1231</v>
      </c>
      <c r="F186" s="24" t="s">
        <v>132</v>
      </c>
      <c r="G186" s="24" t="s">
        <v>1253</v>
      </c>
      <c r="H186" s="26">
        <v>7</v>
      </c>
      <c r="I186" s="26">
        <v>3836.77</v>
      </c>
      <c r="J186" s="26">
        <v>26857.39</v>
      </c>
    </row>
    <row r="187" spans="1:10">
      <c r="A187" s="25">
        <v>45217</v>
      </c>
      <c r="B187" s="24" t="s">
        <v>1263</v>
      </c>
      <c r="C187" s="24" t="s">
        <v>1169</v>
      </c>
      <c r="D187" s="24" t="s">
        <v>1230</v>
      </c>
      <c r="E187" s="24" t="s">
        <v>1229</v>
      </c>
      <c r="F187" s="24" t="s">
        <v>145</v>
      </c>
      <c r="G187" s="24" t="s">
        <v>1274</v>
      </c>
      <c r="H187" s="26">
        <v>7</v>
      </c>
      <c r="I187" s="26">
        <v>560.58000000000004</v>
      </c>
      <c r="J187" s="26">
        <v>3924.06</v>
      </c>
    </row>
    <row r="188" spans="1:10">
      <c r="A188" s="25">
        <v>45089</v>
      </c>
      <c r="B188" s="24" t="s">
        <v>1260</v>
      </c>
      <c r="C188" s="24" t="s">
        <v>1244</v>
      </c>
      <c r="D188" s="24" t="s">
        <v>1243</v>
      </c>
      <c r="E188" s="24" t="s">
        <v>1242</v>
      </c>
      <c r="F188" s="24" t="s">
        <v>120</v>
      </c>
      <c r="G188" s="24" t="s">
        <v>1164</v>
      </c>
      <c r="H188" s="26">
        <v>17</v>
      </c>
      <c r="I188" s="26">
        <v>1574.45</v>
      </c>
      <c r="J188" s="26">
        <v>26765.65</v>
      </c>
    </row>
    <row r="189" spans="1:10">
      <c r="A189" s="25">
        <v>44987</v>
      </c>
      <c r="B189" s="24" t="s">
        <v>1258</v>
      </c>
      <c r="C189" s="24" t="s">
        <v>1244</v>
      </c>
      <c r="D189" s="24" t="s">
        <v>1243</v>
      </c>
      <c r="E189" s="24" t="s">
        <v>1242</v>
      </c>
      <c r="F189" s="24" t="s">
        <v>132</v>
      </c>
      <c r="G189" s="24" t="s">
        <v>1253</v>
      </c>
      <c r="H189" s="26">
        <v>17</v>
      </c>
      <c r="I189" s="26">
        <v>578.66999999999996</v>
      </c>
      <c r="J189" s="26">
        <v>9837.39</v>
      </c>
    </row>
    <row r="190" spans="1:10">
      <c r="A190" s="25">
        <v>45286</v>
      </c>
      <c r="B190" s="24" t="s">
        <v>1263</v>
      </c>
      <c r="C190" s="24" t="s">
        <v>1234</v>
      </c>
      <c r="D190" s="24" t="s">
        <v>1232</v>
      </c>
      <c r="E190" s="24" t="s">
        <v>1231</v>
      </c>
      <c r="F190" s="24" t="s">
        <v>1249</v>
      </c>
      <c r="G190" s="24" t="s">
        <v>1259</v>
      </c>
      <c r="H190" s="26">
        <v>19</v>
      </c>
      <c r="I190" s="26">
        <v>1441.02</v>
      </c>
      <c r="J190" s="26">
        <v>27379.38</v>
      </c>
    </row>
    <row r="191" spans="1:10">
      <c r="A191" s="25">
        <v>45187</v>
      </c>
      <c r="B191" s="24" t="s">
        <v>1252</v>
      </c>
      <c r="C191" s="24" t="s">
        <v>1233</v>
      </c>
      <c r="D191" s="24" t="s">
        <v>1232</v>
      </c>
      <c r="E191" s="24" t="s">
        <v>1231</v>
      </c>
      <c r="F191" s="24" t="s">
        <v>132</v>
      </c>
      <c r="G191" s="24" t="s">
        <v>1277</v>
      </c>
      <c r="H191" s="26">
        <v>19</v>
      </c>
      <c r="I191" s="26">
        <v>618.02</v>
      </c>
      <c r="J191" s="26">
        <v>11742.38</v>
      </c>
    </row>
    <row r="192" spans="1:10">
      <c r="A192" s="25">
        <v>44971</v>
      </c>
      <c r="B192" s="24" t="s">
        <v>1265</v>
      </c>
      <c r="C192" s="24" t="s">
        <v>1246</v>
      </c>
      <c r="D192" s="24" t="s">
        <v>1230</v>
      </c>
      <c r="E192" s="24" t="s">
        <v>1229</v>
      </c>
      <c r="F192" s="24" t="s">
        <v>145</v>
      </c>
      <c r="G192" s="24" t="s">
        <v>1261</v>
      </c>
      <c r="H192" s="26">
        <v>15</v>
      </c>
      <c r="I192" s="26">
        <v>4093.93</v>
      </c>
      <c r="J192" s="26">
        <v>61408.95</v>
      </c>
    </row>
    <row r="193" spans="1:10">
      <c r="A193" s="25">
        <v>44956</v>
      </c>
      <c r="B193" s="24" t="s">
        <v>1254</v>
      </c>
      <c r="C193" s="24" t="s">
        <v>1248</v>
      </c>
      <c r="D193" s="24" t="s">
        <v>1230</v>
      </c>
      <c r="E193" s="24" t="s">
        <v>1229</v>
      </c>
      <c r="F193" s="24" t="s">
        <v>132</v>
      </c>
      <c r="G193" s="24" t="s">
        <v>1271</v>
      </c>
      <c r="H193" s="26">
        <v>16</v>
      </c>
      <c r="I193" s="26">
        <v>2714.37</v>
      </c>
      <c r="J193" s="26">
        <v>43429.919999999998</v>
      </c>
    </row>
    <row r="194" spans="1:10">
      <c r="A194" s="25">
        <v>45098</v>
      </c>
      <c r="B194" s="24" t="s">
        <v>1262</v>
      </c>
      <c r="C194" s="24" t="s">
        <v>1246</v>
      </c>
      <c r="D194" s="24" t="s">
        <v>1230</v>
      </c>
      <c r="E194" s="24" t="s">
        <v>1229</v>
      </c>
      <c r="F194" s="24" t="s">
        <v>128</v>
      </c>
      <c r="G194" s="24" t="s">
        <v>1257</v>
      </c>
      <c r="H194" s="26">
        <v>8</v>
      </c>
      <c r="I194" s="26">
        <v>4658.57</v>
      </c>
      <c r="J194" s="26">
        <v>37268.559999999998</v>
      </c>
    </row>
    <row r="195" spans="1:10">
      <c r="A195" s="25">
        <v>45150</v>
      </c>
      <c r="B195" s="24" t="s">
        <v>1263</v>
      </c>
      <c r="C195" s="24" t="s">
        <v>1239</v>
      </c>
      <c r="D195" s="24" t="s">
        <v>1237</v>
      </c>
      <c r="E195" s="24" t="s">
        <v>1229</v>
      </c>
      <c r="F195" s="24" t="s">
        <v>145</v>
      </c>
      <c r="G195" s="24" t="s">
        <v>1278</v>
      </c>
      <c r="H195" s="26">
        <v>20</v>
      </c>
      <c r="I195" s="26">
        <v>3203.76</v>
      </c>
      <c r="J195" s="26">
        <v>64075.199999999997</v>
      </c>
    </row>
    <row r="196" spans="1:10">
      <c r="A196" s="25">
        <v>45258</v>
      </c>
      <c r="B196" s="24" t="s">
        <v>1263</v>
      </c>
      <c r="C196" s="24" t="s">
        <v>1247</v>
      </c>
      <c r="D196" s="24" t="s">
        <v>1243</v>
      </c>
      <c r="E196" s="24" t="s">
        <v>1242</v>
      </c>
      <c r="F196" s="24" t="s">
        <v>120</v>
      </c>
      <c r="G196" s="24" t="s">
        <v>1275</v>
      </c>
      <c r="H196" s="26">
        <v>5</v>
      </c>
      <c r="I196" s="26">
        <v>3572.02</v>
      </c>
      <c r="J196" s="26">
        <v>17860.099999999999</v>
      </c>
    </row>
    <row r="197" spans="1:10">
      <c r="A197" s="25">
        <v>44951</v>
      </c>
      <c r="B197" s="24" t="s">
        <v>1252</v>
      </c>
      <c r="C197" s="24" t="s">
        <v>1169</v>
      </c>
      <c r="D197" s="24" t="s">
        <v>1230</v>
      </c>
      <c r="E197" s="24" t="s">
        <v>1229</v>
      </c>
      <c r="F197" s="24" t="s">
        <v>1249</v>
      </c>
      <c r="G197" s="24" t="s">
        <v>1272</v>
      </c>
      <c r="H197" s="26">
        <v>4</v>
      </c>
      <c r="I197" s="26">
        <v>328.82</v>
      </c>
      <c r="J197" s="26">
        <v>1315.28</v>
      </c>
    </row>
    <row r="198" spans="1:10">
      <c r="A198" s="25">
        <v>45083</v>
      </c>
      <c r="B198" s="24" t="s">
        <v>1252</v>
      </c>
      <c r="C198" s="24" t="s">
        <v>1245</v>
      </c>
      <c r="D198" s="24" t="s">
        <v>1243</v>
      </c>
      <c r="E198" s="24" t="s">
        <v>1242</v>
      </c>
      <c r="F198" s="24" t="s">
        <v>145</v>
      </c>
      <c r="G198" s="24" t="s">
        <v>1261</v>
      </c>
      <c r="H198" s="26">
        <v>10</v>
      </c>
      <c r="I198" s="26">
        <v>4210.63</v>
      </c>
      <c r="J198" s="26">
        <v>42106.3</v>
      </c>
    </row>
    <row r="199" spans="1:10">
      <c r="A199" s="25">
        <v>45007</v>
      </c>
      <c r="B199" s="24" t="s">
        <v>1258</v>
      </c>
      <c r="C199" s="24" t="s">
        <v>1241</v>
      </c>
      <c r="D199" s="24" t="s">
        <v>1235</v>
      </c>
      <c r="E199" s="24" t="s">
        <v>1231</v>
      </c>
      <c r="F199" s="24" t="s">
        <v>128</v>
      </c>
      <c r="G199" s="24" t="s">
        <v>1257</v>
      </c>
      <c r="H199" s="26">
        <v>15</v>
      </c>
      <c r="I199" s="26">
        <v>211.9</v>
      </c>
      <c r="J199" s="26">
        <v>3178.5</v>
      </c>
    </row>
    <row r="200" spans="1:10">
      <c r="A200" s="25">
        <v>44943</v>
      </c>
      <c r="B200" s="24" t="s">
        <v>1269</v>
      </c>
      <c r="C200" s="24" t="s">
        <v>1247</v>
      </c>
      <c r="D200" s="24" t="s">
        <v>1243</v>
      </c>
      <c r="E200" s="24" t="s">
        <v>1242</v>
      </c>
      <c r="F200" s="24" t="s">
        <v>132</v>
      </c>
      <c r="G200" s="24" t="s">
        <v>1253</v>
      </c>
      <c r="H200" s="26">
        <v>6</v>
      </c>
      <c r="I200" s="26">
        <v>1847.42</v>
      </c>
      <c r="J200" s="26">
        <v>11084.52</v>
      </c>
    </row>
    <row r="201" spans="1:10">
      <c r="A201" s="25">
        <v>45279</v>
      </c>
      <c r="B201" s="24" t="s">
        <v>1254</v>
      </c>
      <c r="C201" s="24" t="s">
        <v>1247</v>
      </c>
      <c r="D201" s="24" t="s">
        <v>1243</v>
      </c>
      <c r="E201" s="24" t="s">
        <v>1242</v>
      </c>
      <c r="F201" s="24" t="s">
        <v>1249</v>
      </c>
      <c r="G201" s="24" t="s">
        <v>1268</v>
      </c>
      <c r="H201" s="26">
        <v>15</v>
      </c>
      <c r="I201" s="26">
        <v>3875.6</v>
      </c>
      <c r="J201" s="26">
        <v>58134</v>
      </c>
    </row>
    <row r="202" spans="1:10">
      <c r="A202" s="25">
        <v>45124</v>
      </c>
      <c r="B202" s="24" t="s">
        <v>1262</v>
      </c>
      <c r="C202" s="24" t="s">
        <v>1247</v>
      </c>
      <c r="D202" s="24" t="s">
        <v>1243</v>
      </c>
      <c r="E202" s="24" t="s">
        <v>1242</v>
      </c>
      <c r="F202" s="24" t="s">
        <v>145</v>
      </c>
      <c r="G202" s="24" t="s">
        <v>1261</v>
      </c>
      <c r="H202" s="26">
        <v>1</v>
      </c>
      <c r="I202" s="26">
        <v>1323.63</v>
      </c>
      <c r="J202" s="26">
        <v>1323.63</v>
      </c>
    </row>
    <row r="203" spans="1:10">
      <c r="A203" s="25">
        <v>44988</v>
      </c>
      <c r="B203" s="24" t="s">
        <v>1267</v>
      </c>
      <c r="C203" s="24" t="s">
        <v>1169</v>
      </c>
      <c r="D203" s="24" t="s">
        <v>1230</v>
      </c>
      <c r="E203" s="24" t="s">
        <v>1229</v>
      </c>
      <c r="F203" s="24" t="s">
        <v>120</v>
      </c>
      <c r="G203" s="24" t="s">
        <v>1275</v>
      </c>
      <c r="H203" s="26">
        <v>18</v>
      </c>
      <c r="I203" s="26">
        <v>3916.11</v>
      </c>
      <c r="J203" s="26">
        <v>70489.98</v>
      </c>
    </row>
    <row r="204" spans="1:10">
      <c r="A204" s="25">
        <v>45002</v>
      </c>
      <c r="B204" s="24" t="s">
        <v>1256</v>
      </c>
      <c r="C204" s="24" t="s">
        <v>1248</v>
      </c>
      <c r="D204" s="24" t="s">
        <v>1230</v>
      </c>
      <c r="E204" s="24" t="s">
        <v>1229</v>
      </c>
      <c r="F204" s="24" t="s">
        <v>132</v>
      </c>
      <c r="G204" s="24" t="s">
        <v>1277</v>
      </c>
      <c r="H204" s="26">
        <v>16</v>
      </c>
      <c r="I204" s="26">
        <v>4624.91</v>
      </c>
      <c r="J204" s="26">
        <v>73998.559999999998</v>
      </c>
    </row>
    <row r="205" spans="1:10">
      <c r="A205" s="25">
        <v>45037</v>
      </c>
      <c r="B205" s="24" t="s">
        <v>1256</v>
      </c>
      <c r="C205" s="24" t="s">
        <v>1239</v>
      </c>
      <c r="D205" s="24" t="s">
        <v>1237</v>
      </c>
      <c r="E205" s="24" t="s">
        <v>1229</v>
      </c>
      <c r="F205" s="24" t="s">
        <v>145</v>
      </c>
      <c r="G205" s="24" t="s">
        <v>1278</v>
      </c>
      <c r="H205" s="26">
        <v>8</v>
      </c>
      <c r="I205" s="26">
        <v>4091.1</v>
      </c>
      <c r="J205" s="26">
        <v>32728.799999999999</v>
      </c>
    </row>
    <row r="206" spans="1:10">
      <c r="A206" s="25">
        <v>45157</v>
      </c>
      <c r="B206" s="24" t="s">
        <v>1252</v>
      </c>
      <c r="C206" s="24" t="s">
        <v>1239</v>
      </c>
      <c r="D206" s="24" t="s">
        <v>1237</v>
      </c>
      <c r="E206" s="24" t="s">
        <v>1229</v>
      </c>
      <c r="F206" s="24" t="s">
        <v>132</v>
      </c>
      <c r="G206" s="24" t="s">
        <v>1277</v>
      </c>
      <c r="H206" s="26">
        <v>16</v>
      </c>
      <c r="I206" s="26">
        <v>3369.55</v>
      </c>
      <c r="J206" s="26">
        <v>53912.800000000003</v>
      </c>
    </row>
    <row r="207" spans="1:10">
      <c r="A207" s="25">
        <v>45209</v>
      </c>
      <c r="B207" s="24" t="s">
        <v>1260</v>
      </c>
      <c r="C207" s="24" t="s">
        <v>1238</v>
      </c>
      <c r="D207" s="24" t="s">
        <v>1235</v>
      </c>
      <c r="E207" s="24" t="s">
        <v>1231</v>
      </c>
      <c r="F207" s="24" t="s">
        <v>132</v>
      </c>
      <c r="G207" s="24" t="s">
        <v>1271</v>
      </c>
      <c r="H207" s="26">
        <v>3</v>
      </c>
      <c r="I207" s="26">
        <v>3591.92</v>
      </c>
      <c r="J207" s="26">
        <v>10775.76</v>
      </c>
    </row>
    <row r="208" spans="1:10">
      <c r="A208" s="25">
        <v>45154</v>
      </c>
      <c r="B208" s="24" t="s">
        <v>1265</v>
      </c>
      <c r="C208" s="24" t="s">
        <v>1171</v>
      </c>
      <c r="D208" s="24" t="s">
        <v>1237</v>
      </c>
      <c r="E208" s="24" t="s">
        <v>1229</v>
      </c>
      <c r="F208" s="24" t="s">
        <v>128</v>
      </c>
      <c r="G208" s="24" t="s">
        <v>1257</v>
      </c>
      <c r="H208" s="26">
        <v>4</v>
      </c>
      <c r="I208" s="26">
        <v>4298.3500000000004</v>
      </c>
      <c r="J208" s="26">
        <v>17193.400000000001</v>
      </c>
    </row>
    <row r="209" spans="1:10">
      <c r="A209" s="25">
        <v>45145</v>
      </c>
      <c r="B209" s="24" t="s">
        <v>1252</v>
      </c>
      <c r="C209" s="24" t="s">
        <v>1169</v>
      </c>
      <c r="D209" s="24" t="s">
        <v>1230</v>
      </c>
      <c r="E209" s="24" t="s">
        <v>1229</v>
      </c>
      <c r="F209" s="24" t="s">
        <v>145</v>
      </c>
      <c r="G209" s="24" t="s">
        <v>1274</v>
      </c>
      <c r="H209" s="26">
        <v>11</v>
      </c>
      <c r="I209" s="26">
        <v>3687.73</v>
      </c>
      <c r="J209" s="26">
        <v>40565.03</v>
      </c>
    </row>
    <row r="210" spans="1:10">
      <c r="A210" s="25">
        <v>45218</v>
      </c>
      <c r="B210" s="24" t="s">
        <v>1254</v>
      </c>
      <c r="C210" s="24" t="s">
        <v>1248</v>
      </c>
      <c r="D210" s="24" t="s">
        <v>1230</v>
      </c>
      <c r="E210" s="24" t="s">
        <v>1229</v>
      </c>
      <c r="F210" s="24" t="s">
        <v>1249</v>
      </c>
      <c r="G210" s="24" t="s">
        <v>1272</v>
      </c>
      <c r="H210" s="26">
        <v>12</v>
      </c>
      <c r="I210" s="26">
        <v>548.36</v>
      </c>
      <c r="J210" s="26">
        <v>6580.32</v>
      </c>
    </row>
    <row r="211" spans="1:10">
      <c r="A211" s="25">
        <v>45086</v>
      </c>
      <c r="B211" s="24" t="s">
        <v>1263</v>
      </c>
      <c r="C211" s="24" t="s">
        <v>1241</v>
      </c>
      <c r="D211" s="24" t="s">
        <v>1235</v>
      </c>
      <c r="E211" s="24" t="s">
        <v>1231</v>
      </c>
      <c r="F211" s="24" t="s">
        <v>128</v>
      </c>
      <c r="G211" s="24" t="s">
        <v>1257</v>
      </c>
      <c r="H211" s="26">
        <v>6</v>
      </c>
      <c r="I211" s="26">
        <v>3931.61</v>
      </c>
      <c r="J211" s="26">
        <v>23589.66</v>
      </c>
    </row>
    <row r="212" spans="1:10">
      <c r="A212" s="25">
        <v>45118</v>
      </c>
      <c r="B212" s="24" t="s">
        <v>1252</v>
      </c>
      <c r="C212" s="24" t="s">
        <v>1239</v>
      </c>
      <c r="D212" s="24" t="s">
        <v>1237</v>
      </c>
      <c r="E212" s="24" t="s">
        <v>1229</v>
      </c>
      <c r="F212" s="24" t="s">
        <v>128</v>
      </c>
      <c r="G212" s="24" t="s">
        <v>1264</v>
      </c>
      <c r="H212" s="26">
        <v>18</v>
      </c>
      <c r="I212" s="26">
        <v>1120.0999999999999</v>
      </c>
      <c r="J212" s="26">
        <v>20161.8</v>
      </c>
    </row>
    <row r="213" spans="1:10">
      <c r="A213" s="25">
        <v>44970</v>
      </c>
      <c r="B213" s="24" t="s">
        <v>1267</v>
      </c>
      <c r="C213" s="24" t="s">
        <v>1236</v>
      </c>
      <c r="D213" s="24" t="s">
        <v>1235</v>
      </c>
      <c r="E213" s="24" t="s">
        <v>1231</v>
      </c>
      <c r="F213" s="24" t="s">
        <v>145</v>
      </c>
      <c r="G213" s="24" t="s">
        <v>1278</v>
      </c>
      <c r="H213" s="26">
        <v>11</v>
      </c>
      <c r="I213" s="26">
        <v>1473.35</v>
      </c>
      <c r="J213" s="26">
        <v>16206.85</v>
      </c>
    </row>
    <row r="214" spans="1:10">
      <c r="A214" s="25">
        <v>45185</v>
      </c>
      <c r="B214" s="24" t="s">
        <v>1258</v>
      </c>
      <c r="C214" s="24" t="s">
        <v>1169</v>
      </c>
      <c r="D214" s="24" t="s">
        <v>1230</v>
      </c>
      <c r="E214" s="24" t="s">
        <v>1229</v>
      </c>
      <c r="F214" s="24" t="s">
        <v>120</v>
      </c>
      <c r="G214" s="24" t="s">
        <v>1165</v>
      </c>
      <c r="H214" s="26">
        <v>6</v>
      </c>
      <c r="I214" s="26">
        <v>297.27</v>
      </c>
      <c r="J214" s="26">
        <v>1783.62</v>
      </c>
    </row>
    <row r="215" spans="1:10">
      <c r="A215" s="25">
        <v>45285</v>
      </c>
      <c r="B215" s="24" t="s">
        <v>1252</v>
      </c>
      <c r="C215" s="24" t="s">
        <v>1171</v>
      </c>
      <c r="D215" s="24" t="s">
        <v>1237</v>
      </c>
      <c r="E215" s="24" t="s">
        <v>1229</v>
      </c>
      <c r="F215" s="24" t="s">
        <v>1249</v>
      </c>
      <c r="G215" s="24" t="s">
        <v>1268</v>
      </c>
      <c r="H215" s="26">
        <v>5</v>
      </c>
      <c r="I215" s="26">
        <v>4872.8900000000003</v>
      </c>
      <c r="J215" s="26">
        <v>24364.45</v>
      </c>
    </row>
    <row r="216" spans="1:10">
      <c r="A216" s="25">
        <v>45122</v>
      </c>
      <c r="B216" s="24" t="s">
        <v>1262</v>
      </c>
      <c r="C216" s="24" t="s">
        <v>1244</v>
      </c>
      <c r="D216" s="24" t="s">
        <v>1243</v>
      </c>
      <c r="E216" s="24" t="s">
        <v>1242</v>
      </c>
      <c r="F216" s="24" t="s">
        <v>1249</v>
      </c>
      <c r="G216" s="24" t="s">
        <v>1270</v>
      </c>
      <c r="H216" s="26">
        <v>20</v>
      </c>
      <c r="I216" s="26">
        <v>4711.51</v>
      </c>
      <c r="J216" s="26">
        <v>94230.2</v>
      </c>
    </row>
    <row r="217" spans="1:10">
      <c r="A217" s="25">
        <v>45244</v>
      </c>
      <c r="B217" s="24" t="s">
        <v>1269</v>
      </c>
      <c r="C217" s="24" t="s">
        <v>1169</v>
      </c>
      <c r="D217" s="24" t="s">
        <v>1230</v>
      </c>
      <c r="E217" s="24" t="s">
        <v>1229</v>
      </c>
      <c r="F217" s="24" t="s">
        <v>120</v>
      </c>
      <c r="G217" s="24" t="s">
        <v>1165</v>
      </c>
      <c r="H217" s="26">
        <v>5</v>
      </c>
      <c r="I217" s="26">
        <v>4096.54</v>
      </c>
      <c r="J217" s="26">
        <v>20482.7</v>
      </c>
    </row>
    <row r="218" spans="1:10">
      <c r="A218" s="25">
        <v>45214</v>
      </c>
      <c r="B218" s="24" t="s">
        <v>1263</v>
      </c>
      <c r="C218" s="24" t="s">
        <v>1244</v>
      </c>
      <c r="D218" s="24" t="s">
        <v>1243</v>
      </c>
      <c r="E218" s="24" t="s">
        <v>1242</v>
      </c>
      <c r="F218" s="24" t="s">
        <v>1249</v>
      </c>
      <c r="G218" s="24" t="s">
        <v>1270</v>
      </c>
      <c r="H218" s="26">
        <v>6</v>
      </c>
      <c r="I218" s="26">
        <v>830.82</v>
      </c>
      <c r="J218" s="26">
        <v>4984.92</v>
      </c>
    </row>
    <row r="219" spans="1:10">
      <c r="A219" s="25">
        <v>45110</v>
      </c>
      <c r="B219" s="24" t="s">
        <v>1265</v>
      </c>
      <c r="C219" s="24" t="s">
        <v>1247</v>
      </c>
      <c r="D219" s="24" t="s">
        <v>1243</v>
      </c>
      <c r="E219" s="24" t="s">
        <v>1242</v>
      </c>
      <c r="F219" s="24" t="s">
        <v>1249</v>
      </c>
      <c r="G219" s="24" t="s">
        <v>1259</v>
      </c>
      <c r="H219" s="26">
        <v>3</v>
      </c>
      <c r="I219" s="26">
        <v>4637.38</v>
      </c>
      <c r="J219" s="26">
        <v>13912.14</v>
      </c>
    </row>
    <row r="220" spans="1:10">
      <c r="A220" s="25">
        <v>44959</v>
      </c>
      <c r="B220" s="24" t="s">
        <v>1267</v>
      </c>
      <c r="C220" s="24" t="s">
        <v>1241</v>
      </c>
      <c r="D220" s="24" t="s">
        <v>1235</v>
      </c>
      <c r="E220" s="24" t="s">
        <v>1231</v>
      </c>
      <c r="F220" s="24" t="s">
        <v>145</v>
      </c>
      <c r="G220" s="24" t="s">
        <v>1255</v>
      </c>
      <c r="H220" s="26">
        <v>5</v>
      </c>
      <c r="I220" s="26">
        <v>3770.1</v>
      </c>
      <c r="J220" s="26">
        <v>18850.5</v>
      </c>
    </row>
    <row r="221" spans="1:10">
      <c r="A221" s="25">
        <v>45260</v>
      </c>
      <c r="B221" s="24" t="s">
        <v>1260</v>
      </c>
      <c r="C221" s="24" t="s">
        <v>1238</v>
      </c>
      <c r="D221" s="24" t="s">
        <v>1235</v>
      </c>
      <c r="E221" s="24" t="s">
        <v>1231</v>
      </c>
      <c r="F221" s="24" t="s">
        <v>1249</v>
      </c>
      <c r="G221" s="24" t="s">
        <v>1268</v>
      </c>
      <c r="H221" s="26">
        <v>20</v>
      </c>
      <c r="I221" s="26">
        <v>285.95999999999998</v>
      </c>
      <c r="J221" s="26">
        <v>5719.2</v>
      </c>
    </row>
    <row r="222" spans="1:10">
      <c r="A222" s="25">
        <v>45024</v>
      </c>
      <c r="B222" s="24" t="s">
        <v>1262</v>
      </c>
      <c r="C222" s="24" t="s">
        <v>1247</v>
      </c>
      <c r="D222" s="24" t="s">
        <v>1243</v>
      </c>
      <c r="E222" s="24" t="s">
        <v>1242</v>
      </c>
      <c r="F222" s="24" t="s">
        <v>132</v>
      </c>
      <c r="G222" s="24" t="s">
        <v>1279</v>
      </c>
      <c r="H222" s="26">
        <v>6</v>
      </c>
      <c r="I222" s="26">
        <v>1912.36</v>
      </c>
      <c r="J222" s="26">
        <v>11474.16</v>
      </c>
    </row>
    <row r="223" spans="1:10">
      <c r="A223" s="25">
        <v>45099</v>
      </c>
      <c r="B223" s="24" t="s">
        <v>1254</v>
      </c>
      <c r="C223" s="24" t="s">
        <v>1246</v>
      </c>
      <c r="D223" s="24" t="s">
        <v>1230</v>
      </c>
      <c r="E223" s="24" t="s">
        <v>1229</v>
      </c>
      <c r="F223" s="24" t="s">
        <v>128</v>
      </c>
      <c r="G223" s="24" t="s">
        <v>1257</v>
      </c>
      <c r="H223" s="26">
        <v>19</v>
      </c>
      <c r="I223" s="26">
        <v>3648.27</v>
      </c>
      <c r="J223" s="26">
        <v>69317.13</v>
      </c>
    </row>
    <row r="224" spans="1:10">
      <c r="A224" s="25">
        <v>45081</v>
      </c>
      <c r="B224" s="24" t="s">
        <v>1256</v>
      </c>
      <c r="C224" s="24" t="s">
        <v>1241</v>
      </c>
      <c r="D224" s="24" t="s">
        <v>1235</v>
      </c>
      <c r="E224" s="24" t="s">
        <v>1231</v>
      </c>
      <c r="F224" s="24" t="s">
        <v>132</v>
      </c>
      <c r="G224" s="24" t="s">
        <v>1277</v>
      </c>
      <c r="H224" s="26">
        <v>20</v>
      </c>
      <c r="I224" s="26">
        <v>473.23</v>
      </c>
      <c r="J224" s="26">
        <v>9464.6</v>
      </c>
    </row>
    <row r="225" spans="1:10">
      <c r="A225" s="25">
        <v>45254</v>
      </c>
      <c r="B225" s="24" t="s">
        <v>1252</v>
      </c>
      <c r="C225" s="24" t="s">
        <v>1240</v>
      </c>
      <c r="D225" s="24" t="s">
        <v>1232</v>
      </c>
      <c r="E225" s="24" t="s">
        <v>1231</v>
      </c>
      <c r="F225" s="24" t="s">
        <v>120</v>
      </c>
      <c r="G225" s="24" t="s">
        <v>1164</v>
      </c>
      <c r="H225" s="26">
        <v>16</v>
      </c>
      <c r="I225" s="26">
        <v>1870.47</v>
      </c>
      <c r="J225" s="26">
        <v>29927.52</v>
      </c>
    </row>
    <row r="226" spans="1:10">
      <c r="A226" s="25">
        <v>45015</v>
      </c>
      <c r="B226" s="24" t="s">
        <v>1263</v>
      </c>
      <c r="C226" s="24" t="s">
        <v>1245</v>
      </c>
      <c r="D226" s="24" t="s">
        <v>1243</v>
      </c>
      <c r="E226" s="24" t="s">
        <v>1242</v>
      </c>
      <c r="F226" s="24" t="s">
        <v>1249</v>
      </c>
      <c r="G226" s="24" t="s">
        <v>1270</v>
      </c>
      <c r="H226" s="26">
        <v>18</v>
      </c>
      <c r="I226" s="26">
        <v>835.8</v>
      </c>
      <c r="J226" s="26">
        <v>15044.4</v>
      </c>
    </row>
    <row r="227" spans="1:10">
      <c r="A227" s="25">
        <v>45110</v>
      </c>
      <c r="B227" s="24" t="s">
        <v>1269</v>
      </c>
      <c r="C227" s="24" t="s">
        <v>1239</v>
      </c>
      <c r="D227" s="24" t="s">
        <v>1237</v>
      </c>
      <c r="E227" s="24" t="s">
        <v>1229</v>
      </c>
      <c r="F227" s="24" t="s">
        <v>145</v>
      </c>
      <c r="G227" s="24" t="s">
        <v>1274</v>
      </c>
      <c r="H227" s="26">
        <v>18</v>
      </c>
      <c r="I227" s="26">
        <v>4850.91</v>
      </c>
      <c r="J227" s="26">
        <v>87316.38</v>
      </c>
    </row>
    <row r="228" spans="1:10">
      <c r="A228" s="25">
        <v>45037</v>
      </c>
      <c r="B228" s="24" t="s">
        <v>1256</v>
      </c>
      <c r="C228" s="24" t="s">
        <v>1173</v>
      </c>
      <c r="D228" s="24" t="s">
        <v>1237</v>
      </c>
      <c r="E228" s="24" t="s">
        <v>1229</v>
      </c>
      <c r="F228" s="24" t="s">
        <v>132</v>
      </c>
      <c r="G228" s="24" t="s">
        <v>1253</v>
      </c>
      <c r="H228" s="26">
        <v>10</v>
      </c>
      <c r="I228" s="26">
        <v>2200.91</v>
      </c>
      <c r="J228" s="26">
        <v>22009.1</v>
      </c>
    </row>
    <row r="229" spans="1:10">
      <c r="A229" s="25">
        <v>45270</v>
      </c>
      <c r="B229" s="24" t="s">
        <v>1267</v>
      </c>
      <c r="C229" s="24" t="s">
        <v>1236</v>
      </c>
      <c r="D229" s="24" t="s">
        <v>1235</v>
      </c>
      <c r="E229" s="24" t="s">
        <v>1231</v>
      </c>
      <c r="F229" s="24" t="s">
        <v>120</v>
      </c>
      <c r="G229" s="24" t="s">
        <v>1164</v>
      </c>
      <c r="H229" s="26">
        <v>9</v>
      </c>
      <c r="I229" s="26">
        <v>1694.83</v>
      </c>
      <c r="J229" s="26">
        <v>15253.47</v>
      </c>
    </row>
    <row r="230" spans="1:10">
      <c r="A230" s="25">
        <v>44963</v>
      </c>
      <c r="B230" s="24" t="s">
        <v>1269</v>
      </c>
      <c r="C230" s="24" t="s">
        <v>1234</v>
      </c>
      <c r="D230" s="24" t="s">
        <v>1232</v>
      </c>
      <c r="E230" s="24" t="s">
        <v>1231</v>
      </c>
      <c r="F230" s="24" t="s">
        <v>132</v>
      </c>
      <c r="G230" s="24" t="s">
        <v>1277</v>
      </c>
      <c r="H230" s="26">
        <v>10</v>
      </c>
      <c r="I230" s="26">
        <v>1229.56</v>
      </c>
      <c r="J230" s="26">
        <v>12295.6</v>
      </c>
    </row>
    <row r="231" spans="1:10">
      <c r="A231" s="25">
        <v>44952</v>
      </c>
      <c r="B231" s="24" t="s">
        <v>1269</v>
      </c>
      <c r="C231" s="24" t="s">
        <v>1169</v>
      </c>
      <c r="D231" s="24" t="s">
        <v>1230</v>
      </c>
      <c r="E231" s="24" t="s">
        <v>1229</v>
      </c>
      <c r="F231" s="24" t="s">
        <v>1249</v>
      </c>
      <c r="G231" s="24" t="s">
        <v>1259</v>
      </c>
      <c r="H231" s="26">
        <v>14</v>
      </c>
      <c r="I231" s="26">
        <v>705.15</v>
      </c>
      <c r="J231" s="26">
        <v>9872.1</v>
      </c>
    </row>
    <row r="232" spans="1:10">
      <c r="A232" s="25">
        <v>45068</v>
      </c>
      <c r="B232" s="24" t="s">
        <v>1265</v>
      </c>
      <c r="C232" s="24" t="s">
        <v>1247</v>
      </c>
      <c r="D232" s="24" t="s">
        <v>1243</v>
      </c>
      <c r="E232" s="24" t="s">
        <v>1242</v>
      </c>
      <c r="F232" s="24" t="s">
        <v>128</v>
      </c>
      <c r="G232" s="24" t="s">
        <v>1264</v>
      </c>
      <c r="H232" s="26">
        <v>19</v>
      </c>
      <c r="I232" s="26">
        <v>3485.85</v>
      </c>
      <c r="J232" s="26">
        <v>66231.149999999994</v>
      </c>
    </row>
    <row r="233" spans="1:10">
      <c r="A233" s="25">
        <v>44977</v>
      </c>
      <c r="B233" s="24" t="s">
        <v>1254</v>
      </c>
      <c r="C233" s="24" t="s">
        <v>1244</v>
      </c>
      <c r="D233" s="24" t="s">
        <v>1243</v>
      </c>
      <c r="E233" s="24" t="s">
        <v>1242</v>
      </c>
      <c r="F233" s="24" t="s">
        <v>120</v>
      </c>
      <c r="G233" s="24" t="s">
        <v>1164</v>
      </c>
      <c r="H233" s="26">
        <v>10</v>
      </c>
      <c r="I233" s="26">
        <v>3633.26</v>
      </c>
      <c r="J233" s="26">
        <v>36332.6</v>
      </c>
    </row>
    <row r="234" spans="1:10">
      <c r="A234" s="25">
        <v>45179</v>
      </c>
      <c r="B234" s="24" t="s">
        <v>1265</v>
      </c>
      <c r="C234" s="24" t="s">
        <v>1239</v>
      </c>
      <c r="D234" s="24" t="s">
        <v>1237</v>
      </c>
      <c r="E234" s="24" t="s">
        <v>1229</v>
      </c>
      <c r="F234" s="24" t="s">
        <v>1249</v>
      </c>
      <c r="G234" s="24" t="s">
        <v>1272</v>
      </c>
      <c r="H234" s="26">
        <v>14</v>
      </c>
      <c r="I234" s="26">
        <v>1245.9000000000001</v>
      </c>
      <c r="J234" s="26">
        <v>17442.599999999999</v>
      </c>
    </row>
    <row r="235" spans="1:10">
      <c r="A235" s="25">
        <v>45257</v>
      </c>
      <c r="B235" s="24" t="s">
        <v>1258</v>
      </c>
      <c r="C235" s="24" t="s">
        <v>1244</v>
      </c>
      <c r="D235" s="24" t="s">
        <v>1243</v>
      </c>
      <c r="E235" s="24" t="s">
        <v>1242</v>
      </c>
      <c r="F235" s="24" t="s">
        <v>132</v>
      </c>
      <c r="G235" s="24" t="s">
        <v>1253</v>
      </c>
      <c r="H235" s="26">
        <v>4</v>
      </c>
      <c r="I235" s="26">
        <v>4553.5200000000004</v>
      </c>
      <c r="J235" s="26">
        <v>18214.080000000002</v>
      </c>
    </row>
    <row r="236" spans="1:10">
      <c r="A236" s="25">
        <v>45146</v>
      </c>
      <c r="B236" s="24" t="s">
        <v>1254</v>
      </c>
      <c r="C236" s="24" t="s">
        <v>1173</v>
      </c>
      <c r="D236" s="24" t="s">
        <v>1237</v>
      </c>
      <c r="E236" s="24" t="s">
        <v>1229</v>
      </c>
      <c r="F236" s="24" t="s">
        <v>132</v>
      </c>
      <c r="G236" s="24" t="s">
        <v>1271</v>
      </c>
      <c r="H236" s="26">
        <v>3</v>
      </c>
      <c r="I236" s="26">
        <v>1417.18</v>
      </c>
      <c r="J236" s="26">
        <v>4251.54</v>
      </c>
    </row>
    <row r="237" spans="1:10">
      <c r="A237" s="25">
        <v>45069</v>
      </c>
      <c r="B237" s="24" t="s">
        <v>1262</v>
      </c>
      <c r="C237" s="24" t="s">
        <v>1239</v>
      </c>
      <c r="D237" s="24" t="s">
        <v>1237</v>
      </c>
      <c r="E237" s="24" t="s">
        <v>1229</v>
      </c>
      <c r="F237" s="24" t="s">
        <v>120</v>
      </c>
      <c r="G237" s="24" t="s">
        <v>1276</v>
      </c>
      <c r="H237" s="26">
        <v>7</v>
      </c>
      <c r="I237" s="26">
        <v>1249.3599999999999</v>
      </c>
      <c r="J237" s="26">
        <v>8745.52</v>
      </c>
    </row>
    <row r="238" spans="1:10">
      <c r="A238" s="25">
        <v>45098</v>
      </c>
      <c r="B238" s="24" t="s">
        <v>1260</v>
      </c>
      <c r="C238" s="24" t="s">
        <v>1234</v>
      </c>
      <c r="D238" s="24" t="s">
        <v>1232</v>
      </c>
      <c r="E238" s="24" t="s">
        <v>1231</v>
      </c>
      <c r="F238" s="24" t="s">
        <v>128</v>
      </c>
      <c r="G238" s="24" t="s">
        <v>1273</v>
      </c>
      <c r="H238" s="26">
        <v>7</v>
      </c>
      <c r="I238" s="26">
        <v>3911.96</v>
      </c>
      <c r="J238" s="26">
        <v>27383.72</v>
      </c>
    </row>
    <row r="239" spans="1:10">
      <c r="A239" s="25">
        <v>45043</v>
      </c>
      <c r="B239" s="24" t="s">
        <v>1258</v>
      </c>
      <c r="C239" s="24" t="s">
        <v>1236</v>
      </c>
      <c r="D239" s="24" t="s">
        <v>1235</v>
      </c>
      <c r="E239" s="24" t="s">
        <v>1231</v>
      </c>
      <c r="F239" s="24" t="s">
        <v>128</v>
      </c>
      <c r="G239" s="24" t="s">
        <v>1264</v>
      </c>
      <c r="H239" s="26">
        <v>4</v>
      </c>
      <c r="I239" s="26">
        <v>3087.87</v>
      </c>
      <c r="J239" s="26">
        <v>12351.48</v>
      </c>
    </row>
    <row r="240" spans="1:10">
      <c r="A240" s="25">
        <v>45241</v>
      </c>
      <c r="B240" s="24" t="s">
        <v>1258</v>
      </c>
      <c r="C240" s="24" t="s">
        <v>1239</v>
      </c>
      <c r="D240" s="24" t="s">
        <v>1237</v>
      </c>
      <c r="E240" s="24" t="s">
        <v>1229</v>
      </c>
      <c r="F240" s="24" t="s">
        <v>120</v>
      </c>
      <c r="G240" s="24" t="s">
        <v>1276</v>
      </c>
      <c r="H240" s="26">
        <v>16</v>
      </c>
      <c r="I240" s="26">
        <v>628.15</v>
      </c>
      <c r="J240" s="26">
        <v>10050.4</v>
      </c>
    </row>
    <row r="241" spans="1:10">
      <c r="A241" s="25">
        <v>45137</v>
      </c>
      <c r="B241" s="24" t="s">
        <v>1262</v>
      </c>
      <c r="C241" s="24" t="s">
        <v>1241</v>
      </c>
      <c r="D241" s="24" t="s">
        <v>1235</v>
      </c>
      <c r="E241" s="24" t="s">
        <v>1231</v>
      </c>
      <c r="F241" s="24" t="s">
        <v>1249</v>
      </c>
      <c r="G241" s="24" t="s">
        <v>1272</v>
      </c>
      <c r="H241" s="26">
        <v>15</v>
      </c>
      <c r="I241" s="26">
        <v>3100.61</v>
      </c>
      <c r="J241" s="26">
        <v>46509.15</v>
      </c>
    </row>
    <row r="242" spans="1:10">
      <c r="A242" s="25">
        <v>45064</v>
      </c>
      <c r="B242" s="24" t="s">
        <v>1254</v>
      </c>
      <c r="C242" s="24" t="s">
        <v>1236</v>
      </c>
      <c r="D242" s="24" t="s">
        <v>1235</v>
      </c>
      <c r="E242" s="24" t="s">
        <v>1231</v>
      </c>
      <c r="F242" s="24" t="s">
        <v>128</v>
      </c>
      <c r="G242" s="24" t="s">
        <v>1264</v>
      </c>
      <c r="H242" s="26">
        <v>10</v>
      </c>
      <c r="I242" s="26">
        <v>4017.66</v>
      </c>
      <c r="J242" s="26">
        <v>40176.6</v>
      </c>
    </row>
    <row r="243" spans="1:10">
      <c r="A243" s="25">
        <v>45152</v>
      </c>
      <c r="B243" s="24" t="s">
        <v>1254</v>
      </c>
      <c r="C243" s="24" t="s">
        <v>1238</v>
      </c>
      <c r="D243" s="24" t="s">
        <v>1235</v>
      </c>
      <c r="E243" s="24" t="s">
        <v>1231</v>
      </c>
      <c r="F243" s="24" t="s">
        <v>132</v>
      </c>
      <c r="G243" s="24" t="s">
        <v>1271</v>
      </c>
      <c r="H243" s="26">
        <v>3</v>
      </c>
      <c r="I243" s="26">
        <v>3389.2</v>
      </c>
      <c r="J243" s="26">
        <v>10167.6</v>
      </c>
    </row>
    <row r="244" spans="1:10">
      <c r="A244" s="25">
        <v>45072</v>
      </c>
      <c r="B244" s="24" t="s">
        <v>1256</v>
      </c>
      <c r="C244" s="24" t="s">
        <v>1239</v>
      </c>
      <c r="D244" s="24" t="s">
        <v>1237</v>
      </c>
      <c r="E244" s="24" t="s">
        <v>1229</v>
      </c>
      <c r="F244" s="24" t="s">
        <v>1249</v>
      </c>
      <c r="G244" s="24" t="s">
        <v>1259</v>
      </c>
      <c r="H244" s="26">
        <v>20</v>
      </c>
      <c r="I244" s="26">
        <v>2441.83</v>
      </c>
      <c r="J244" s="26">
        <v>48836.6</v>
      </c>
    </row>
    <row r="245" spans="1:10">
      <c r="A245" s="25">
        <v>45269</v>
      </c>
      <c r="B245" s="24" t="s">
        <v>1254</v>
      </c>
      <c r="C245" s="24" t="s">
        <v>1245</v>
      </c>
      <c r="D245" s="24" t="s">
        <v>1243</v>
      </c>
      <c r="E245" s="24" t="s">
        <v>1242</v>
      </c>
      <c r="F245" s="24" t="s">
        <v>132</v>
      </c>
      <c r="G245" s="24" t="s">
        <v>1277</v>
      </c>
      <c r="H245" s="26">
        <v>17</v>
      </c>
      <c r="I245" s="26">
        <v>2655.98</v>
      </c>
      <c r="J245" s="26">
        <v>45151.66</v>
      </c>
    </row>
    <row r="246" spans="1:10">
      <c r="A246" s="25">
        <v>44929</v>
      </c>
      <c r="B246" s="24" t="s">
        <v>1254</v>
      </c>
      <c r="C246" s="24" t="s">
        <v>1236</v>
      </c>
      <c r="D246" s="24" t="s">
        <v>1235</v>
      </c>
      <c r="E246" s="24" t="s">
        <v>1231</v>
      </c>
      <c r="F246" s="24" t="s">
        <v>120</v>
      </c>
      <c r="G246" s="24" t="s">
        <v>1276</v>
      </c>
      <c r="H246" s="26">
        <v>3</v>
      </c>
      <c r="I246" s="26">
        <v>4908.74</v>
      </c>
      <c r="J246" s="26">
        <v>14726.22</v>
      </c>
    </row>
    <row r="247" spans="1:10">
      <c r="A247" s="25">
        <v>45192</v>
      </c>
      <c r="B247" s="24" t="s">
        <v>1265</v>
      </c>
      <c r="C247" s="24" t="s">
        <v>1247</v>
      </c>
      <c r="D247" s="24" t="s">
        <v>1243</v>
      </c>
      <c r="E247" s="24" t="s">
        <v>1242</v>
      </c>
      <c r="F247" s="24" t="s">
        <v>120</v>
      </c>
      <c r="G247" s="24" t="s">
        <v>1276</v>
      </c>
      <c r="H247" s="26">
        <v>13</v>
      </c>
      <c r="I247" s="26">
        <v>4121.8</v>
      </c>
      <c r="J247" s="26">
        <v>53583.4</v>
      </c>
    </row>
    <row r="248" spans="1:10">
      <c r="A248" s="25">
        <v>44991</v>
      </c>
      <c r="B248" s="24" t="s">
        <v>1269</v>
      </c>
      <c r="C248" s="24" t="s">
        <v>1239</v>
      </c>
      <c r="D248" s="24" t="s">
        <v>1237</v>
      </c>
      <c r="E248" s="24" t="s">
        <v>1229</v>
      </c>
      <c r="F248" s="24" t="s">
        <v>120</v>
      </c>
      <c r="G248" s="24" t="s">
        <v>1276</v>
      </c>
      <c r="H248" s="26">
        <v>7</v>
      </c>
      <c r="I248" s="26">
        <v>2083.7800000000002</v>
      </c>
      <c r="J248" s="26">
        <v>14586.46</v>
      </c>
    </row>
    <row r="249" spans="1:10">
      <c r="A249" s="25">
        <v>44967</v>
      </c>
      <c r="B249" s="24" t="s">
        <v>1262</v>
      </c>
      <c r="C249" s="24" t="s">
        <v>1173</v>
      </c>
      <c r="D249" s="24" t="s">
        <v>1237</v>
      </c>
      <c r="E249" s="24" t="s">
        <v>1229</v>
      </c>
      <c r="F249" s="24" t="s">
        <v>128</v>
      </c>
      <c r="G249" s="24" t="s">
        <v>1273</v>
      </c>
      <c r="H249" s="26">
        <v>4</v>
      </c>
      <c r="I249" s="26">
        <v>697.88</v>
      </c>
      <c r="J249" s="26">
        <v>2791.52</v>
      </c>
    </row>
    <row r="250" spans="1:10">
      <c r="A250" s="25">
        <v>45017</v>
      </c>
      <c r="B250" s="24" t="s">
        <v>1269</v>
      </c>
      <c r="C250" s="24" t="s">
        <v>1244</v>
      </c>
      <c r="D250" s="24" t="s">
        <v>1243</v>
      </c>
      <c r="E250" s="24" t="s">
        <v>1242</v>
      </c>
      <c r="F250" s="24" t="s">
        <v>120</v>
      </c>
      <c r="G250" s="24" t="s">
        <v>1275</v>
      </c>
      <c r="H250" s="26">
        <v>3</v>
      </c>
      <c r="I250" s="26">
        <v>3754.7</v>
      </c>
      <c r="J250" s="26">
        <v>11264.1</v>
      </c>
    </row>
    <row r="251" spans="1:10">
      <c r="A251" s="25">
        <v>45212</v>
      </c>
      <c r="B251" s="24" t="s">
        <v>1256</v>
      </c>
      <c r="C251" s="24" t="s">
        <v>1234</v>
      </c>
      <c r="D251" s="24" t="s">
        <v>1232</v>
      </c>
      <c r="E251" s="24" t="s">
        <v>1231</v>
      </c>
      <c r="F251" s="24" t="s">
        <v>132</v>
      </c>
      <c r="G251" s="24" t="s">
        <v>1279</v>
      </c>
      <c r="H251" s="26">
        <v>20</v>
      </c>
      <c r="I251" s="26">
        <v>2449.44</v>
      </c>
      <c r="J251" s="26">
        <v>48988.800000000003</v>
      </c>
    </row>
    <row r="252" spans="1:10">
      <c r="A252" s="25">
        <v>45109</v>
      </c>
      <c r="B252" s="24" t="s">
        <v>1258</v>
      </c>
      <c r="C252" s="24" t="s">
        <v>1233</v>
      </c>
      <c r="D252" s="24" t="s">
        <v>1232</v>
      </c>
      <c r="E252" s="24" t="s">
        <v>1231</v>
      </c>
      <c r="F252" s="24" t="s">
        <v>120</v>
      </c>
      <c r="G252" s="24" t="s">
        <v>1165</v>
      </c>
      <c r="H252" s="26">
        <v>6</v>
      </c>
      <c r="I252" s="26">
        <v>2862.86</v>
      </c>
      <c r="J252" s="26">
        <v>17177.16</v>
      </c>
    </row>
    <row r="253" spans="1:10">
      <c r="A253" s="25">
        <v>45092</v>
      </c>
      <c r="B253" s="24" t="s">
        <v>1263</v>
      </c>
      <c r="C253" s="24" t="s">
        <v>1233</v>
      </c>
      <c r="D253" s="24" t="s">
        <v>1232</v>
      </c>
      <c r="E253" s="24" t="s">
        <v>1231</v>
      </c>
      <c r="F253" s="24" t="s">
        <v>145</v>
      </c>
      <c r="G253" s="24" t="s">
        <v>1255</v>
      </c>
      <c r="H253" s="26">
        <v>4</v>
      </c>
      <c r="I253" s="26">
        <v>4795.3999999999996</v>
      </c>
      <c r="J253" s="26">
        <v>19181.599999999999</v>
      </c>
    </row>
    <row r="254" spans="1:10">
      <c r="A254" s="25">
        <v>45242</v>
      </c>
      <c r="B254" s="24" t="s">
        <v>1263</v>
      </c>
      <c r="C254" s="24" t="s">
        <v>1244</v>
      </c>
      <c r="D254" s="24" t="s">
        <v>1243</v>
      </c>
      <c r="E254" s="24" t="s">
        <v>1242</v>
      </c>
      <c r="F254" s="24" t="s">
        <v>132</v>
      </c>
      <c r="G254" s="24" t="s">
        <v>1277</v>
      </c>
      <c r="H254" s="26">
        <v>3</v>
      </c>
      <c r="I254" s="26">
        <v>672.84</v>
      </c>
      <c r="J254" s="26">
        <v>2018.52</v>
      </c>
    </row>
    <row r="255" spans="1:10">
      <c r="A255" s="25">
        <v>45175</v>
      </c>
      <c r="B255" s="24" t="s">
        <v>1269</v>
      </c>
      <c r="C255" s="24" t="s">
        <v>1238</v>
      </c>
      <c r="D255" s="24" t="s">
        <v>1235</v>
      </c>
      <c r="E255" s="24" t="s">
        <v>1231</v>
      </c>
      <c r="F255" s="24" t="s">
        <v>132</v>
      </c>
      <c r="G255" s="24" t="s">
        <v>1279</v>
      </c>
      <c r="H255" s="26">
        <v>5</v>
      </c>
      <c r="I255" s="26">
        <v>4423.53</v>
      </c>
      <c r="J255" s="26">
        <v>22117.65</v>
      </c>
    </row>
    <row r="256" spans="1:10">
      <c r="A256" s="25">
        <v>45049</v>
      </c>
      <c r="B256" s="24" t="s">
        <v>1263</v>
      </c>
      <c r="C256" s="24" t="s">
        <v>1233</v>
      </c>
      <c r="D256" s="24" t="s">
        <v>1232</v>
      </c>
      <c r="E256" s="24" t="s">
        <v>1231</v>
      </c>
      <c r="F256" s="24" t="s">
        <v>132</v>
      </c>
      <c r="G256" s="24" t="s">
        <v>1279</v>
      </c>
      <c r="H256" s="26">
        <v>13</v>
      </c>
      <c r="I256" s="26">
        <v>1330.85</v>
      </c>
      <c r="J256" s="26">
        <v>17301.05</v>
      </c>
    </row>
    <row r="257" spans="1:10">
      <c r="A257" s="25">
        <v>45168</v>
      </c>
      <c r="B257" s="24" t="s">
        <v>1269</v>
      </c>
      <c r="C257" s="24" t="s">
        <v>1239</v>
      </c>
      <c r="D257" s="24" t="s">
        <v>1237</v>
      </c>
      <c r="E257" s="24" t="s">
        <v>1229</v>
      </c>
      <c r="F257" s="24" t="s">
        <v>145</v>
      </c>
      <c r="G257" s="24" t="s">
        <v>1274</v>
      </c>
      <c r="H257" s="26">
        <v>2</v>
      </c>
      <c r="I257" s="26">
        <v>1785.76</v>
      </c>
      <c r="J257" s="26">
        <v>3571.52</v>
      </c>
    </row>
    <row r="258" spans="1:10">
      <c r="A258" s="25">
        <v>44948</v>
      </c>
      <c r="B258" s="24" t="s">
        <v>1256</v>
      </c>
      <c r="C258" s="24" t="s">
        <v>1244</v>
      </c>
      <c r="D258" s="24" t="s">
        <v>1243</v>
      </c>
      <c r="E258" s="24" t="s">
        <v>1242</v>
      </c>
      <c r="F258" s="24" t="s">
        <v>132</v>
      </c>
      <c r="G258" s="24" t="s">
        <v>1277</v>
      </c>
      <c r="H258" s="26">
        <v>10</v>
      </c>
      <c r="I258" s="26">
        <v>505.39</v>
      </c>
      <c r="J258" s="26">
        <v>5053.8999999999996</v>
      </c>
    </row>
    <row r="259" spans="1:10">
      <c r="A259" s="25">
        <v>45255</v>
      </c>
      <c r="B259" s="24" t="s">
        <v>1260</v>
      </c>
      <c r="C259" s="24" t="s">
        <v>1241</v>
      </c>
      <c r="D259" s="24" t="s">
        <v>1235</v>
      </c>
      <c r="E259" s="24" t="s">
        <v>1231</v>
      </c>
      <c r="F259" s="24" t="s">
        <v>120</v>
      </c>
      <c r="G259" s="24" t="s">
        <v>1275</v>
      </c>
      <c r="H259" s="26">
        <v>1</v>
      </c>
      <c r="I259" s="26">
        <v>4966.8599999999997</v>
      </c>
      <c r="J259" s="26">
        <v>4966.8599999999997</v>
      </c>
    </row>
    <row r="260" spans="1:10">
      <c r="A260" s="25">
        <v>45182</v>
      </c>
      <c r="B260" s="24" t="s">
        <v>1256</v>
      </c>
      <c r="C260" s="24" t="s">
        <v>1246</v>
      </c>
      <c r="D260" s="24" t="s">
        <v>1230</v>
      </c>
      <c r="E260" s="24" t="s">
        <v>1229</v>
      </c>
      <c r="F260" s="24" t="s">
        <v>132</v>
      </c>
      <c r="G260" s="24" t="s">
        <v>1271</v>
      </c>
      <c r="H260" s="26">
        <v>5</v>
      </c>
      <c r="I260" s="26">
        <v>4988.76</v>
      </c>
      <c r="J260" s="26">
        <v>24943.8</v>
      </c>
    </row>
    <row r="261" spans="1:10">
      <c r="A261" s="25">
        <v>45067</v>
      </c>
      <c r="B261" s="24" t="s">
        <v>1262</v>
      </c>
      <c r="C261" s="24" t="s">
        <v>1236</v>
      </c>
      <c r="D261" s="24" t="s">
        <v>1235</v>
      </c>
      <c r="E261" s="24" t="s">
        <v>1231</v>
      </c>
      <c r="F261" s="24" t="s">
        <v>120</v>
      </c>
      <c r="G261" s="24" t="s">
        <v>1275</v>
      </c>
      <c r="H261" s="26">
        <v>18</v>
      </c>
      <c r="I261" s="26">
        <v>1745.63</v>
      </c>
      <c r="J261" s="26">
        <v>31421.34</v>
      </c>
    </row>
    <row r="262" spans="1:10">
      <c r="A262" s="25">
        <v>45274</v>
      </c>
      <c r="B262" s="24" t="s">
        <v>1256</v>
      </c>
      <c r="C262" s="24" t="s">
        <v>1171</v>
      </c>
      <c r="D262" s="24" t="s">
        <v>1237</v>
      </c>
      <c r="E262" s="24" t="s">
        <v>1229</v>
      </c>
      <c r="F262" s="24" t="s">
        <v>128</v>
      </c>
      <c r="G262" s="24" t="s">
        <v>1273</v>
      </c>
      <c r="H262" s="26">
        <v>2</v>
      </c>
      <c r="I262" s="26">
        <v>3024.56</v>
      </c>
      <c r="J262" s="26">
        <v>6049.12</v>
      </c>
    </row>
    <row r="263" spans="1:10">
      <c r="A263" s="25">
        <v>45083</v>
      </c>
      <c r="B263" s="24" t="s">
        <v>1265</v>
      </c>
      <c r="C263" s="24" t="s">
        <v>1234</v>
      </c>
      <c r="D263" s="24" t="s">
        <v>1232</v>
      </c>
      <c r="E263" s="24" t="s">
        <v>1231</v>
      </c>
      <c r="F263" s="24" t="s">
        <v>145</v>
      </c>
      <c r="G263" s="24" t="s">
        <v>1261</v>
      </c>
      <c r="H263" s="26">
        <v>15</v>
      </c>
      <c r="I263" s="26">
        <v>4599.74</v>
      </c>
      <c r="J263" s="26">
        <v>68996.100000000006</v>
      </c>
    </row>
    <row r="264" spans="1:10">
      <c r="A264" s="25">
        <v>45286</v>
      </c>
      <c r="B264" s="24" t="s">
        <v>1256</v>
      </c>
      <c r="C264" s="24" t="s">
        <v>1244</v>
      </c>
      <c r="D264" s="24" t="s">
        <v>1243</v>
      </c>
      <c r="E264" s="24" t="s">
        <v>1242</v>
      </c>
      <c r="F264" s="24" t="s">
        <v>1249</v>
      </c>
      <c r="G264" s="24" t="s">
        <v>1272</v>
      </c>
      <c r="H264" s="26">
        <v>18</v>
      </c>
      <c r="I264" s="26">
        <v>330.49</v>
      </c>
      <c r="J264" s="26">
        <v>5948.82</v>
      </c>
    </row>
    <row r="265" spans="1:10">
      <c r="A265" s="25">
        <v>45284</v>
      </c>
      <c r="B265" s="24" t="s">
        <v>1258</v>
      </c>
      <c r="C265" s="24" t="s">
        <v>1238</v>
      </c>
      <c r="D265" s="24" t="s">
        <v>1235</v>
      </c>
      <c r="E265" s="24" t="s">
        <v>1231</v>
      </c>
      <c r="F265" s="24" t="s">
        <v>128</v>
      </c>
      <c r="G265" s="24" t="s">
        <v>1257</v>
      </c>
      <c r="H265" s="26">
        <v>8</v>
      </c>
      <c r="I265" s="26">
        <v>4775.74</v>
      </c>
      <c r="J265" s="26">
        <v>38205.919999999998</v>
      </c>
    </row>
    <row r="266" spans="1:10">
      <c r="A266" s="25">
        <v>45225</v>
      </c>
      <c r="B266" s="24" t="s">
        <v>1269</v>
      </c>
      <c r="C266" s="24" t="s">
        <v>1246</v>
      </c>
      <c r="D266" s="24" t="s">
        <v>1230</v>
      </c>
      <c r="E266" s="24" t="s">
        <v>1229</v>
      </c>
      <c r="F266" s="24" t="s">
        <v>145</v>
      </c>
      <c r="G266" s="24" t="s">
        <v>1261</v>
      </c>
      <c r="H266" s="26">
        <v>16</v>
      </c>
      <c r="I266" s="26">
        <v>2329.86</v>
      </c>
      <c r="J266" s="26">
        <v>37277.760000000002</v>
      </c>
    </row>
    <row r="267" spans="1:10">
      <c r="A267" s="25">
        <v>45098</v>
      </c>
      <c r="B267" s="24" t="s">
        <v>1254</v>
      </c>
      <c r="C267" s="24" t="s">
        <v>1248</v>
      </c>
      <c r="D267" s="24" t="s">
        <v>1230</v>
      </c>
      <c r="E267" s="24" t="s">
        <v>1229</v>
      </c>
      <c r="F267" s="24" t="s">
        <v>120</v>
      </c>
      <c r="G267" s="24" t="s">
        <v>1164</v>
      </c>
      <c r="H267" s="26">
        <v>16</v>
      </c>
      <c r="I267" s="26">
        <v>1426.64</v>
      </c>
      <c r="J267" s="26">
        <v>22826.240000000002</v>
      </c>
    </row>
    <row r="268" spans="1:10">
      <c r="A268" s="25">
        <v>45070</v>
      </c>
      <c r="B268" s="24" t="s">
        <v>1260</v>
      </c>
      <c r="C268" s="24" t="s">
        <v>1246</v>
      </c>
      <c r="D268" s="24" t="s">
        <v>1230</v>
      </c>
      <c r="E268" s="24" t="s">
        <v>1229</v>
      </c>
      <c r="F268" s="24" t="s">
        <v>128</v>
      </c>
      <c r="G268" s="24" t="s">
        <v>1266</v>
      </c>
      <c r="H268" s="26">
        <v>8</v>
      </c>
      <c r="I268" s="26">
        <v>2663.16</v>
      </c>
      <c r="J268" s="26">
        <v>21305.279999999999</v>
      </c>
    </row>
    <row r="269" spans="1:10">
      <c r="A269" s="25">
        <v>44996</v>
      </c>
      <c r="B269" s="24" t="s">
        <v>1267</v>
      </c>
      <c r="C269" s="24" t="s">
        <v>1248</v>
      </c>
      <c r="D269" s="24" t="s">
        <v>1230</v>
      </c>
      <c r="E269" s="24" t="s">
        <v>1229</v>
      </c>
      <c r="F269" s="24" t="s">
        <v>128</v>
      </c>
      <c r="G269" s="24" t="s">
        <v>1257</v>
      </c>
      <c r="H269" s="26">
        <v>20</v>
      </c>
      <c r="I269" s="26">
        <v>1690.56</v>
      </c>
      <c r="J269" s="26">
        <v>33811.199999999997</v>
      </c>
    </row>
    <row r="270" spans="1:10">
      <c r="A270" s="25">
        <v>44947</v>
      </c>
      <c r="B270" s="24" t="s">
        <v>1267</v>
      </c>
      <c r="C270" s="24" t="s">
        <v>1173</v>
      </c>
      <c r="D270" s="24" t="s">
        <v>1237</v>
      </c>
      <c r="E270" s="24" t="s">
        <v>1229</v>
      </c>
      <c r="F270" s="24" t="s">
        <v>128</v>
      </c>
      <c r="G270" s="24" t="s">
        <v>1257</v>
      </c>
      <c r="H270" s="26">
        <v>1</v>
      </c>
      <c r="I270" s="26">
        <v>776.08</v>
      </c>
      <c r="J270" s="26">
        <v>776.08</v>
      </c>
    </row>
    <row r="271" spans="1:10">
      <c r="A271" s="25">
        <v>45018</v>
      </c>
      <c r="B271" s="24" t="s">
        <v>1254</v>
      </c>
      <c r="C271" s="24" t="s">
        <v>1241</v>
      </c>
      <c r="D271" s="24" t="s">
        <v>1235</v>
      </c>
      <c r="E271" s="24" t="s">
        <v>1231</v>
      </c>
      <c r="F271" s="24" t="s">
        <v>1249</v>
      </c>
      <c r="G271" s="24" t="s">
        <v>1270</v>
      </c>
      <c r="H271" s="26">
        <v>3</v>
      </c>
      <c r="I271" s="26">
        <v>1435.01</v>
      </c>
      <c r="J271" s="26">
        <v>4305.03</v>
      </c>
    </row>
    <row r="272" spans="1:10">
      <c r="A272" s="25">
        <v>45176</v>
      </c>
      <c r="B272" s="24" t="s">
        <v>1258</v>
      </c>
      <c r="C272" s="24" t="s">
        <v>1169</v>
      </c>
      <c r="D272" s="24" t="s">
        <v>1230</v>
      </c>
      <c r="E272" s="24" t="s">
        <v>1229</v>
      </c>
      <c r="F272" s="24" t="s">
        <v>145</v>
      </c>
      <c r="G272" s="24" t="s">
        <v>1274</v>
      </c>
      <c r="H272" s="26">
        <v>16</v>
      </c>
      <c r="I272" s="26">
        <v>1473.98</v>
      </c>
      <c r="J272" s="26">
        <v>23583.68</v>
      </c>
    </row>
    <row r="273" spans="1:10">
      <c r="A273" s="25">
        <v>45235</v>
      </c>
      <c r="B273" s="24" t="s">
        <v>1267</v>
      </c>
      <c r="C273" s="24" t="s">
        <v>1245</v>
      </c>
      <c r="D273" s="24" t="s">
        <v>1243</v>
      </c>
      <c r="E273" s="24" t="s">
        <v>1242</v>
      </c>
      <c r="F273" s="24" t="s">
        <v>132</v>
      </c>
      <c r="G273" s="24" t="s">
        <v>1271</v>
      </c>
      <c r="H273" s="26">
        <v>6</v>
      </c>
      <c r="I273" s="26">
        <v>1822.86</v>
      </c>
      <c r="J273" s="26">
        <v>10937.16</v>
      </c>
    </row>
    <row r="274" spans="1:10">
      <c r="A274" s="25">
        <v>44963</v>
      </c>
      <c r="B274" s="24" t="s">
        <v>1267</v>
      </c>
      <c r="C274" s="24" t="s">
        <v>1240</v>
      </c>
      <c r="D274" s="24" t="s">
        <v>1232</v>
      </c>
      <c r="E274" s="24" t="s">
        <v>1231</v>
      </c>
      <c r="F274" s="24" t="s">
        <v>128</v>
      </c>
      <c r="G274" s="24" t="s">
        <v>1264</v>
      </c>
      <c r="H274" s="26">
        <v>13</v>
      </c>
      <c r="I274" s="26">
        <v>739.6</v>
      </c>
      <c r="J274" s="26">
        <v>9614.7999999999993</v>
      </c>
    </row>
    <row r="275" spans="1:10">
      <c r="A275" s="25">
        <v>44994</v>
      </c>
      <c r="B275" s="24" t="s">
        <v>1262</v>
      </c>
      <c r="C275" s="24" t="s">
        <v>1248</v>
      </c>
      <c r="D275" s="24" t="s">
        <v>1230</v>
      </c>
      <c r="E275" s="24" t="s">
        <v>1229</v>
      </c>
      <c r="F275" s="24" t="s">
        <v>1249</v>
      </c>
      <c r="G275" s="24" t="s">
        <v>1272</v>
      </c>
      <c r="H275" s="26">
        <v>11</v>
      </c>
      <c r="I275" s="26">
        <v>4209.66</v>
      </c>
      <c r="J275" s="26">
        <v>46306.26</v>
      </c>
    </row>
    <row r="276" spans="1:10">
      <c r="A276" s="25">
        <v>44986</v>
      </c>
      <c r="B276" s="24" t="s">
        <v>1254</v>
      </c>
      <c r="C276" s="24" t="s">
        <v>1238</v>
      </c>
      <c r="D276" s="24" t="s">
        <v>1235</v>
      </c>
      <c r="E276" s="24" t="s">
        <v>1231</v>
      </c>
      <c r="F276" s="24" t="s">
        <v>120</v>
      </c>
      <c r="G276" s="24" t="s">
        <v>1165</v>
      </c>
      <c r="H276" s="26">
        <v>8</v>
      </c>
      <c r="I276" s="26">
        <v>4105.17</v>
      </c>
      <c r="J276" s="26">
        <v>32841.360000000001</v>
      </c>
    </row>
    <row r="277" spans="1:10">
      <c r="A277" s="25">
        <v>45072</v>
      </c>
      <c r="B277" s="24" t="s">
        <v>1262</v>
      </c>
      <c r="C277" s="24" t="s">
        <v>1244</v>
      </c>
      <c r="D277" s="24" t="s">
        <v>1243</v>
      </c>
      <c r="E277" s="24" t="s">
        <v>1242</v>
      </c>
      <c r="F277" s="24" t="s">
        <v>132</v>
      </c>
      <c r="G277" s="24" t="s">
        <v>1253</v>
      </c>
      <c r="H277" s="26">
        <v>2</v>
      </c>
      <c r="I277" s="26">
        <v>4100.3999999999996</v>
      </c>
      <c r="J277" s="26">
        <v>8200.7999999999993</v>
      </c>
    </row>
    <row r="278" spans="1:10">
      <c r="A278" s="25">
        <v>45221</v>
      </c>
      <c r="B278" s="24" t="s">
        <v>1254</v>
      </c>
      <c r="C278" s="24" t="s">
        <v>1234</v>
      </c>
      <c r="D278" s="24" t="s">
        <v>1232</v>
      </c>
      <c r="E278" s="24" t="s">
        <v>1231</v>
      </c>
      <c r="F278" s="24" t="s">
        <v>1249</v>
      </c>
      <c r="G278" s="24" t="s">
        <v>1259</v>
      </c>
      <c r="H278" s="26">
        <v>20</v>
      </c>
      <c r="I278" s="26">
        <v>2295.08</v>
      </c>
      <c r="J278" s="26">
        <v>45901.599999999999</v>
      </c>
    </row>
    <row r="279" spans="1:10">
      <c r="A279" s="25">
        <v>45241</v>
      </c>
      <c r="B279" s="24" t="s">
        <v>1267</v>
      </c>
      <c r="C279" s="24" t="s">
        <v>1171</v>
      </c>
      <c r="D279" s="24" t="s">
        <v>1237</v>
      </c>
      <c r="E279" s="24" t="s">
        <v>1229</v>
      </c>
      <c r="F279" s="24" t="s">
        <v>1249</v>
      </c>
      <c r="G279" s="24" t="s">
        <v>1268</v>
      </c>
      <c r="H279" s="26">
        <v>20</v>
      </c>
      <c r="I279" s="26">
        <v>4970.33</v>
      </c>
      <c r="J279" s="26">
        <v>99406.6</v>
      </c>
    </row>
    <row r="280" spans="1:10">
      <c r="A280" s="25">
        <v>45272</v>
      </c>
      <c r="B280" s="24" t="s">
        <v>1262</v>
      </c>
      <c r="C280" s="24" t="s">
        <v>1246</v>
      </c>
      <c r="D280" s="24" t="s">
        <v>1230</v>
      </c>
      <c r="E280" s="24" t="s">
        <v>1229</v>
      </c>
      <c r="F280" s="24" t="s">
        <v>132</v>
      </c>
      <c r="G280" s="24" t="s">
        <v>1271</v>
      </c>
      <c r="H280" s="26">
        <v>12</v>
      </c>
      <c r="I280" s="26">
        <v>3939.5</v>
      </c>
      <c r="J280" s="26">
        <v>47274</v>
      </c>
    </row>
    <row r="281" spans="1:10">
      <c r="A281" s="25">
        <v>45224</v>
      </c>
      <c r="B281" s="24" t="s">
        <v>1263</v>
      </c>
      <c r="C281" s="24" t="s">
        <v>1236</v>
      </c>
      <c r="D281" s="24" t="s">
        <v>1235</v>
      </c>
      <c r="E281" s="24" t="s">
        <v>1231</v>
      </c>
      <c r="F281" s="24" t="s">
        <v>120</v>
      </c>
      <c r="G281" s="24" t="s">
        <v>1275</v>
      </c>
      <c r="H281" s="26">
        <v>15</v>
      </c>
      <c r="I281" s="26">
        <v>1450.75</v>
      </c>
      <c r="J281" s="26">
        <v>21761.25</v>
      </c>
    </row>
    <row r="282" spans="1:10">
      <c r="A282" s="25">
        <v>45235</v>
      </c>
      <c r="B282" s="24" t="s">
        <v>1263</v>
      </c>
      <c r="C282" s="24" t="s">
        <v>1240</v>
      </c>
      <c r="D282" s="24" t="s">
        <v>1232</v>
      </c>
      <c r="E282" s="24" t="s">
        <v>1231</v>
      </c>
      <c r="F282" s="24" t="s">
        <v>132</v>
      </c>
      <c r="G282" s="24" t="s">
        <v>1253</v>
      </c>
      <c r="H282" s="26">
        <v>8</v>
      </c>
      <c r="I282" s="26">
        <v>3279.33</v>
      </c>
      <c r="J282" s="26">
        <v>26234.639999999999</v>
      </c>
    </row>
    <row r="283" spans="1:10">
      <c r="A283" s="25">
        <v>44953</v>
      </c>
      <c r="B283" s="24" t="s">
        <v>1267</v>
      </c>
      <c r="C283" s="24" t="s">
        <v>1173</v>
      </c>
      <c r="D283" s="24" t="s">
        <v>1237</v>
      </c>
      <c r="E283" s="24" t="s">
        <v>1229</v>
      </c>
      <c r="F283" s="24" t="s">
        <v>128</v>
      </c>
      <c r="G283" s="24" t="s">
        <v>1266</v>
      </c>
      <c r="H283" s="26">
        <v>7</v>
      </c>
      <c r="I283" s="26">
        <v>579.91999999999996</v>
      </c>
      <c r="J283" s="26">
        <v>4059.44</v>
      </c>
    </row>
    <row r="284" spans="1:10">
      <c r="A284" s="25">
        <v>44962</v>
      </c>
      <c r="B284" s="24" t="s">
        <v>1263</v>
      </c>
      <c r="C284" s="24" t="s">
        <v>1240</v>
      </c>
      <c r="D284" s="24" t="s">
        <v>1232</v>
      </c>
      <c r="E284" s="24" t="s">
        <v>1231</v>
      </c>
      <c r="F284" s="24" t="s">
        <v>120</v>
      </c>
      <c r="G284" s="24" t="s">
        <v>1164</v>
      </c>
      <c r="H284" s="26">
        <v>10</v>
      </c>
      <c r="I284" s="26">
        <v>2515.54</v>
      </c>
      <c r="J284" s="26">
        <v>25155.4</v>
      </c>
    </row>
    <row r="285" spans="1:10">
      <c r="A285" s="25">
        <v>45005</v>
      </c>
      <c r="B285" s="24" t="s">
        <v>1258</v>
      </c>
      <c r="C285" s="24" t="s">
        <v>1173</v>
      </c>
      <c r="D285" s="24" t="s">
        <v>1237</v>
      </c>
      <c r="E285" s="24" t="s">
        <v>1229</v>
      </c>
      <c r="F285" s="24" t="s">
        <v>1249</v>
      </c>
      <c r="G285" s="24" t="s">
        <v>1268</v>
      </c>
      <c r="H285" s="26">
        <v>10</v>
      </c>
      <c r="I285" s="26">
        <v>2976.69</v>
      </c>
      <c r="J285" s="26">
        <v>29766.9</v>
      </c>
    </row>
    <row r="286" spans="1:10">
      <c r="A286" s="25">
        <v>45044</v>
      </c>
      <c r="B286" s="24" t="s">
        <v>1258</v>
      </c>
      <c r="C286" s="24" t="s">
        <v>1234</v>
      </c>
      <c r="D286" s="24" t="s">
        <v>1232</v>
      </c>
      <c r="E286" s="24" t="s">
        <v>1231</v>
      </c>
      <c r="F286" s="24" t="s">
        <v>1249</v>
      </c>
      <c r="G286" s="24" t="s">
        <v>1272</v>
      </c>
      <c r="H286" s="26">
        <v>16</v>
      </c>
      <c r="I286" s="26">
        <v>4047.21</v>
      </c>
      <c r="J286" s="26">
        <v>64755.360000000001</v>
      </c>
    </row>
    <row r="287" spans="1:10">
      <c r="A287" s="25">
        <v>45026</v>
      </c>
      <c r="B287" s="24" t="s">
        <v>1260</v>
      </c>
      <c r="C287" s="24" t="s">
        <v>1169</v>
      </c>
      <c r="D287" s="24" t="s">
        <v>1230</v>
      </c>
      <c r="E287" s="24" t="s">
        <v>1229</v>
      </c>
      <c r="F287" s="24" t="s">
        <v>1249</v>
      </c>
      <c r="G287" s="24" t="s">
        <v>1270</v>
      </c>
      <c r="H287" s="26">
        <v>18</v>
      </c>
      <c r="I287" s="26">
        <v>2825.07</v>
      </c>
      <c r="J287" s="26">
        <v>50851.26</v>
      </c>
    </row>
    <row r="288" spans="1:10">
      <c r="A288" s="25">
        <v>45067</v>
      </c>
      <c r="B288" s="24" t="s">
        <v>1262</v>
      </c>
      <c r="C288" s="24" t="s">
        <v>1233</v>
      </c>
      <c r="D288" s="24" t="s">
        <v>1232</v>
      </c>
      <c r="E288" s="24" t="s">
        <v>1231</v>
      </c>
      <c r="F288" s="24" t="s">
        <v>128</v>
      </c>
      <c r="G288" s="24" t="s">
        <v>1273</v>
      </c>
      <c r="H288" s="26">
        <v>13</v>
      </c>
      <c r="I288" s="26">
        <v>1406.82</v>
      </c>
      <c r="J288" s="26">
        <v>18288.66</v>
      </c>
    </row>
    <row r="289" spans="1:10">
      <c r="A289" s="25">
        <v>45038</v>
      </c>
      <c r="B289" s="24" t="s">
        <v>1269</v>
      </c>
      <c r="C289" s="24" t="s">
        <v>1239</v>
      </c>
      <c r="D289" s="24" t="s">
        <v>1237</v>
      </c>
      <c r="E289" s="24" t="s">
        <v>1229</v>
      </c>
      <c r="F289" s="24" t="s">
        <v>145</v>
      </c>
      <c r="G289" s="24" t="s">
        <v>1278</v>
      </c>
      <c r="H289" s="26">
        <v>16</v>
      </c>
      <c r="I289" s="26">
        <v>1090.18</v>
      </c>
      <c r="J289" s="26">
        <v>17442.88</v>
      </c>
    </row>
    <row r="290" spans="1:10">
      <c r="A290" s="25">
        <v>44960</v>
      </c>
      <c r="B290" s="24" t="s">
        <v>1265</v>
      </c>
      <c r="C290" s="24" t="s">
        <v>1245</v>
      </c>
      <c r="D290" s="24" t="s">
        <v>1243</v>
      </c>
      <c r="E290" s="24" t="s">
        <v>1242</v>
      </c>
      <c r="F290" s="24" t="s">
        <v>120</v>
      </c>
      <c r="G290" s="24" t="s">
        <v>1275</v>
      </c>
      <c r="H290" s="26">
        <v>12</v>
      </c>
      <c r="I290" s="26">
        <v>3696.43</v>
      </c>
      <c r="J290" s="26">
        <v>44357.16</v>
      </c>
    </row>
    <row r="291" spans="1:10">
      <c r="A291" s="25">
        <v>45239</v>
      </c>
      <c r="B291" s="24" t="s">
        <v>1258</v>
      </c>
      <c r="C291" s="24" t="s">
        <v>1238</v>
      </c>
      <c r="D291" s="24" t="s">
        <v>1235</v>
      </c>
      <c r="E291" s="24" t="s">
        <v>1231</v>
      </c>
      <c r="F291" s="24" t="s">
        <v>120</v>
      </c>
      <c r="G291" s="24" t="s">
        <v>1275</v>
      </c>
      <c r="H291" s="26">
        <v>7</v>
      </c>
      <c r="I291" s="26">
        <v>4535.1400000000003</v>
      </c>
      <c r="J291" s="26">
        <v>31745.98</v>
      </c>
    </row>
    <row r="292" spans="1:10">
      <c r="A292" s="25">
        <v>45232</v>
      </c>
      <c r="B292" s="24" t="s">
        <v>1260</v>
      </c>
      <c r="C292" s="24" t="s">
        <v>1234</v>
      </c>
      <c r="D292" s="24" t="s">
        <v>1232</v>
      </c>
      <c r="E292" s="24" t="s">
        <v>1231</v>
      </c>
      <c r="F292" s="24" t="s">
        <v>1249</v>
      </c>
      <c r="G292" s="24" t="s">
        <v>1272</v>
      </c>
      <c r="H292" s="26">
        <v>3</v>
      </c>
      <c r="I292" s="26">
        <v>4931.6899999999996</v>
      </c>
      <c r="J292" s="26">
        <v>14795.07</v>
      </c>
    </row>
    <row r="293" spans="1:10">
      <c r="A293" s="25">
        <v>45037</v>
      </c>
      <c r="B293" s="24" t="s">
        <v>1269</v>
      </c>
      <c r="C293" s="24" t="s">
        <v>1247</v>
      </c>
      <c r="D293" s="24" t="s">
        <v>1243</v>
      </c>
      <c r="E293" s="24" t="s">
        <v>1242</v>
      </c>
      <c r="F293" s="24" t="s">
        <v>1249</v>
      </c>
      <c r="G293" s="24" t="s">
        <v>1259</v>
      </c>
      <c r="H293" s="26">
        <v>16</v>
      </c>
      <c r="I293" s="26">
        <v>3263.65</v>
      </c>
      <c r="J293" s="26">
        <v>52218.400000000001</v>
      </c>
    </row>
    <row r="294" spans="1:10">
      <c r="A294" s="25">
        <v>45046</v>
      </c>
      <c r="B294" s="24" t="s">
        <v>1256</v>
      </c>
      <c r="C294" s="24" t="s">
        <v>1171</v>
      </c>
      <c r="D294" s="24" t="s">
        <v>1237</v>
      </c>
      <c r="E294" s="24" t="s">
        <v>1229</v>
      </c>
      <c r="F294" s="24" t="s">
        <v>145</v>
      </c>
      <c r="G294" s="24" t="s">
        <v>1274</v>
      </c>
      <c r="H294" s="26">
        <v>17</v>
      </c>
      <c r="I294" s="26">
        <v>4083.07</v>
      </c>
      <c r="J294" s="26">
        <v>69412.19</v>
      </c>
    </row>
    <row r="295" spans="1:10">
      <c r="A295" s="25">
        <v>44975</v>
      </c>
      <c r="B295" s="24" t="s">
        <v>1263</v>
      </c>
      <c r="C295" s="24" t="s">
        <v>1173</v>
      </c>
      <c r="D295" s="24" t="s">
        <v>1237</v>
      </c>
      <c r="E295" s="24" t="s">
        <v>1229</v>
      </c>
      <c r="F295" s="24" t="s">
        <v>145</v>
      </c>
      <c r="G295" s="24" t="s">
        <v>1255</v>
      </c>
      <c r="H295" s="26">
        <v>12</v>
      </c>
      <c r="I295" s="26">
        <v>528.69000000000005</v>
      </c>
      <c r="J295" s="26">
        <v>6344.28</v>
      </c>
    </row>
    <row r="296" spans="1:10">
      <c r="A296" s="25">
        <v>45142</v>
      </c>
      <c r="B296" s="24" t="s">
        <v>1267</v>
      </c>
      <c r="C296" s="24" t="s">
        <v>1240</v>
      </c>
      <c r="D296" s="24" t="s">
        <v>1232</v>
      </c>
      <c r="E296" s="24" t="s">
        <v>1231</v>
      </c>
      <c r="F296" s="24" t="s">
        <v>120</v>
      </c>
      <c r="G296" s="24" t="s">
        <v>1276</v>
      </c>
      <c r="H296" s="26">
        <v>8</v>
      </c>
      <c r="I296" s="26">
        <v>528.92999999999995</v>
      </c>
      <c r="J296" s="26">
        <v>4231.4399999999996</v>
      </c>
    </row>
    <row r="297" spans="1:10">
      <c r="A297" s="25">
        <v>45150</v>
      </c>
      <c r="B297" s="24" t="s">
        <v>1252</v>
      </c>
      <c r="C297" s="24" t="s">
        <v>1171</v>
      </c>
      <c r="D297" s="24" t="s">
        <v>1237</v>
      </c>
      <c r="E297" s="24" t="s">
        <v>1229</v>
      </c>
      <c r="F297" s="24" t="s">
        <v>1249</v>
      </c>
      <c r="G297" s="24" t="s">
        <v>1259</v>
      </c>
      <c r="H297" s="26">
        <v>11</v>
      </c>
      <c r="I297" s="26">
        <v>1749.31</v>
      </c>
      <c r="J297" s="26">
        <v>19242.41</v>
      </c>
    </row>
    <row r="298" spans="1:10">
      <c r="A298" s="25">
        <v>45262</v>
      </c>
      <c r="B298" s="24" t="s">
        <v>1252</v>
      </c>
      <c r="C298" s="24" t="s">
        <v>1239</v>
      </c>
      <c r="D298" s="24" t="s">
        <v>1237</v>
      </c>
      <c r="E298" s="24" t="s">
        <v>1229</v>
      </c>
      <c r="F298" s="24" t="s">
        <v>145</v>
      </c>
      <c r="G298" s="24" t="s">
        <v>1255</v>
      </c>
      <c r="H298" s="26">
        <v>11</v>
      </c>
      <c r="I298" s="26">
        <v>2635.95</v>
      </c>
      <c r="J298" s="26">
        <v>28995.45</v>
      </c>
    </row>
    <row r="299" spans="1:10">
      <c r="A299" s="25">
        <v>45275</v>
      </c>
      <c r="B299" s="24" t="s">
        <v>1262</v>
      </c>
      <c r="C299" s="24" t="s">
        <v>1239</v>
      </c>
      <c r="D299" s="24" t="s">
        <v>1237</v>
      </c>
      <c r="E299" s="24" t="s">
        <v>1229</v>
      </c>
      <c r="F299" s="24" t="s">
        <v>1249</v>
      </c>
      <c r="G299" s="24" t="s">
        <v>1259</v>
      </c>
      <c r="H299" s="26">
        <v>6</v>
      </c>
      <c r="I299" s="26">
        <v>2850.31</v>
      </c>
      <c r="J299" s="26">
        <v>17101.86</v>
      </c>
    </row>
    <row r="300" spans="1:10">
      <c r="A300" s="25">
        <v>45029</v>
      </c>
      <c r="B300" s="24" t="s">
        <v>1269</v>
      </c>
      <c r="C300" s="24" t="s">
        <v>1241</v>
      </c>
      <c r="D300" s="24" t="s">
        <v>1235</v>
      </c>
      <c r="E300" s="24" t="s">
        <v>1231</v>
      </c>
      <c r="F300" s="24" t="s">
        <v>120</v>
      </c>
      <c r="G300" s="24" t="s">
        <v>1165</v>
      </c>
      <c r="H300" s="26">
        <v>5</v>
      </c>
      <c r="I300" s="26">
        <v>1413.03</v>
      </c>
      <c r="J300" s="26">
        <v>7065.15</v>
      </c>
    </row>
    <row r="301" spans="1:10">
      <c r="A301" s="25">
        <v>45291</v>
      </c>
      <c r="B301" s="24" t="s">
        <v>1260</v>
      </c>
      <c r="C301" s="24" t="s">
        <v>1173</v>
      </c>
      <c r="D301" s="24" t="s">
        <v>1237</v>
      </c>
      <c r="E301" s="24" t="s">
        <v>1229</v>
      </c>
      <c r="F301" s="24" t="s">
        <v>120</v>
      </c>
      <c r="G301" s="24" t="s">
        <v>1275</v>
      </c>
      <c r="H301" s="26">
        <v>14</v>
      </c>
      <c r="I301" s="26">
        <v>4541.87</v>
      </c>
      <c r="J301" s="26">
        <v>63586.18</v>
      </c>
    </row>
    <row r="302" spans="1:10">
      <c r="A302" s="25">
        <v>45076</v>
      </c>
      <c r="B302" s="24" t="s">
        <v>1260</v>
      </c>
      <c r="C302" s="24" t="s">
        <v>1244</v>
      </c>
      <c r="D302" s="24" t="s">
        <v>1243</v>
      </c>
      <c r="E302" s="24" t="s">
        <v>1242</v>
      </c>
      <c r="F302" s="24" t="s">
        <v>128</v>
      </c>
      <c r="G302" s="24" t="s">
        <v>1266</v>
      </c>
      <c r="H302" s="26">
        <v>5</v>
      </c>
      <c r="I302" s="26">
        <v>3395.71</v>
      </c>
      <c r="J302" s="26">
        <v>16978.55</v>
      </c>
    </row>
    <row r="303" spans="1:10">
      <c r="A303" s="25">
        <v>45237</v>
      </c>
      <c r="B303" s="24" t="s">
        <v>1258</v>
      </c>
      <c r="C303" s="24" t="s">
        <v>1248</v>
      </c>
      <c r="D303" s="24" t="s">
        <v>1230</v>
      </c>
      <c r="E303" s="24" t="s">
        <v>1229</v>
      </c>
      <c r="F303" s="24" t="s">
        <v>145</v>
      </c>
      <c r="G303" s="24" t="s">
        <v>1274</v>
      </c>
      <c r="H303" s="26">
        <v>2</v>
      </c>
      <c r="I303" s="26">
        <v>4050.46</v>
      </c>
      <c r="J303" s="26">
        <v>8100.92</v>
      </c>
    </row>
    <row r="304" spans="1:10">
      <c r="A304" s="25">
        <v>45141</v>
      </c>
      <c r="B304" s="24" t="s">
        <v>1265</v>
      </c>
      <c r="C304" s="24" t="s">
        <v>1246</v>
      </c>
      <c r="D304" s="24" t="s">
        <v>1230</v>
      </c>
      <c r="E304" s="24" t="s">
        <v>1229</v>
      </c>
      <c r="F304" s="24" t="s">
        <v>128</v>
      </c>
      <c r="G304" s="24" t="s">
        <v>1257</v>
      </c>
      <c r="H304" s="26">
        <v>6</v>
      </c>
      <c r="I304" s="26">
        <v>3617.81</v>
      </c>
      <c r="J304" s="26">
        <v>21706.86</v>
      </c>
    </row>
    <row r="305" spans="1:10">
      <c r="A305" s="25">
        <v>45158</v>
      </c>
      <c r="B305" s="24" t="s">
        <v>1258</v>
      </c>
      <c r="C305" s="24" t="s">
        <v>1234</v>
      </c>
      <c r="D305" s="24" t="s">
        <v>1232</v>
      </c>
      <c r="E305" s="24" t="s">
        <v>1231</v>
      </c>
      <c r="F305" s="24" t="s">
        <v>1249</v>
      </c>
      <c r="G305" s="24" t="s">
        <v>1268</v>
      </c>
      <c r="H305" s="26">
        <v>11</v>
      </c>
      <c r="I305" s="26">
        <v>1527.71</v>
      </c>
      <c r="J305" s="26">
        <v>16804.810000000001</v>
      </c>
    </row>
    <row r="306" spans="1:10">
      <c r="A306" s="25">
        <v>44963</v>
      </c>
      <c r="B306" s="24" t="s">
        <v>1265</v>
      </c>
      <c r="C306" s="24" t="s">
        <v>1245</v>
      </c>
      <c r="D306" s="24" t="s">
        <v>1243</v>
      </c>
      <c r="E306" s="24" t="s">
        <v>1242</v>
      </c>
      <c r="F306" s="24" t="s">
        <v>120</v>
      </c>
      <c r="G306" s="24" t="s">
        <v>1276</v>
      </c>
      <c r="H306" s="26">
        <v>7</v>
      </c>
      <c r="I306" s="26">
        <v>1420.32</v>
      </c>
      <c r="J306" s="26">
        <v>9942.24</v>
      </c>
    </row>
    <row r="307" spans="1:10">
      <c r="A307" s="25">
        <v>44952</v>
      </c>
      <c r="B307" s="24" t="s">
        <v>1260</v>
      </c>
      <c r="C307" s="24" t="s">
        <v>1240</v>
      </c>
      <c r="D307" s="24" t="s">
        <v>1232</v>
      </c>
      <c r="E307" s="24" t="s">
        <v>1231</v>
      </c>
      <c r="F307" s="24" t="s">
        <v>120</v>
      </c>
      <c r="G307" s="24" t="s">
        <v>1164</v>
      </c>
      <c r="H307" s="26">
        <v>17</v>
      </c>
      <c r="I307" s="26">
        <v>1336.86</v>
      </c>
      <c r="J307" s="26">
        <v>22726.62</v>
      </c>
    </row>
    <row r="308" spans="1:10">
      <c r="A308" s="25">
        <v>44936</v>
      </c>
      <c r="B308" s="24" t="s">
        <v>1252</v>
      </c>
      <c r="C308" s="24" t="s">
        <v>1246</v>
      </c>
      <c r="D308" s="24" t="s">
        <v>1230</v>
      </c>
      <c r="E308" s="24" t="s">
        <v>1229</v>
      </c>
      <c r="F308" s="24" t="s">
        <v>128</v>
      </c>
      <c r="G308" s="24" t="s">
        <v>1257</v>
      </c>
      <c r="H308" s="26">
        <v>15</v>
      </c>
      <c r="I308" s="26">
        <v>359.4</v>
      </c>
      <c r="J308" s="26">
        <v>5391</v>
      </c>
    </row>
    <row r="309" spans="1:10">
      <c r="A309" s="25">
        <v>45192</v>
      </c>
      <c r="B309" s="24" t="s">
        <v>1267</v>
      </c>
      <c r="C309" s="24" t="s">
        <v>1245</v>
      </c>
      <c r="D309" s="24" t="s">
        <v>1243</v>
      </c>
      <c r="E309" s="24" t="s">
        <v>1242</v>
      </c>
      <c r="F309" s="24" t="s">
        <v>132</v>
      </c>
      <c r="G309" s="24" t="s">
        <v>1279</v>
      </c>
      <c r="H309" s="26">
        <v>6</v>
      </c>
      <c r="I309" s="26">
        <v>4109.0200000000004</v>
      </c>
      <c r="J309" s="26">
        <v>24654.12</v>
      </c>
    </row>
    <row r="310" spans="1:10">
      <c r="A310" s="25">
        <v>44965</v>
      </c>
      <c r="B310" s="24" t="s">
        <v>1256</v>
      </c>
      <c r="C310" s="24" t="s">
        <v>1241</v>
      </c>
      <c r="D310" s="24" t="s">
        <v>1235</v>
      </c>
      <c r="E310" s="24" t="s">
        <v>1231</v>
      </c>
      <c r="F310" s="24" t="s">
        <v>132</v>
      </c>
      <c r="G310" s="24" t="s">
        <v>1253</v>
      </c>
      <c r="H310" s="26">
        <v>12</v>
      </c>
      <c r="I310" s="26">
        <v>3700.23</v>
      </c>
      <c r="J310" s="26">
        <v>44402.76</v>
      </c>
    </row>
    <row r="311" spans="1:10">
      <c r="A311" s="25">
        <v>45015</v>
      </c>
      <c r="B311" s="24" t="s">
        <v>1258</v>
      </c>
      <c r="C311" s="24" t="s">
        <v>1240</v>
      </c>
      <c r="D311" s="24" t="s">
        <v>1232</v>
      </c>
      <c r="E311" s="24" t="s">
        <v>1231</v>
      </c>
      <c r="F311" s="24" t="s">
        <v>132</v>
      </c>
      <c r="G311" s="24" t="s">
        <v>1279</v>
      </c>
      <c r="H311" s="26">
        <v>5</v>
      </c>
      <c r="I311" s="26">
        <v>221.41</v>
      </c>
      <c r="J311" s="26">
        <v>1107.05</v>
      </c>
    </row>
    <row r="312" spans="1:10">
      <c r="A312" s="25">
        <v>45075</v>
      </c>
      <c r="B312" s="24" t="s">
        <v>1267</v>
      </c>
      <c r="C312" s="24" t="s">
        <v>1238</v>
      </c>
      <c r="D312" s="24" t="s">
        <v>1235</v>
      </c>
      <c r="E312" s="24" t="s">
        <v>1231</v>
      </c>
      <c r="F312" s="24" t="s">
        <v>128</v>
      </c>
      <c r="G312" s="24" t="s">
        <v>1257</v>
      </c>
      <c r="H312" s="26">
        <v>12</v>
      </c>
      <c r="I312" s="26">
        <v>4446.1499999999996</v>
      </c>
      <c r="J312" s="26">
        <v>53353.8</v>
      </c>
    </row>
    <row r="313" spans="1:10">
      <c r="A313" s="25">
        <v>45115</v>
      </c>
      <c r="B313" s="24" t="s">
        <v>1260</v>
      </c>
      <c r="C313" s="24" t="s">
        <v>1238</v>
      </c>
      <c r="D313" s="24" t="s">
        <v>1235</v>
      </c>
      <c r="E313" s="24" t="s">
        <v>1231</v>
      </c>
      <c r="F313" s="24" t="s">
        <v>1249</v>
      </c>
      <c r="G313" s="24" t="s">
        <v>1259</v>
      </c>
      <c r="H313" s="26">
        <v>12</v>
      </c>
      <c r="I313" s="26">
        <v>2393.9699999999998</v>
      </c>
      <c r="J313" s="26">
        <v>28727.64</v>
      </c>
    </row>
    <row r="314" spans="1:10">
      <c r="A314" s="25">
        <v>45089</v>
      </c>
      <c r="B314" s="24" t="s">
        <v>1262</v>
      </c>
      <c r="C314" s="24" t="s">
        <v>1244</v>
      </c>
      <c r="D314" s="24" t="s">
        <v>1243</v>
      </c>
      <c r="E314" s="24" t="s">
        <v>1242</v>
      </c>
      <c r="F314" s="24" t="s">
        <v>1249</v>
      </c>
      <c r="G314" s="24" t="s">
        <v>1270</v>
      </c>
      <c r="H314" s="26">
        <v>7</v>
      </c>
      <c r="I314" s="26">
        <v>256.57</v>
      </c>
      <c r="J314" s="26">
        <v>1795.99</v>
      </c>
    </row>
    <row r="315" spans="1:10">
      <c r="A315" s="25">
        <v>45071</v>
      </c>
      <c r="B315" s="24" t="s">
        <v>1267</v>
      </c>
      <c r="C315" s="24" t="s">
        <v>1233</v>
      </c>
      <c r="D315" s="24" t="s">
        <v>1232</v>
      </c>
      <c r="E315" s="24" t="s">
        <v>1231</v>
      </c>
      <c r="F315" s="24" t="s">
        <v>128</v>
      </c>
      <c r="G315" s="24" t="s">
        <v>1273</v>
      </c>
      <c r="H315" s="26">
        <v>9</v>
      </c>
      <c r="I315" s="26">
        <v>4218.3599999999997</v>
      </c>
      <c r="J315" s="26">
        <v>37965.24</v>
      </c>
    </row>
    <row r="316" spans="1:10">
      <c r="A316" s="25">
        <v>45121</v>
      </c>
      <c r="B316" s="24" t="s">
        <v>1260</v>
      </c>
      <c r="C316" s="24" t="s">
        <v>1244</v>
      </c>
      <c r="D316" s="24" t="s">
        <v>1243</v>
      </c>
      <c r="E316" s="24" t="s">
        <v>1242</v>
      </c>
      <c r="F316" s="24" t="s">
        <v>128</v>
      </c>
      <c r="G316" s="24" t="s">
        <v>1264</v>
      </c>
      <c r="H316" s="26">
        <v>8</v>
      </c>
      <c r="I316" s="26">
        <v>4930.67</v>
      </c>
      <c r="J316" s="26">
        <v>39445.360000000001</v>
      </c>
    </row>
    <row r="317" spans="1:10">
      <c r="A317" s="25">
        <v>45186</v>
      </c>
      <c r="B317" s="24" t="s">
        <v>1254</v>
      </c>
      <c r="C317" s="24" t="s">
        <v>1240</v>
      </c>
      <c r="D317" s="24" t="s">
        <v>1232</v>
      </c>
      <c r="E317" s="24" t="s">
        <v>1231</v>
      </c>
      <c r="F317" s="24" t="s">
        <v>128</v>
      </c>
      <c r="G317" s="24" t="s">
        <v>1264</v>
      </c>
      <c r="H317" s="26">
        <v>2</v>
      </c>
      <c r="I317" s="26">
        <v>1264.68</v>
      </c>
      <c r="J317" s="26">
        <v>2529.36</v>
      </c>
    </row>
    <row r="318" spans="1:10">
      <c r="A318" s="25">
        <v>45084</v>
      </c>
      <c r="B318" s="24" t="s">
        <v>1252</v>
      </c>
      <c r="C318" s="24" t="s">
        <v>1173</v>
      </c>
      <c r="D318" s="24" t="s">
        <v>1237</v>
      </c>
      <c r="E318" s="24" t="s">
        <v>1229</v>
      </c>
      <c r="F318" s="24" t="s">
        <v>145</v>
      </c>
      <c r="G318" s="24" t="s">
        <v>1261</v>
      </c>
      <c r="H318" s="26">
        <v>16</v>
      </c>
      <c r="I318" s="26">
        <v>2192.7399999999998</v>
      </c>
      <c r="J318" s="26">
        <v>35083.839999999997</v>
      </c>
    </row>
    <row r="319" spans="1:10">
      <c r="A319" s="25">
        <v>45258</v>
      </c>
      <c r="B319" s="24" t="s">
        <v>1254</v>
      </c>
      <c r="C319" s="24" t="s">
        <v>1173</v>
      </c>
      <c r="D319" s="24" t="s">
        <v>1237</v>
      </c>
      <c r="E319" s="24" t="s">
        <v>1229</v>
      </c>
      <c r="F319" s="24" t="s">
        <v>1249</v>
      </c>
      <c r="G319" s="24" t="s">
        <v>1268</v>
      </c>
      <c r="H319" s="26">
        <v>14</v>
      </c>
      <c r="I319" s="26">
        <v>3943.42</v>
      </c>
      <c r="J319" s="26">
        <v>55207.88</v>
      </c>
    </row>
    <row r="320" spans="1:10">
      <c r="A320" s="25">
        <v>45172</v>
      </c>
      <c r="B320" s="24" t="s">
        <v>1265</v>
      </c>
      <c r="C320" s="24" t="s">
        <v>1169</v>
      </c>
      <c r="D320" s="24" t="s">
        <v>1230</v>
      </c>
      <c r="E320" s="24" t="s">
        <v>1229</v>
      </c>
      <c r="F320" s="24" t="s">
        <v>1249</v>
      </c>
      <c r="G320" s="24" t="s">
        <v>1272</v>
      </c>
      <c r="H320" s="26">
        <v>11</v>
      </c>
      <c r="I320" s="26">
        <v>2951.18</v>
      </c>
      <c r="J320" s="26">
        <v>32462.98</v>
      </c>
    </row>
    <row r="321" spans="1:10">
      <c r="A321" s="25">
        <v>45216</v>
      </c>
      <c r="B321" s="24" t="s">
        <v>1263</v>
      </c>
      <c r="C321" s="24" t="s">
        <v>1240</v>
      </c>
      <c r="D321" s="24" t="s">
        <v>1232</v>
      </c>
      <c r="E321" s="24" t="s">
        <v>1231</v>
      </c>
      <c r="F321" s="24" t="s">
        <v>1249</v>
      </c>
      <c r="G321" s="24" t="s">
        <v>1270</v>
      </c>
      <c r="H321" s="26">
        <v>11</v>
      </c>
      <c r="I321" s="26">
        <v>4325.83</v>
      </c>
      <c r="J321" s="26">
        <v>47584.13</v>
      </c>
    </row>
    <row r="322" spans="1:10">
      <c r="A322" s="25">
        <v>45033</v>
      </c>
      <c r="B322" s="24" t="s">
        <v>1263</v>
      </c>
      <c r="C322" s="24" t="s">
        <v>1169</v>
      </c>
      <c r="D322" s="24" t="s">
        <v>1230</v>
      </c>
      <c r="E322" s="24" t="s">
        <v>1229</v>
      </c>
      <c r="F322" s="24" t="s">
        <v>120</v>
      </c>
      <c r="G322" s="24" t="s">
        <v>1276</v>
      </c>
      <c r="H322" s="26">
        <v>2</v>
      </c>
      <c r="I322" s="26">
        <v>1417.87</v>
      </c>
      <c r="J322" s="26">
        <v>2835.74</v>
      </c>
    </row>
    <row r="323" spans="1:10">
      <c r="A323" s="25">
        <v>45219</v>
      </c>
      <c r="B323" s="24" t="s">
        <v>1263</v>
      </c>
      <c r="C323" s="24" t="s">
        <v>1171</v>
      </c>
      <c r="D323" s="24" t="s">
        <v>1237</v>
      </c>
      <c r="E323" s="24" t="s">
        <v>1229</v>
      </c>
      <c r="F323" s="24" t="s">
        <v>145</v>
      </c>
      <c r="G323" s="24" t="s">
        <v>1255</v>
      </c>
      <c r="H323" s="26">
        <v>13</v>
      </c>
      <c r="I323" s="26">
        <v>2511.64</v>
      </c>
      <c r="J323" s="26">
        <v>32651.32</v>
      </c>
    </row>
    <row r="324" spans="1:10">
      <c r="A324" s="25">
        <v>45047</v>
      </c>
      <c r="B324" s="24" t="s">
        <v>1265</v>
      </c>
      <c r="C324" s="24" t="s">
        <v>1171</v>
      </c>
      <c r="D324" s="24" t="s">
        <v>1237</v>
      </c>
      <c r="E324" s="24" t="s">
        <v>1229</v>
      </c>
      <c r="F324" s="24" t="s">
        <v>132</v>
      </c>
      <c r="G324" s="24" t="s">
        <v>1253</v>
      </c>
      <c r="H324" s="26">
        <v>7</v>
      </c>
      <c r="I324" s="26">
        <v>862.76</v>
      </c>
      <c r="J324" s="26">
        <v>6039.32</v>
      </c>
    </row>
    <row r="325" spans="1:10">
      <c r="A325" s="25">
        <v>45200</v>
      </c>
      <c r="B325" s="24" t="s">
        <v>1254</v>
      </c>
      <c r="C325" s="24" t="s">
        <v>1236</v>
      </c>
      <c r="D325" s="24" t="s">
        <v>1235</v>
      </c>
      <c r="E325" s="24" t="s">
        <v>1231</v>
      </c>
      <c r="F325" s="24" t="s">
        <v>128</v>
      </c>
      <c r="G325" s="24" t="s">
        <v>1273</v>
      </c>
      <c r="H325" s="26">
        <v>18</v>
      </c>
      <c r="I325" s="26">
        <v>1412.15</v>
      </c>
      <c r="J325" s="26">
        <v>25418.7</v>
      </c>
    </row>
    <row r="326" spans="1:10">
      <c r="A326" s="25">
        <v>44938</v>
      </c>
      <c r="B326" s="24" t="s">
        <v>1265</v>
      </c>
      <c r="C326" s="24" t="s">
        <v>1246</v>
      </c>
      <c r="D326" s="24" t="s">
        <v>1230</v>
      </c>
      <c r="E326" s="24" t="s">
        <v>1229</v>
      </c>
      <c r="F326" s="24" t="s">
        <v>145</v>
      </c>
      <c r="G326" s="24" t="s">
        <v>1255</v>
      </c>
      <c r="H326" s="26">
        <v>6</v>
      </c>
      <c r="I326" s="26">
        <v>3295.29</v>
      </c>
      <c r="J326" s="26">
        <v>19771.740000000002</v>
      </c>
    </row>
    <row r="327" spans="1:10">
      <c r="A327" s="25">
        <v>45120</v>
      </c>
      <c r="B327" s="24" t="s">
        <v>1269</v>
      </c>
      <c r="C327" s="24" t="s">
        <v>1234</v>
      </c>
      <c r="D327" s="24" t="s">
        <v>1232</v>
      </c>
      <c r="E327" s="24" t="s">
        <v>1231</v>
      </c>
      <c r="F327" s="24" t="s">
        <v>145</v>
      </c>
      <c r="G327" s="24" t="s">
        <v>1274</v>
      </c>
      <c r="H327" s="26">
        <v>18</v>
      </c>
      <c r="I327" s="26">
        <v>4132.6899999999996</v>
      </c>
      <c r="J327" s="26">
        <v>74388.42</v>
      </c>
    </row>
    <row r="328" spans="1:10">
      <c r="A328" s="25">
        <v>45208</v>
      </c>
      <c r="B328" s="24" t="s">
        <v>1256</v>
      </c>
      <c r="C328" s="24" t="s">
        <v>1240</v>
      </c>
      <c r="D328" s="24" t="s">
        <v>1232</v>
      </c>
      <c r="E328" s="24" t="s">
        <v>1231</v>
      </c>
      <c r="F328" s="24" t="s">
        <v>120</v>
      </c>
      <c r="G328" s="24" t="s">
        <v>1275</v>
      </c>
      <c r="H328" s="26">
        <v>7</v>
      </c>
      <c r="I328" s="26">
        <v>1557.83</v>
      </c>
      <c r="J328" s="26">
        <v>10904.81</v>
      </c>
    </row>
    <row r="329" spans="1:10">
      <c r="A329" s="25">
        <v>45280</v>
      </c>
      <c r="B329" s="24" t="s">
        <v>1267</v>
      </c>
      <c r="C329" s="24" t="s">
        <v>1244</v>
      </c>
      <c r="D329" s="24" t="s">
        <v>1243</v>
      </c>
      <c r="E329" s="24" t="s">
        <v>1242</v>
      </c>
      <c r="F329" s="24" t="s">
        <v>145</v>
      </c>
      <c r="G329" s="24" t="s">
        <v>1261</v>
      </c>
      <c r="H329" s="26">
        <v>7</v>
      </c>
      <c r="I329" s="26">
        <v>4673.3100000000004</v>
      </c>
      <c r="J329" s="26">
        <v>32713.17</v>
      </c>
    </row>
    <row r="330" spans="1:10">
      <c r="A330" s="25">
        <v>45002</v>
      </c>
      <c r="B330" s="24" t="s">
        <v>1256</v>
      </c>
      <c r="C330" s="24" t="s">
        <v>1171</v>
      </c>
      <c r="D330" s="24" t="s">
        <v>1237</v>
      </c>
      <c r="E330" s="24" t="s">
        <v>1229</v>
      </c>
      <c r="F330" s="24" t="s">
        <v>1249</v>
      </c>
      <c r="G330" s="24" t="s">
        <v>1272</v>
      </c>
      <c r="H330" s="26">
        <v>5</v>
      </c>
      <c r="I330" s="26">
        <v>3775.72</v>
      </c>
      <c r="J330" s="26">
        <v>18878.599999999999</v>
      </c>
    </row>
    <row r="331" spans="1:10">
      <c r="A331" s="25">
        <v>45228</v>
      </c>
      <c r="B331" s="24" t="s">
        <v>1265</v>
      </c>
      <c r="C331" s="24" t="s">
        <v>1171</v>
      </c>
      <c r="D331" s="24" t="s">
        <v>1237</v>
      </c>
      <c r="E331" s="24" t="s">
        <v>1229</v>
      </c>
      <c r="F331" s="24" t="s">
        <v>132</v>
      </c>
      <c r="G331" s="24" t="s">
        <v>1271</v>
      </c>
      <c r="H331" s="26">
        <v>6</v>
      </c>
      <c r="I331" s="26">
        <v>3524.48</v>
      </c>
      <c r="J331" s="26">
        <v>21146.880000000001</v>
      </c>
    </row>
    <row r="332" spans="1:10">
      <c r="A332" s="25">
        <v>45243</v>
      </c>
      <c r="B332" s="24" t="s">
        <v>1258</v>
      </c>
      <c r="C332" s="24" t="s">
        <v>1169</v>
      </c>
      <c r="D332" s="24" t="s">
        <v>1230</v>
      </c>
      <c r="E332" s="24" t="s">
        <v>1229</v>
      </c>
      <c r="F332" s="24" t="s">
        <v>120</v>
      </c>
      <c r="G332" s="24" t="s">
        <v>1165</v>
      </c>
      <c r="H332" s="26">
        <v>1</v>
      </c>
      <c r="I332" s="26">
        <v>2961.1</v>
      </c>
      <c r="J332" s="26">
        <v>2961.1</v>
      </c>
    </row>
    <row r="333" spans="1:10">
      <c r="A333" s="25">
        <v>45017</v>
      </c>
      <c r="B333" s="24" t="s">
        <v>1256</v>
      </c>
      <c r="C333" s="24" t="s">
        <v>1241</v>
      </c>
      <c r="D333" s="24" t="s">
        <v>1235</v>
      </c>
      <c r="E333" s="24" t="s">
        <v>1231</v>
      </c>
      <c r="F333" s="24" t="s">
        <v>145</v>
      </c>
      <c r="G333" s="24" t="s">
        <v>1278</v>
      </c>
      <c r="H333" s="26">
        <v>13</v>
      </c>
      <c r="I333" s="26">
        <v>513.05999999999995</v>
      </c>
      <c r="J333" s="26">
        <v>6669.78</v>
      </c>
    </row>
    <row r="334" spans="1:10">
      <c r="A334" s="25">
        <v>45064</v>
      </c>
      <c r="B334" s="24" t="s">
        <v>1256</v>
      </c>
      <c r="C334" s="24" t="s">
        <v>1241</v>
      </c>
      <c r="D334" s="24" t="s">
        <v>1235</v>
      </c>
      <c r="E334" s="24" t="s">
        <v>1231</v>
      </c>
      <c r="F334" s="24" t="s">
        <v>132</v>
      </c>
      <c r="G334" s="24" t="s">
        <v>1277</v>
      </c>
      <c r="H334" s="26">
        <v>3</v>
      </c>
      <c r="I334" s="26">
        <v>953.26</v>
      </c>
      <c r="J334" s="26">
        <v>2859.78</v>
      </c>
    </row>
    <row r="335" spans="1:10">
      <c r="A335" s="25">
        <v>44971</v>
      </c>
      <c r="B335" s="24" t="s">
        <v>1252</v>
      </c>
      <c r="C335" s="24" t="s">
        <v>1247</v>
      </c>
      <c r="D335" s="24" t="s">
        <v>1243</v>
      </c>
      <c r="E335" s="24" t="s">
        <v>1242</v>
      </c>
      <c r="F335" s="24" t="s">
        <v>145</v>
      </c>
      <c r="G335" s="24" t="s">
        <v>1261</v>
      </c>
      <c r="H335" s="26">
        <v>2</v>
      </c>
      <c r="I335" s="26">
        <v>1189.6500000000001</v>
      </c>
      <c r="J335" s="26">
        <v>2379.3000000000002</v>
      </c>
    </row>
    <row r="336" spans="1:10">
      <c r="A336" s="25">
        <v>45108</v>
      </c>
      <c r="B336" s="24" t="s">
        <v>1267</v>
      </c>
      <c r="C336" s="24" t="s">
        <v>1241</v>
      </c>
      <c r="D336" s="24" t="s">
        <v>1235</v>
      </c>
      <c r="E336" s="24" t="s">
        <v>1231</v>
      </c>
      <c r="F336" s="24" t="s">
        <v>145</v>
      </c>
      <c r="G336" s="24" t="s">
        <v>1261</v>
      </c>
      <c r="H336" s="26">
        <v>1</v>
      </c>
      <c r="I336" s="26">
        <v>1915.3</v>
      </c>
      <c r="J336" s="26">
        <v>1915.3</v>
      </c>
    </row>
    <row r="337" spans="1:10">
      <c r="A337" s="25">
        <v>45178</v>
      </c>
      <c r="B337" s="24" t="s">
        <v>1265</v>
      </c>
      <c r="C337" s="24" t="s">
        <v>1233</v>
      </c>
      <c r="D337" s="24" t="s">
        <v>1232</v>
      </c>
      <c r="E337" s="24" t="s">
        <v>1231</v>
      </c>
      <c r="F337" s="24" t="s">
        <v>145</v>
      </c>
      <c r="G337" s="24" t="s">
        <v>1274</v>
      </c>
      <c r="H337" s="26">
        <v>8</v>
      </c>
      <c r="I337" s="26">
        <v>3927.74</v>
      </c>
      <c r="J337" s="26">
        <v>31421.919999999998</v>
      </c>
    </row>
    <row r="338" spans="1:10">
      <c r="A338" s="25">
        <v>45046</v>
      </c>
      <c r="B338" s="24" t="s">
        <v>1269</v>
      </c>
      <c r="C338" s="24" t="s">
        <v>1245</v>
      </c>
      <c r="D338" s="24" t="s">
        <v>1243</v>
      </c>
      <c r="E338" s="24" t="s">
        <v>1242</v>
      </c>
      <c r="F338" s="24" t="s">
        <v>128</v>
      </c>
      <c r="G338" s="24" t="s">
        <v>1273</v>
      </c>
      <c r="H338" s="26">
        <v>10</v>
      </c>
      <c r="I338" s="26">
        <v>2682.33</v>
      </c>
      <c r="J338" s="26">
        <v>26823.3</v>
      </c>
    </row>
    <row r="339" spans="1:10">
      <c r="A339" s="25">
        <v>45202</v>
      </c>
      <c r="B339" s="24" t="s">
        <v>1267</v>
      </c>
      <c r="C339" s="24" t="s">
        <v>1240</v>
      </c>
      <c r="D339" s="24" t="s">
        <v>1232</v>
      </c>
      <c r="E339" s="24" t="s">
        <v>1231</v>
      </c>
      <c r="F339" s="24" t="s">
        <v>120</v>
      </c>
      <c r="G339" s="24" t="s">
        <v>1275</v>
      </c>
      <c r="H339" s="26">
        <v>6</v>
      </c>
      <c r="I339" s="26">
        <v>4086.27</v>
      </c>
      <c r="J339" s="26">
        <v>24517.62</v>
      </c>
    </row>
    <row r="340" spans="1:10">
      <c r="A340" s="25">
        <v>45003</v>
      </c>
      <c r="B340" s="24" t="s">
        <v>1267</v>
      </c>
      <c r="C340" s="24" t="s">
        <v>1240</v>
      </c>
      <c r="D340" s="24" t="s">
        <v>1232</v>
      </c>
      <c r="E340" s="24" t="s">
        <v>1231</v>
      </c>
      <c r="F340" s="24" t="s">
        <v>120</v>
      </c>
      <c r="G340" s="24" t="s">
        <v>1164</v>
      </c>
      <c r="H340" s="26">
        <v>8</v>
      </c>
      <c r="I340" s="26">
        <v>827.02</v>
      </c>
      <c r="J340" s="26">
        <v>6616.16</v>
      </c>
    </row>
    <row r="341" spans="1:10">
      <c r="A341" s="25">
        <v>45051</v>
      </c>
      <c r="B341" s="24" t="s">
        <v>1269</v>
      </c>
      <c r="C341" s="24" t="s">
        <v>1247</v>
      </c>
      <c r="D341" s="24" t="s">
        <v>1243</v>
      </c>
      <c r="E341" s="24" t="s">
        <v>1242</v>
      </c>
      <c r="F341" s="24" t="s">
        <v>1249</v>
      </c>
      <c r="G341" s="24" t="s">
        <v>1268</v>
      </c>
      <c r="H341" s="26">
        <v>14</v>
      </c>
      <c r="I341" s="26">
        <v>4728.4399999999996</v>
      </c>
      <c r="J341" s="26">
        <v>66198.16</v>
      </c>
    </row>
    <row r="342" spans="1:10">
      <c r="A342" s="25">
        <v>44979</v>
      </c>
      <c r="B342" s="24" t="s">
        <v>1258</v>
      </c>
      <c r="C342" s="24" t="s">
        <v>1248</v>
      </c>
      <c r="D342" s="24" t="s">
        <v>1230</v>
      </c>
      <c r="E342" s="24" t="s">
        <v>1229</v>
      </c>
      <c r="F342" s="24" t="s">
        <v>132</v>
      </c>
      <c r="G342" s="24" t="s">
        <v>1271</v>
      </c>
      <c r="H342" s="26">
        <v>11</v>
      </c>
      <c r="I342" s="26">
        <v>575.73</v>
      </c>
      <c r="J342" s="26">
        <v>6333.03</v>
      </c>
    </row>
    <row r="343" spans="1:10">
      <c r="A343" s="25">
        <v>45093</v>
      </c>
      <c r="B343" s="24" t="s">
        <v>1256</v>
      </c>
      <c r="C343" s="24" t="s">
        <v>1173</v>
      </c>
      <c r="D343" s="24" t="s">
        <v>1237</v>
      </c>
      <c r="E343" s="24" t="s">
        <v>1229</v>
      </c>
      <c r="F343" s="24" t="s">
        <v>132</v>
      </c>
      <c r="G343" s="24" t="s">
        <v>1271</v>
      </c>
      <c r="H343" s="26">
        <v>4</v>
      </c>
      <c r="I343" s="26">
        <v>578.35</v>
      </c>
      <c r="J343" s="26">
        <v>2313.4</v>
      </c>
    </row>
    <row r="344" spans="1:10">
      <c r="A344" s="25">
        <v>45160</v>
      </c>
      <c r="B344" s="24" t="s">
        <v>1265</v>
      </c>
      <c r="C344" s="24" t="s">
        <v>1240</v>
      </c>
      <c r="D344" s="24" t="s">
        <v>1232</v>
      </c>
      <c r="E344" s="24" t="s">
        <v>1231</v>
      </c>
      <c r="F344" s="24" t="s">
        <v>145</v>
      </c>
      <c r="G344" s="24" t="s">
        <v>1255</v>
      </c>
      <c r="H344" s="26">
        <v>8</v>
      </c>
      <c r="I344" s="26">
        <v>3043.72</v>
      </c>
      <c r="J344" s="26">
        <v>24349.759999999998</v>
      </c>
    </row>
    <row r="345" spans="1:10">
      <c r="A345" s="25">
        <v>45071</v>
      </c>
      <c r="B345" s="24" t="s">
        <v>1260</v>
      </c>
      <c r="C345" s="24" t="s">
        <v>1236</v>
      </c>
      <c r="D345" s="24" t="s">
        <v>1235</v>
      </c>
      <c r="E345" s="24" t="s">
        <v>1231</v>
      </c>
      <c r="F345" s="24" t="s">
        <v>132</v>
      </c>
      <c r="G345" s="24" t="s">
        <v>1253</v>
      </c>
      <c r="H345" s="26">
        <v>10</v>
      </c>
      <c r="I345" s="26">
        <v>3339.72</v>
      </c>
      <c r="J345" s="26">
        <v>33397.199999999997</v>
      </c>
    </row>
    <row r="346" spans="1:10">
      <c r="A346" s="25">
        <v>45181</v>
      </c>
      <c r="B346" s="24" t="s">
        <v>1252</v>
      </c>
      <c r="C346" s="24" t="s">
        <v>1247</v>
      </c>
      <c r="D346" s="24" t="s">
        <v>1243</v>
      </c>
      <c r="E346" s="24" t="s">
        <v>1242</v>
      </c>
      <c r="F346" s="24" t="s">
        <v>132</v>
      </c>
      <c r="G346" s="24" t="s">
        <v>1253</v>
      </c>
      <c r="H346" s="26">
        <v>7</v>
      </c>
      <c r="I346" s="26">
        <v>2286.4</v>
      </c>
      <c r="J346" s="26">
        <v>16004.8</v>
      </c>
    </row>
    <row r="347" spans="1:10">
      <c r="A347" s="25">
        <v>44942</v>
      </c>
      <c r="B347" s="24" t="s">
        <v>1267</v>
      </c>
      <c r="C347" s="24" t="s">
        <v>1233</v>
      </c>
      <c r="D347" s="24" t="s">
        <v>1232</v>
      </c>
      <c r="E347" s="24" t="s">
        <v>1231</v>
      </c>
      <c r="F347" s="24" t="s">
        <v>145</v>
      </c>
      <c r="G347" s="24" t="s">
        <v>1274</v>
      </c>
      <c r="H347" s="26">
        <v>6</v>
      </c>
      <c r="I347" s="26">
        <v>4862.26</v>
      </c>
      <c r="J347" s="26">
        <v>29173.56</v>
      </c>
    </row>
    <row r="348" spans="1:10">
      <c r="A348" s="25">
        <v>45257</v>
      </c>
      <c r="B348" s="24" t="s">
        <v>1263</v>
      </c>
      <c r="C348" s="24" t="s">
        <v>1238</v>
      </c>
      <c r="D348" s="24" t="s">
        <v>1235</v>
      </c>
      <c r="E348" s="24" t="s">
        <v>1231</v>
      </c>
      <c r="F348" s="24" t="s">
        <v>120</v>
      </c>
      <c r="G348" s="24" t="s">
        <v>1165</v>
      </c>
      <c r="H348" s="26">
        <v>6</v>
      </c>
      <c r="I348" s="26">
        <v>3470.44</v>
      </c>
      <c r="J348" s="26">
        <v>20822.64</v>
      </c>
    </row>
    <row r="349" spans="1:10">
      <c r="A349" s="25">
        <v>45106</v>
      </c>
      <c r="B349" s="24" t="s">
        <v>1262</v>
      </c>
      <c r="C349" s="24" t="s">
        <v>1239</v>
      </c>
      <c r="D349" s="24" t="s">
        <v>1237</v>
      </c>
      <c r="E349" s="24" t="s">
        <v>1229</v>
      </c>
      <c r="F349" s="24" t="s">
        <v>128</v>
      </c>
      <c r="G349" s="24" t="s">
        <v>1264</v>
      </c>
      <c r="H349" s="26">
        <v>5</v>
      </c>
      <c r="I349" s="26">
        <v>4175.13</v>
      </c>
      <c r="J349" s="26">
        <v>20875.650000000001</v>
      </c>
    </row>
    <row r="350" spans="1:10">
      <c r="A350" s="25">
        <v>45204</v>
      </c>
      <c r="B350" s="24" t="s">
        <v>1265</v>
      </c>
      <c r="C350" s="24" t="s">
        <v>1241</v>
      </c>
      <c r="D350" s="24" t="s">
        <v>1235</v>
      </c>
      <c r="E350" s="24" t="s">
        <v>1231</v>
      </c>
      <c r="F350" s="24" t="s">
        <v>1249</v>
      </c>
      <c r="G350" s="24" t="s">
        <v>1268</v>
      </c>
      <c r="H350" s="26">
        <v>16</v>
      </c>
      <c r="I350" s="26">
        <v>1880.67</v>
      </c>
      <c r="J350" s="26">
        <v>30090.720000000001</v>
      </c>
    </row>
    <row r="351" spans="1:10">
      <c r="A351" s="25">
        <v>45149</v>
      </c>
      <c r="B351" s="24" t="s">
        <v>1263</v>
      </c>
      <c r="C351" s="24" t="s">
        <v>1245</v>
      </c>
      <c r="D351" s="24" t="s">
        <v>1243</v>
      </c>
      <c r="E351" s="24" t="s">
        <v>1242</v>
      </c>
      <c r="F351" s="24" t="s">
        <v>120</v>
      </c>
      <c r="G351" s="24" t="s">
        <v>1275</v>
      </c>
      <c r="H351" s="26">
        <v>7</v>
      </c>
      <c r="I351" s="26">
        <v>2187.71</v>
      </c>
      <c r="J351" s="26">
        <v>15313.97</v>
      </c>
    </row>
    <row r="352" spans="1:10">
      <c r="A352" s="25">
        <v>45190</v>
      </c>
      <c r="B352" s="24" t="s">
        <v>1256</v>
      </c>
      <c r="C352" s="24" t="s">
        <v>1238</v>
      </c>
      <c r="D352" s="24" t="s">
        <v>1235</v>
      </c>
      <c r="E352" s="24" t="s">
        <v>1231</v>
      </c>
      <c r="F352" s="24" t="s">
        <v>128</v>
      </c>
      <c r="G352" s="24" t="s">
        <v>1266</v>
      </c>
      <c r="H352" s="26">
        <v>14</v>
      </c>
      <c r="I352" s="26">
        <v>1024.22</v>
      </c>
      <c r="J352" s="26">
        <v>14339.08</v>
      </c>
    </row>
    <row r="353" spans="1:10">
      <c r="A353" s="25">
        <v>45260</v>
      </c>
      <c r="B353" s="24" t="s">
        <v>1267</v>
      </c>
      <c r="C353" s="24" t="s">
        <v>1240</v>
      </c>
      <c r="D353" s="24" t="s">
        <v>1232</v>
      </c>
      <c r="E353" s="24" t="s">
        <v>1231</v>
      </c>
      <c r="F353" s="24" t="s">
        <v>128</v>
      </c>
      <c r="G353" s="24" t="s">
        <v>1264</v>
      </c>
      <c r="H353" s="26">
        <v>17</v>
      </c>
      <c r="I353" s="26">
        <v>544.41999999999996</v>
      </c>
      <c r="J353" s="26">
        <v>9255.14</v>
      </c>
    </row>
    <row r="354" spans="1:10">
      <c r="A354" s="25">
        <v>45014</v>
      </c>
      <c r="B354" s="24" t="s">
        <v>1260</v>
      </c>
      <c r="C354" s="24" t="s">
        <v>1171</v>
      </c>
      <c r="D354" s="24" t="s">
        <v>1237</v>
      </c>
      <c r="E354" s="24" t="s">
        <v>1229</v>
      </c>
      <c r="F354" s="24" t="s">
        <v>145</v>
      </c>
      <c r="G354" s="24" t="s">
        <v>1274</v>
      </c>
      <c r="H354" s="26">
        <v>4</v>
      </c>
      <c r="I354" s="26">
        <v>942.96</v>
      </c>
      <c r="J354" s="26">
        <v>3771.84</v>
      </c>
    </row>
    <row r="355" spans="1:10">
      <c r="A355" s="25">
        <v>45270</v>
      </c>
      <c r="B355" s="24" t="s">
        <v>1267</v>
      </c>
      <c r="C355" s="24" t="s">
        <v>1233</v>
      </c>
      <c r="D355" s="24" t="s">
        <v>1232</v>
      </c>
      <c r="E355" s="24" t="s">
        <v>1231</v>
      </c>
      <c r="F355" s="24" t="s">
        <v>132</v>
      </c>
      <c r="G355" s="24" t="s">
        <v>1279</v>
      </c>
      <c r="H355" s="26">
        <v>12</v>
      </c>
      <c r="I355" s="26">
        <v>1799.38</v>
      </c>
      <c r="J355" s="26">
        <v>21592.560000000001</v>
      </c>
    </row>
    <row r="356" spans="1:10">
      <c r="A356" s="25">
        <v>44972</v>
      </c>
      <c r="B356" s="24" t="s">
        <v>1258</v>
      </c>
      <c r="C356" s="24" t="s">
        <v>1233</v>
      </c>
      <c r="D356" s="24" t="s">
        <v>1232</v>
      </c>
      <c r="E356" s="24" t="s">
        <v>1231</v>
      </c>
      <c r="F356" s="24" t="s">
        <v>128</v>
      </c>
      <c r="G356" s="24" t="s">
        <v>1266</v>
      </c>
      <c r="H356" s="26">
        <v>11</v>
      </c>
      <c r="I356" s="26">
        <v>1634.39</v>
      </c>
      <c r="J356" s="26">
        <v>17978.29</v>
      </c>
    </row>
    <row r="357" spans="1:10">
      <c r="A357" s="25">
        <v>45207</v>
      </c>
      <c r="B357" s="24" t="s">
        <v>1269</v>
      </c>
      <c r="C357" s="24" t="s">
        <v>1171</v>
      </c>
      <c r="D357" s="24" t="s">
        <v>1237</v>
      </c>
      <c r="E357" s="24" t="s">
        <v>1229</v>
      </c>
      <c r="F357" s="24" t="s">
        <v>132</v>
      </c>
      <c r="G357" s="24" t="s">
        <v>1277</v>
      </c>
      <c r="H357" s="26">
        <v>3</v>
      </c>
      <c r="I357" s="26">
        <v>2950.28</v>
      </c>
      <c r="J357" s="26">
        <v>8850.84</v>
      </c>
    </row>
    <row r="358" spans="1:10">
      <c r="A358" s="25">
        <v>45196</v>
      </c>
      <c r="B358" s="24" t="s">
        <v>1258</v>
      </c>
      <c r="C358" s="24" t="s">
        <v>1173</v>
      </c>
      <c r="D358" s="24" t="s">
        <v>1237</v>
      </c>
      <c r="E358" s="24" t="s">
        <v>1229</v>
      </c>
      <c r="F358" s="24" t="s">
        <v>1249</v>
      </c>
      <c r="G358" s="24" t="s">
        <v>1272</v>
      </c>
      <c r="H358" s="26">
        <v>10</v>
      </c>
      <c r="I358" s="26">
        <v>4788</v>
      </c>
      <c r="J358" s="26">
        <v>47880</v>
      </c>
    </row>
    <row r="359" spans="1:10">
      <c r="A359" s="25">
        <v>45014</v>
      </c>
      <c r="B359" s="24" t="s">
        <v>1254</v>
      </c>
      <c r="C359" s="24" t="s">
        <v>1234</v>
      </c>
      <c r="D359" s="24" t="s">
        <v>1232</v>
      </c>
      <c r="E359" s="24" t="s">
        <v>1231</v>
      </c>
      <c r="F359" s="24" t="s">
        <v>132</v>
      </c>
      <c r="G359" s="24" t="s">
        <v>1271</v>
      </c>
      <c r="H359" s="26">
        <v>8</v>
      </c>
      <c r="I359" s="26">
        <v>1807.67</v>
      </c>
      <c r="J359" s="26">
        <v>14461.36</v>
      </c>
    </row>
    <row r="360" spans="1:10">
      <c r="A360" s="25">
        <v>45201</v>
      </c>
      <c r="B360" s="24" t="s">
        <v>1262</v>
      </c>
      <c r="C360" s="24" t="s">
        <v>1241</v>
      </c>
      <c r="D360" s="24" t="s">
        <v>1235</v>
      </c>
      <c r="E360" s="24" t="s">
        <v>1231</v>
      </c>
      <c r="F360" s="24" t="s">
        <v>1249</v>
      </c>
      <c r="G360" s="24" t="s">
        <v>1272</v>
      </c>
      <c r="H360" s="26">
        <v>19</v>
      </c>
      <c r="I360" s="26">
        <v>797.02</v>
      </c>
      <c r="J360" s="26">
        <v>15143.38</v>
      </c>
    </row>
    <row r="361" spans="1:10">
      <c r="A361" s="25">
        <v>45255</v>
      </c>
      <c r="B361" s="24" t="s">
        <v>1254</v>
      </c>
      <c r="C361" s="24" t="s">
        <v>1234</v>
      </c>
      <c r="D361" s="24" t="s">
        <v>1232</v>
      </c>
      <c r="E361" s="24" t="s">
        <v>1231</v>
      </c>
      <c r="F361" s="24" t="s">
        <v>120</v>
      </c>
      <c r="G361" s="24" t="s">
        <v>1275</v>
      </c>
      <c r="H361" s="26">
        <v>2</v>
      </c>
      <c r="I361" s="26">
        <v>1195.99</v>
      </c>
      <c r="J361" s="26">
        <v>2391.98</v>
      </c>
    </row>
    <row r="362" spans="1:10">
      <c r="A362" s="25">
        <v>45052</v>
      </c>
      <c r="B362" s="24" t="s">
        <v>1265</v>
      </c>
      <c r="C362" s="24" t="s">
        <v>1169</v>
      </c>
      <c r="D362" s="24" t="s">
        <v>1230</v>
      </c>
      <c r="E362" s="24" t="s">
        <v>1229</v>
      </c>
      <c r="F362" s="24" t="s">
        <v>128</v>
      </c>
      <c r="G362" s="24" t="s">
        <v>1273</v>
      </c>
      <c r="H362" s="26">
        <v>20</v>
      </c>
      <c r="I362" s="26">
        <v>2056.65</v>
      </c>
      <c r="J362" s="26">
        <v>41133</v>
      </c>
    </row>
    <row r="363" spans="1:10">
      <c r="A363" s="25">
        <v>44989</v>
      </c>
      <c r="B363" s="24" t="s">
        <v>1265</v>
      </c>
      <c r="C363" s="24" t="s">
        <v>1233</v>
      </c>
      <c r="D363" s="24" t="s">
        <v>1232</v>
      </c>
      <c r="E363" s="24" t="s">
        <v>1231</v>
      </c>
      <c r="F363" s="24" t="s">
        <v>132</v>
      </c>
      <c r="G363" s="24" t="s">
        <v>1279</v>
      </c>
      <c r="H363" s="26">
        <v>16</v>
      </c>
      <c r="I363" s="26">
        <v>4817.63</v>
      </c>
      <c r="J363" s="26">
        <v>77082.080000000002</v>
      </c>
    </row>
    <row r="364" spans="1:10">
      <c r="A364" s="25">
        <v>45090</v>
      </c>
      <c r="B364" s="24" t="s">
        <v>1254</v>
      </c>
      <c r="C364" s="24" t="s">
        <v>1236</v>
      </c>
      <c r="D364" s="24" t="s">
        <v>1235</v>
      </c>
      <c r="E364" s="24" t="s">
        <v>1231</v>
      </c>
      <c r="F364" s="24" t="s">
        <v>128</v>
      </c>
      <c r="G364" s="24" t="s">
        <v>1266</v>
      </c>
      <c r="H364" s="26">
        <v>7</v>
      </c>
      <c r="I364" s="26">
        <v>4950.24</v>
      </c>
      <c r="J364" s="26">
        <v>34651.68</v>
      </c>
    </row>
    <row r="365" spans="1:10">
      <c r="A365" s="25">
        <v>45163</v>
      </c>
      <c r="B365" s="24" t="s">
        <v>1265</v>
      </c>
      <c r="C365" s="24" t="s">
        <v>1171</v>
      </c>
      <c r="D365" s="24" t="s">
        <v>1237</v>
      </c>
      <c r="E365" s="24" t="s">
        <v>1229</v>
      </c>
      <c r="F365" s="24" t="s">
        <v>128</v>
      </c>
      <c r="G365" s="24" t="s">
        <v>1266</v>
      </c>
      <c r="H365" s="26">
        <v>9</v>
      </c>
      <c r="I365" s="26">
        <v>2935.97</v>
      </c>
      <c r="J365" s="26">
        <v>26423.73</v>
      </c>
    </row>
    <row r="366" spans="1:10">
      <c r="A366" s="25">
        <v>45269</v>
      </c>
      <c r="B366" s="24" t="s">
        <v>1269</v>
      </c>
      <c r="C366" s="24" t="s">
        <v>1246</v>
      </c>
      <c r="D366" s="24" t="s">
        <v>1230</v>
      </c>
      <c r="E366" s="24" t="s">
        <v>1229</v>
      </c>
      <c r="F366" s="24" t="s">
        <v>1249</v>
      </c>
      <c r="G366" s="24" t="s">
        <v>1259</v>
      </c>
      <c r="H366" s="26">
        <v>9</v>
      </c>
      <c r="I366" s="26">
        <v>3560.8</v>
      </c>
      <c r="J366" s="26">
        <v>32047.200000000001</v>
      </c>
    </row>
    <row r="367" spans="1:10">
      <c r="A367" s="25">
        <v>44993</v>
      </c>
      <c r="B367" s="24" t="s">
        <v>1269</v>
      </c>
      <c r="C367" s="24" t="s">
        <v>1169</v>
      </c>
      <c r="D367" s="24" t="s">
        <v>1230</v>
      </c>
      <c r="E367" s="24" t="s">
        <v>1229</v>
      </c>
      <c r="F367" s="24" t="s">
        <v>145</v>
      </c>
      <c r="G367" s="24" t="s">
        <v>1278</v>
      </c>
      <c r="H367" s="26">
        <v>11</v>
      </c>
      <c r="I367" s="26">
        <v>4890.92</v>
      </c>
      <c r="J367" s="26">
        <v>53800.12</v>
      </c>
    </row>
    <row r="368" spans="1:10">
      <c r="A368" s="25">
        <v>44977</v>
      </c>
      <c r="B368" s="24" t="s">
        <v>1260</v>
      </c>
      <c r="C368" s="24" t="s">
        <v>1236</v>
      </c>
      <c r="D368" s="24" t="s">
        <v>1235</v>
      </c>
      <c r="E368" s="24" t="s">
        <v>1231</v>
      </c>
      <c r="F368" s="24" t="s">
        <v>128</v>
      </c>
      <c r="G368" s="24" t="s">
        <v>1257</v>
      </c>
      <c r="H368" s="26">
        <v>8</v>
      </c>
      <c r="I368" s="26">
        <v>4143.5600000000004</v>
      </c>
      <c r="J368" s="26">
        <v>33148.480000000003</v>
      </c>
    </row>
    <row r="369" spans="1:10">
      <c r="A369" s="25">
        <v>45032</v>
      </c>
      <c r="B369" s="24" t="s">
        <v>1267</v>
      </c>
      <c r="C369" s="24" t="s">
        <v>1233</v>
      </c>
      <c r="D369" s="24" t="s">
        <v>1232</v>
      </c>
      <c r="E369" s="24" t="s">
        <v>1231</v>
      </c>
      <c r="F369" s="24" t="s">
        <v>1249</v>
      </c>
      <c r="G369" s="24" t="s">
        <v>1272</v>
      </c>
      <c r="H369" s="26">
        <v>4</v>
      </c>
      <c r="I369" s="26">
        <v>2395.66</v>
      </c>
      <c r="J369" s="26">
        <v>9582.64</v>
      </c>
    </row>
    <row r="370" spans="1:10">
      <c r="A370" s="25">
        <v>45147</v>
      </c>
      <c r="B370" s="24" t="s">
        <v>1260</v>
      </c>
      <c r="C370" s="24" t="s">
        <v>1246</v>
      </c>
      <c r="D370" s="24" t="s">
        <v>1230</v>
      </c>
      <c r="E370" s="24" t="s">
        <v>1229</v>
      </c>
      <c r="F370" s="24" t="s">
        <v>128</v>
      </c>
      <c r="G370" s="24" t="s">
        <v>1264</v>
      </c>
      <c r="H370" s="26">
        <v>18</v>
      </c>
      <c r="I370" s="26">
        <v>1582.02</v>
      </c>
      <c r="J370" s="26">
        <v>28476.36</v>
      </c>
    </row>
    <row r="371" spans="1:10">
      <c r="A371" s="25">
        <v>45164</v>
      </c>
      <c r="B371" s="24" t="s">
        <v>1252</v>
      </c>
      <c r="C371" s="24" t="s">
        <v>1169</v>
      </c>
      <c r="D371" s="24" t="s">
        <v>1230</v>
      </c>
      <c r="E371" s="24" t="s">
        <v>1229</v>
      </c>
      <c r="F371" s="24" t="s">
        <v>128</v>
      </c>
      <c r="G371" s="24" t="s">
        <v>1266</v>
      </c>
      <c r="H371" s="26">
        <v>14</v>
      </c>
      <c r="I371" s="26">
        <v>3381.77</v>
      </c>
      <c r="J371" s="26">
        <v>47344.78</v>
      </c>
    </row>
    <row r="372" spans="1:10">
      <c r="A372" s="25">
        <v>45036</v>
      </c>
      <c r="B372" s="24" t="s">
        <v>1269</v>
      </c>
      <c r="C372" s="24" t="s">
        <v>1241</v>
      </c>
      <c r="D372" s="24" t="s">
        <v>1235</v>
      </c>
      <c r="E372" s="24" t="s">
        <v>1231</v>
      </c>
      <c r="F372" s="24" t="s">
        <v>145</v>
      </c>
      <c r="G372" s="24" t="s">
        <v>1261</v>
      </c>
      <c r="H372" s="26">
        <v>16</v>
      </c>
      <c r="I372" s="26">
        <v>2580.42</v>
      </c>
      <c r="J372" s="26">
        <v>41286.720000000001</v>
      </c>
    </row>
    <row r="373" spans="1:10">
      <c r="A373" s="25">
        <v>45106</v>
      </c>
      <c r="B373" s="24" t="s">
        <v>1263</v>
      </c>
      <c r="C373" s="24" t="s">
        <v>1246</v>
      </c>
      <c r="D373" s="24" t="s">
        <v>1230</v>
      </c>
      <c r="E373" s="24" t="s">
        <v>1229</v>
      </c>
      <c r="F373" s="24" t="s">
        <v>128</v>
      </c>
      <c r="G373" s="24" t="s">
        <v>1266</v>
      </c>
      <c r="H373" s="26">
        <v>3</v>
      </c>
      <c r="I373" s="26">
        <v>3838.25</v>
      </c>
      <c r="J373" s="26">
        <v>11514.75</v>
      </c>
    </row>
    <row r="374" spans="1:10">
      <c r="A374" s="25">
        <v>45077</v>
      </c>
      <c r="B374" s="24" t="s">
        <v>1263</v>
      </c>
      <c r="C374" s="24" t="s">
        <v>1233</v>
      </c>
      <c r="D374" s="24" t="s">
        <v>1232</v>
      </c>
      <c r="E374" s="24" t="s">
        <v>1231</v>
      </c>
      <c r="F374" s="24" t="s">
        <v>1249</v>
      </c>
      <c r="G374" s="24" t="s">
        <v>1268</v>
      </c>
      <c r="H374" s="26">
        <v>2</v>
      </c>
      <c r="I374" s="26">
        <v>591.6</v>
      </c>
      <c r="J374" s="26">
        <v>1183.2</v>
      </c>
    </row>
    <row r="375" spans="1:10">
      <c r="A375" s="25">
        <v>45100</v>
      </c>
      <c r="B375" s="24" t="s">
        <v>1256</v>
      </c>
      <c r="C375" s="24" t="s">
        <v>1245</v>
      </c>
      <c r="D375" s="24" t="s">
        <v>1243</v>
      </c>
      <c r="E375" s="24" t="s">
        <v>1242</v>
      </c>
      <c r="F375" s="24" t="s">
        <v>128</v>
      </c>
      <c r="G375" s="24" t="s">
        <v>1266</v>
      </c>
      <c r="H375" s="26">
        <v>1</v>
      </c>
      <c r="I375" s="26">
        <v>2709.05</v>
      </c>
      <c r="J375" s="26">
        <v>2709.05</v>
      </c>
    </row>
    <row r="376" spans="1:10">
      <c r="A376" s="25">
        <v>45147</v>
      </c>
      <c r="B376" s="24" t="s">
        <v>1258</v>
      </c>
      <c r="C376" s="24" t="s">
        <v>1241</v>
      </c>
      <c r="D376" s="24" t="s">
        <v>1235</v>
      </c>
      <c r="E376" s="24" t="s">
        <v>1231</v>
      </c>
      <c r="F376" s="24" t="s">
        <v>120</v>
      </c>
      <c r="G376" s="24" t="s">
        <v>1275</v>
      </c>
      <c r="H376" s="26">
        <v>5</v>
      </c>
      <c r="I376" s="26">
        <v>194.7</v>
      </c>
      <c r="J376" s="26">
        <v>973.5</v>
      </c>
    </row>
    <row r="377" spans="1:10">
      <c r="A377" s="25">
        <v>45225</v>
      </c>
      <c r="B377" s="24" t="s">
        <v>1256</v>
      </c>
      <c r="C377" s="24" t="s">
        <v>1169</v>
      </c>
      <c r="D377" s="24" t="s">
        <v>1230</v>
      </c>
      <c r="E377" s="24" t="s">
        <v>1229</v>
      </c>
      <c r="F377" s="24" t="s">
        <v>145</v>
      </c>
      <c r="G377" s="24" t="s">
        <v>1261</v>
      </c>
      <c r="H377" s="26">
        <v>4</v>
      </c>
      <c r="I377" s="26">
        <v>900.33</v>
      </c>
      <c r="J377" s="26">
        <v>3601.32</v>
      </c>
    </row>
    <row r="378" spans="1:10">
      <c r="A378" s="25">
        <v>45061</v>
      </c>
      <c r="B378" s="24" t="s">
        <v>1260</v>
      </c>
      <c r="C378" s="24" t="s">
        <v>1240</v>
      </c>
      <c r="D378" s="24" t="s">
        <v>1232</v>
      </c>
      <c r="E378" s="24" t="s">
        <v>1231</v>
      </c>
      <c r="F378" s="24" t="s">
        <v>1249</v>
      </c>
      <c r="G378" s="24" t="s">
        <v>1259</v>
      </c>
      <c r="H378" s="26">
        <v>13</v>
      </c>
      <c r="I378" s="26">
        <v>3574.45</v>
      </c>
      <c r="J378" s="26">
        <v>46467.85</v>
      </c>
    </row>
    <row r="379" spans="1:10">
      <c r="A379" s="25">
        <v>44998</v>
      </c>
      <c r="B379" s="24" t="s">
        <v>1254</v>
      </c>
      <c r="C379" s="24" t="s">
        <v>1244</v>
      </c>
      <c r="D379" s="24" t="s">
        <v>1243</v>
      </c>
      <c r="E379" s="24" t="s">
        <v>1242</v>
      </c>
      <c r="F379" s="24" t="s">
        <v>120</v>
      </c>
      <c r="G379" s="24" t="s">
        <v>1164</v>
      </c>
      <c r="H379" s="26">
        <v>20</v>
      </c>
      <c r="I379" s="26">
        <v>1637.44</v>
      </c>
      <c r="J379" s="26">
        <v>32748.799999999999</v>
      </c>
    </row>
    <row r="380" spans="1:10">
      <c r="A380" s="25">
        <v>45060</v>
      </c>
      <c r="B380" s="24" t="s">
        <v>1256</v>
      </c>
      <c r="C380" s="24" t="s">
        <v>1238</v>
      </c>
      <c r="D380" s="24" t="s">
        <v>1235</v>
      </c>
      <c r="E380" s="24" t="s">
        <v>1231</v>
      </c>
      <c r="F380" s="24" t="s">
        <v>132</v>
      </c>
      <c r="G380" s="24" t="s">
        <v>1277</v>
      </c>
      <c r="H380" s="26">
        <v>14</v>
      </c>
      <c r="I380" s="26">
        <v>3177.8</v>
      </c>
      <c r="J380" s="26">
        <v>44489.2</v>
      </c>
    </row>
    <row r="381" spans="1:10">
      <c r="A381" s="25">
        <v>45070</v>
      </c>
      <c r="B381" s="24" t="s">
        <v>1262</v>
      </c>
      <c r="C381" s="24" t="s">
        <v>1236</v>
      </c>
      <c r="D381" s="24" t="s">
        <v>1235</v>
      </c>
      <c r="E381" s="24" t="s">
        <v>1231</v>
      </c>
      <c r="F381" s="24" t="s">
        <v>120</v>
      </c>
      <c r="G381" s="24" t="s">
        <v>1165</v>
      </c>
      <c r="H381" s="26">
        <v>1</v>
      </c>
      <c r="I381" s="26">
        <v>3382.37</v>
      </c>
      <c r="J381" s="26">
        <v>3382.37</v>
      </c>
    </row>
    <row r="382" spans="1:10">
      <c r="A382" s="25">
        <v>45043</v>
      </c>
      <c r="B382" s="24" t="s">
        <v>1252</v>
      </c>
      <c r="C382" s="24" t="s">
        <v>1244</v>
      </c>
      <c r="D382" s="24" t="s">
        <v>1243</v>
      </c>
      <c r="E382" s="24" t="s">
        <v>1242</v>
      </c>
      <c r="F382" s="24" t="s">
        <v>145</v>
      </c>
      <c r="G382" s="24" t="s">
        <v>1278</v>
      </c>
      <c r="H382" s="26">
        <v>19</v>
      </c>
      <c r="I382" s="26">
        <v>2816.52</v>
      </c>
      <c r="J382" s="26">
        <v>53513.88</v>
      </c>
    </row>
    <row r="383" spans="1:10">
      <c r="A383" s="25">
        <v>45258</v>
      </c>
      <c r="B383" s="24" t="s">
        <v>1252</v>
      </c>
      <c r="C383" s="24" t="s">
        <v>1245</v>
      </c>
      <c r="D383" s="24" t="s">
        <v>1243</v>
      </c>
      <c r="E383" s="24" t="s">
        <v>1242</v>
      </c>
      <c r="F383" s="24" t="s">
        <v>1249</v>
      </c>
      <c r="G383" s="24" t="s">
        <v>1270</v>
      </c>
      <c r="H383" s="26">
        <v>13</v>
      </c>
      <c r="I383" s="26">
        <v>3417.94</v>
      </c>
      <c r="J383" s="26">
        <v>44433.22</v>
      </c>
    </row>
    <row r="384" spans="1:10">
      <c r="A384" s="25">
        <v>45283</v>
      </c>
      <c r="B384" s="24" t="s">
        <v>1252</v>
      </c>
      <c r="C384" s="24" t="s">
        <v>1236</v>
      </c>
      <c r="D384" s="24" t="s">
        <v>1235</v>
      </c>
      <c r="E384" s="24" t="s">
        <v>1231</v>
      </c>
      <c r="F384" s="24" t="s">
        <v>128</v>
      </c>
      <c r="G384" s="24" t="s">
        <v>1273</v>
      </c>
      <c r="H384" s="26">
        <v>14</v>
      </c>
      <c r="I384" s="26">
        <v>917.55</v>
      </c>
      <c r="J384" s="26">
        <v>12845.7</v>
      </c>
    </row>
    <row r="385" spans="1:10">
      <c r="A385" s="25">
        <v>44997</v>
      </c>
      <c r="B385" s="24" t="s">
        <v>1263</v>
      </c>
      <c r="C385" s="24" t="s">
        <v>1239</v>
      </c>
      <c r="D385" s="24" t="s">
        <v>1237</v>
      </c>
      <c r="E385" s="24" t="s">
        <v>1229</v>
      </c>
      <c r="F385" s="24" t="s">
        <v>120</v>
      </c>
      <c r="G385" s="24" t="s">
        <v>1164</v>
      </c>
      <c r="H385" s="26">
        <v>1</v>
      </c>
      <c r="I385" s="26">
        <v>1598.87</v>
      </c>
      <c r="J385" s="26">
        <v>1598.87</v>
      </c>
    </row>
    <row r="386" spans="1:10">
      <c r="A386" s="25">
        <v>45200</v>
      </c>
      <c r="B386" s="24" t="s">
        <v>1263</v>
      </c>
      <c r="C386" s="24" t="s">
        <v>1244</v>
      </c>
      <c r="D386" s="24" t="s">
        <v>1243</v>
      </c>
      <c r="E386" s="24" t="s">
        <v>1242</v>
      </c>
      <c r="F386" s="24" t="s">
        <v>132</v>
      </c>
      <c r="G386" s="24" t="s">
        <v>1253</v>
      </c>
      <c r="H386" s="26">
        <v>7</v>
      </c>
      <c r="I386" s="26">
        <v>405.27</v>
      </c>
      <c r="J386" s="26">
        <v>2836.89</v>
      </c>
    </row>
    <row r="387" spans="1:10">
      <c r="A387" s="25">
        <v>45211</v>
      </c>
      <c r="B387" s="24" t="s">
        <v>1263</v>
      </c>
      <c r="C387" s="24" t="s">
        <v>1171</v>
      </c>
      <c r="D387" s="24" t="s">
        <v>1237</v>
      </c>
      <c r="E387" s="24" t="s">
        <v>1229</v>
      </c>
      <c r="F387" s="24" t="s">
        <v>1249</v>
      </c>
      <c r="G387" s="24" t="s">
        <v>1268</v>
      </c>
      <c r="H387" s="26">
        <v>5</v>
      </c>
      <c r="I387" s="26">
        <v>2819.92</v>
      </c>
      <c r="J387" s="26">
        <v>14099.6</v>
      </c>
    </row>
    <row r="388" spans="1:10">
      <c r="A388" s="25">
        <v>45281</v>
      </c>
      <c r="B388" s="24" t="s">
        <v>1256</v>
      </c>
      <c r="C388" s="24" t="s">
        <v>1236</v>
      </c>
      <c r="D388" s="24" t="s">
        <v>1235</v>
      </c>
      <c r="E388" s="24" t="s">
        <v>1231</v>
      </c>
      <c r="F388" s="24" t="s">
        <v>120</v>
      </c>
      <c r="G388" s="24" t="s">
        <v>1164</v>
      </c>
      <c r="H388" s="26">
        <v>7</v>
      </c>
      <c r="I388" s="26">
        <v>4023.6</v>
      </c>
      <c r="J388" s="26">
        <v>28165.200000000001</v>
      </c>
    </row>
    <row r="389" spans="1:10">
      <c r="A389" s="25">
        <v>45190</v>
      </c>
      <c r="B389" s="24" t="s">
        <v>1258</v>
      </c>
      <c r="C389" s="24" t="s">
        <v>1233</v>
      </c>
      <c r="D389" s="24" t="s">
        <v>1232</v>
      </c>
      <c r="E389" s="24" t="s">
        <v>1231</v>
      </c>
      <c r="F389" s="24" t="s">
        <v>1249</v>
      </c>
      <c r="G389" s="24" t="s">
        <v>1268</v>
      </c>
      <c r="H389" s="26">
        <v>6</v>
      </c>
      <c r="I389" s="26">
        <v>4911.79</v>
      </c>
      <c r="J389" s="26">
        <v>29470.74</v>
      </c>
    </row>
    <row r="390" spans="1:10">
      <c r="A390" s="25">
        <v>45240</v>
      </c>
      <c r="B390" s="24" t="s">
        <v>1262</v>
      </c>
      <c r="C390" s="24" t="s">
        <v>1238</v>
      </c>
      <c r="D390" s="24" t="s">
        <v>1235</v>
      </c>
      <c r="E390" s="24" t="s">
        <v>1231</v>
      </c>
      <c r="F390" s="24" t="s">
        <v>132</v>
      </c>
      <c r="G390" s="24" t="s">
        <v>1271</v>
      </c>
      <c r="H390" s="26">
        <v>7</v>
      </c>
      <c r="I390" s="26">
        <v>2186.75</v>
      </c>
      <c r="J390" s="26">
        <v>15307.25</v>
      </c>
    </row>
    <row r="391" spans="1:10">
      <c r="A391" s="25">
        <v>45228</v>
      </c>
      <c r="B391" s="24" t="s">
        <v>1269</v>
      </c>
      <c r="C391" s="24" t="s">
        <v>1244</v>
      </c>
      <c r="D391" s="24" t="s">
        <v>1243</v>
      </c>
      <c r="E391" s="24" t="s">
        <v>1242</v>
      </c>
      <c r="F391" s="24" t="s">
        <v>145</v>
      </c>
      <c r="G391" s="24" t="s">
        <v>1255</v>
      </c>
      <c r="H391" s="26">
        <v>9</v>
      </c>
      <c r="I391" s="26">
        <v>2304.23</v>
      </c>
      <c r="J391" s="26">
        <v>20738.07</v>
      </c>
    </row>
    <row r="392" spans="1:10">
      <c r="A392" s="25">
        <v>45050</v>
      </c>
      <c r="B392" s="24" t="s">
        <v>1262</v>
      </c>
      <c r="C392" s="24" t="s">
        <v>1171</v>
      </c>
      <c r="D392" s="24" t="s">
        <v>1237</v>
      </c>
      <c r="E392" s="24" t="s">
        <v>1229</v>
      </c>
      <c r="F392" s="24" t="s">
        <v>120</v>
      </c>
      <c r="G392" s="24" t="s">
        <v>1165</v>
      </c>
      <c r="H392" s="26">
        <v>6</v>
      </c>
      <c r="I392" s="26">
        <v>2282.5500000000002</v>
      </c>
      <c r="J392" s="26">
        <v>13695.3</v>
      </c>
    </row>
    <row r="393" spans="1:10">
      <c r="A393" s="25">
        <v>45225</v>
      </c>
      <c r="B393" s="24" t="s">
        <v>1258</v>
      </c>
      <c r="C393" s="24" t="s">
        <v>1248</v>
      </c>
      <c r="D393" s="24" t="s">
        <v>1230</v>
      </c>
      <c r="E393" s="24" t="s">
        <v>1229</v>
      </c>
      <c r="F393" s="24" t="s">
        <v>120</v>
      </c>
      <c r="G393" s="24" t="s">
        <v>1275</v>
      </c>
      <c r="H393" s="26">
        <v>4</v>
      </c>
      <c r="I393" s="26">
        <v>4778.2299999999996</v>
      </c>
      <c r="J393" s="26">
        <v>19112.919999999998</v>
      </c>
    </row>
    <row r="394" spans="1:10">
      <c r="A394" s="25">
        <v>45047</v>
      </c>
      <c r="B394" s="24" t="s">
        <v>1263</v>
      </c>
      <c r="C394" s="24" t="s">
        <v>1234</v>
      </c>
      <c r="D394" s="24" t="s">
        <v>1232</v>
      </c>
      <c r="E394" s="24" t="s">
        <v>1231</v>
      </c>
      <c r="F394" s="24" t="s">
        <v>128</v>
      </c>
      <c r="G394" s="24" t="s">
        <v>1266</v>
      </c>
      <c r="H394" s="26">
        <v>11</v>
      </c>
      <c r="I394" s="26">
        <v>1286.08</v>
      </c>
      <c r="J394" s="26">
        <v>14146.88</v>
      </c>
    </row>
    <row r="395" spans="1:10">
      <c r="A395" s="25">
        <v>45215</v>
      </c>
      <c r="B395" s="24" t="s">
        <v>1265</v>
      </c>
      <c r="C395" s="24" t="s">
        <v>1173</v>
      </c>
      <c r="D395" s="24" t="s">
        <v>1237</v>
      </c>
      <c r="E395" s="24" t="s">
        <v>1229</v>
      </c>
      <c r="F395" s="24" t="s">
        <v>120</v>
      </c>
      <c r="G395" s="24" t="s">
        <v>1276</v>
      </c>
      <c r="H395" s="26">
        <v>19</v>
      </c>
      <c r="I395" s="26">
        <v>1844.31</v>
      </c>
      <c r="J395" s="26">
        <v>35041.89</v>
      </c>
    </row>
    <row r="396" spans="1:10">
      <c r="A396" s="25">
        <v>45262</v>
      </c>
      <c r="B396" s="24" t="s">
        <v>1265</v>
      </c>
      <c r="C396" s="24" t="s">
        <v>1248</v>
      </c>
      <c r="D396" s="24" t="s">
        <v>1230</v>
      </c>
      <c r="E396" s="24" t="s">
        <v>1229</v>
      </c>
      <c r="F396" s="24" t="s">
        <v>128</v>
      </c>
      <c r="G396" s="24" t="s">
        <v>1257</v>
      </c>
      <c r="H396" s="26">
        <v>14</v>
      </c>
      <c r="I396" s="26">
        <v>148.43</v>
      </c>
      <c r="J396" s="26">
        <v>2078.02</v>
      </c>
    </row>
    <row r="397" spans="1:10">
      <c r="A397" s="25">
        <v>44965</v>
      </c>
      <c r="B397" s="24" t="s">
        <v>1265</v>
      </c>
      <c r="C397" s="24" t="s">
        <v>1246</v>
      </c>
      <c r="D397" s="24" t="s">
        <v>1230</v>
      </c>
      <c r="E397" s="24" t="s">
        <v>1229</v>
      </c>
      <c r="F397" s="24" t="s">
        <v>145</v>
      </c>
      <c r="G397" s="24" t="s">
        <v>1261</v>
      </c>
      <c r="H397" s="26">
        <v>3</v>
      </c>
      <c r="I397" s="26">
        <v>2502.81</v>
      </c>
      <c r="J397" s="26">
        <v>7508.43</v>
      </c>
    </row>
    <row r="398" spans="1:10">
      <c r="A398" s="25">
        <v>45052</v>
      </c>
      <c r="B398" s="24" t="s">
        <v>1269</v>
      </c>
      <c r="C398" s="24" t="s">
        <v>1248</v>
      </c>
      <c r="D398" s="24" t="s">
        <v>1230</v>
      </c>
      <c r="E398" s="24" t="s">
        <v>1229</v>
      </c>
      <c r="F398" s="24" t="s">
        <v>132</v>
      </c>
      <c r="G398" s="24" t="s">
        <v>1271</v>
      </c>
      <c r="H398" s="26">
        <v>7</v>
      </c>
      <c r="I398" s="26">
        <v>3721.37</v>
      </c>
      <c r="J398" s="26">
        <v>26049.59</v>
      </c>
    </row>
    <row r="399" spans="1:10">
      <c r="A399" s="25">
        <v>45105</v>
      </c>
      <c r="B399" s="24" t="s">
        <v>1265</v>
      </c>
      <c r="C399" s="24" t="s">
        <v>1234</v>
      </c>
      <c r="D399" s="24" t="s">
        <v>1232</v>
      </c>
      <c r="E399" s="24" t="s">
        <v>1231</v>
      </c>
      <c r="F399" s="24" t="s">
        <v>132</v>
      </c>
      <c r="G399" s="24" t="s">
        <v>1277</v>
      </c>
      <c r="H399" s="26">
        <v>2</v>
      </c>
      <c r="I399" s="26">
        <v>3719.83</v>
      </c>
      <c r="J399" s="26">
        <v>7439.66</v>
      </c>
    </row>
    <row r="400" spans="1:10">
      <c r="A400" s="25">
        <v>45207</v>
      </c>
      <c r="B400" s="24" t="s">
        <v>1256</v>
      </c>
      <c r="C400" s="24" t="s">
        <v>1247</v>
      </c>
      <c r="D400" s="24" t="s">
        <v>1243</v>
      </c>
      <c r="E400" s="24" t="s">
        <v>1242</v>
      </c>
      <c r="F400" s="24" t="s">
        <v>128</v>
      </c>
      <c r="G400" s="24" t="s">
        <v>1257</v>
      </c>
      <c r="H400" s="26">
        <v>19</v>
      </c>
      <c r="I400" s="26">
        <v>2862.47</v>
      </c>
      <c r="J400" s="26">
        <v>54386.93</v>
      </c>
    </row>
    <row r="401" spans="1:10">
      <c r="A401" s="25">
        <v>45044</v>
      </c>
      <c r="B401" s="24" t="s">
        <v>1260</v>
      </c>
      <c r="C401" s="24" t="s">
        <v>1240</v>
      </c>
      <c r="D401" s="24" t="s">
        <v>1232</v>
      </c>
      <c r="E401" s="24" t="s">
        <v>1231</v>
      </c>
      <c r="F401" s="24" t="s">
        <v>145</v>
      </c>
      <c r="G401" s="24" t="s">
        <v>1255</v>
      </c>
      <c r="H401" s="26">
        <v>5</v>
      </c>
      <c r="I401" s="26">
        <v>4715.05</v>
      </c>
      <c r="J401" s="26">
        <v>23575.25</v>
      </c>
    </row>
    <row r="402" spans="1:10">
      <c r="A402" s="25">
        <v>45291</v>
      </c>
      <c r="B402" s="24" t="s">
        <v>1256</v>
      </c>
      <c r="C402" s="24" t="s">
        <v>1245</v>
      </c>
      <c r="D402" s="24" t="s">
        <v>1243</v>
      </c>
      <c r="E402" s="24" t="s">
        <v>1242</v>
      </c>
      <c r="F402" s="24" t="s">
        <v>1249</v>
      </c>
      <c r="G402" s="24" t="s">
        <v>1270</v>
      </c>
      <c r="H402" s="26">
        <v>11</v>
      </c>
      <c r="I402" s="26">
        <v>3314</v>
      </c>
      <c r="J402" s="26">
        <v>36454</v>
      </c>
    </row>
    <row r="403" spans="1:10">
      <c r="A403" s="25">
        <v>45055</v>
      </c>
      <c r="B403" s="24" t="s">
        <v>1262</v>
      </c>
      <c r="C403" s="24" t="s">
        <v>1236</v>
      </c>
      <c r="D403" s="24" t="s">
        <v>1235</v>
      </c>
      <c r="E403" s="24" t="s">
        <v>1231</v>
      </c>
      <c r="F403" s="24" t="s">
        <v>132</v>
      </c>
      <c r="G403" s="24" t="s">
        <v>1253</v>
      </c>
      <c r="H403" s="26">
        <v>3</v>
      </c>
      <c r="I403" s="26">
        <v>4146.75</v>
      </c>
      <c r="J403" s="26">
        <v>12440.25</v>
      </c>
    </row>
    <row r="404" spans="1:10">
      <c r="A404" s="25">
        <v>45143</v>
      </c>
      <c r="B404" s="24" t="s">
        <v>1265</v>
      </c>
      <c r="C404" s="24" t="s">
        <v>1233</v>
      </c>
      <c r="D404" s="24" t="s">
        <v>1232</v>
      </c>
      <c r="E404" s="24" t="s">
        <v>1231</v>
      </c>
      <c r="F404" s="24" t="s">
        <v>120</v>
      </c>
      <c r="G404" s="24" t="s">
        <v>1276</v>
      </c>
      <c r="H404" s="26">
        <v>4</v>
      </c>
      <c r="I404" s="26">
        <v>4062.52</v>
      </c>
      <c r="J404" s="26">
        <v>16250.08</v>
      </c>
    </row>
    <row r="405" spans="1:10">
      <c r="A405" s="25">
        <v>44993</v>
      </c>
      <c r="B405" s="24" t="s">
        <v>1265</v>
      </c>
      <c r="C405" s="24" t="s">
        <v>1238</v>
      </c>
      <c r="D405" s="24" t="s">
        <v>1235</v>
      </c>
      <c r="E405" s="24" t="s">
        <v>1231</v>
      </c>
      <c r="F405" s="24" t="s">
        <v>120</v>
      </c>
      <c r="G405" s="24" t="s">
        <v>1276</v>
      </c>
      <c r="H405" s="26">
        <v>4</v>
      </c>
      <c r="I405" s="26">
        <v>3022.21</v>
      </c>
      <c r="J405" s="26">
        <v>12088.84</v>
      </c>
    </row>
    <row r="406" spans="1:10">
      <c r="A406" s="25">
        <v>44989</v>
      </c>
      <c r="B406" s="24" t="s">
        <v>1256</v>
      </c>
      <c r="C406" s="24" t="s">
        <v>1247</v>
      </c>
      <c r="D406" s="24" t="s">
        <v>1243</v>
      </c>
      <c r="E406" s="24" t="s">
        <v>1242</v>
      </c>
      <c r="F406" s="24" t="s">
        <v>1249</v>
      </c>
      <c r="G406" s="24" t="s">
        <v>1268</v>
      </c>
      <c r="H406" s="26">
        <v>7</v>
      </c>
      <c r="I406" s="26">
        <v>217.04</v>
      </c>
      <c r="J406" s="26">
        <v>1519.28</v>
      </c>
    </row>
    <row r="407" spans="1:10">
      <c r="A407" s="25">
        <v>45145</v>
      </c>
      <c r="B407" s="24" t="s">
        <v>1265</v>
      </c>
      <c r="C407" s="24" t="s">
        <v>1238</v>
      </c>
      <c r="D407" s="24" t="s">
        <v>1235</v>
      </c>
      <c r="E407" s="24" t="s">
        <v>1231</v>
      </c>
      <c r="F407" s="24" t="s">
        <v>1249</v>
      </c>
      <c r="G407" s="24" t="s">
        <v>1268</v>
      </c>
      <c r="H407" s="26">
        <v>2</v>
      </c>
      <c r="I407" s="26">
        <v>4883.5600000000004</v>
      </c>
      <c r="J407" s="26">
        <v>9767.1200000000008</v>
      </c>
    </row>
    <row r="408" spans="1:10">
      <c r="A408" s="25">
        <v>44949</v>
      </c>
      <c r="B408" s="24" t="s">
        <v>1269</v>
      </c>
      <c r="C408" s="24" t="s">
        <v>1246</v>
      </c>
      <c r="D408" s="24" t="s">
        <v>1230</v>
      </c>
      <c r="E408" s="24" t="s">
        <v>1229</v>
      </c>
      <c r="F408" s="24" t="s">
        <v>120</v>
      </c>
      <c r="G408" s="24" t="s">
        <v>1275</v>
      </c>
      <c r="H408" s="26">
        <v>16</v>
      </c>
      <c r="I408" s="26">
        <v>2015.76</v>
      </c>
      <c r="J408" s="26">
        <v>32252.16</v>
      </c>
    </row>
    <row r="409" spans="1:10">
      <c r="A409" s="25">
        <v>45088</v>
      </c>
      <c r="B409" s="24" t="s">
        <v>1267</v>
      </c>
      <c r="C409" s="24" t="s">
        <v>1241</v>
      </c>
      <c r="D409" s="24" t="s">
        <v>1235</v>
      </c>
      <c r="E409" s="24" t="s">
        <v>1231</v>
      </c>
      <c r="F409" s="24" t="s">
        <v>1249</v>
      </c>
      <c r="G409" s="24" t="s">
        <v>1259</v>
      </c>
      <c r="H409" s="26">
        <v>1</v>
      </c>
      <c r="I409" s="26">
        <v>2777.22</v>
      </c>
      <c r="J409" s="26">
        <v>2777.22</v>
      </c>
    </row>
    <row r="410" spans="1:10">
      <c r="A410" s="25">
        <v>45279</v>
      </c>
      <c r="B410" s="24" t="s">
        <v>1254</v>
      </c>
      <c r="C410" s="24" t="s">
        <v>1241</v>
      </c>
      <c r="D410" s="24" t="s">
        <v>1235</v>
      </c>
      <c r="E410" s="24" t="s">
        <v>1231</v>
      </c>
      <c r="F410" s="24" t="s">
        <v>132</v>
      </c>
      <c r="G410" s="24" t="s">
        <v>1271</v>
      </c>
      <c r="H410" s="26">
        <v>13</v>
      </c>
      <c r="I410" s="26">
        <v>4318.62</v>
      </c>
      <c r="J410" s="26">
        <v>56142.06</v>
      </c>
    </row>
    <row r="411" spans="1:10">
      <c r="A411" s="25">
        <v>45223</v>
      </c>
      <c r="B411" s="24" t="s">
        <v>1269</v>
      </c>
      <c r="C411" s="24" t="s">
        <v>1239</v>
      </c>
      <c r="D411" s="24" t="s">
        <v>1237</v>
      </c>
      <c r="E411" s="24" t="s">
        <v>1229</v>
      </c>
      <c r="F411" s="24" t="s">
        <v>120</v>
      </c>
      <c r="G411" s="24" t="s">
        <v>1275</v>
      </c>
      <c r="H411" s="26">
        <v>15</v>
      </c>
      <c r="I411" s="26">
        <v>3225.2</v>
      </c>
      <c r="J411" s="26">
        <v>48378</v>
      </c>
    </row>
    <row r="412" spans="1:10">
      <c r="A412" s="25">
        <v>45160</v>
      </c>
      <c r="B412" s="24" t="s">
        <v>1262</v>
      </c>
      <c r="C412" s="24" t="s">
        <v>1239</v>
      </c>
      <c r="D412" s="24" t="s">
        <v>1237</v>
      </c>
      <c r="E412" s="24" t="s">
        <v>1229</v>
      </c>
      <c r="F412" s="24" t="s">
        <v>120</v>
      </c>
      <c r="G412" s="24" t="s">
        <v>1275</v>
      </c>
      <c r="H412" s="26">
        <v>9</v>
      </c>
      <c r="I412" s="26">
        <v>631.99</v>
      </c>
      <c r="J412" s="26">
        <v>5687.91</v>
      </c>
    </row>
    <row r="413" spans="1:10">
      <c r="A413" s="25">
        <v>45051</v>
      </c>
      <c r="B413" s="24" t="s">
        <v>1258</v>
      </c>
      <c r="C413" s="24" t="s">
        <v>1247</v>
      </c>
      <c r="D413" s="24" t="s">
        <v>1243</v>
      </c>
      <c r="E413" s="24" t="s">
        <v>1242</v>
      </c>
      <c r="F413" s="24" t="s">
        <v>145</v>
      </c>
      <c r="G413" s="24" t="s">
        <v>1274</v>
      </c>
      <c r="H413" s="26">
        <v>16</v>
      </c>
      <c r="I413" s="26">
        <v>981</v>
      </c>
      <c r="J413" s="26">
        <v>15696</v>
      </c>
    </row>
    <row r="414" spans="1:10">
      <c r="A414" s="25">
        <v>45089</v>
      </c>
      <c r="B414" s="24" t="s">
        <v>1267</v>
      </c>
      <c r="C414" s="24" t="s">
        <v>1248</v>
      </c>
      <c r="D414" s="24" t="s">
        <v>1230</v>
      </c>
      <c r="E414" s="24" t="s">
        <v>1229</v>
      </c>
      <c r="F414" s="24" t="s">
        <v>120</v>
      </c>
      <c r="G414" s="24" t="s">
        <v>1165</v>
      </c>
      <c r="H414" s="26">
        <v>14</v>
      </c>
      <c r="I414" s="26">
        <v>1049.21</v>
      </c>
      <c r="J414" s="26">
        <v>14688.94</v>
      </c>
    </row>
    <row r="415" spans="1:10">
      <c r="A415" s="25">
        <v>45105</v>
      </c>
      <c r="B415" s="24" t="s">
        <v>1269</v>
      </c>
      <c r="C415" s="24" t="s">
        <v>1234</v>
      </c>
      <c r="D415" s="24" t="s">
        <v>1232</v>
      </c>
      <c r="E415" s="24" t="s">
        <v>1231</v>
      </c>
      <c r="F415" s="24" t="s">
        <v>132</v>
      </c>
      <c r="G415" s="24" t="s">
        <v>1253</v>
      </c>
      <c r="H415" s="26">
        <v>3</v>
      </c>
      <c r="I415" s="26">
        <v>3276.84</v>
      </c>
      <c r="J415" s="26">
        <v>9830.52</v>
      </c>
    </row>
    <row r="416" spans="1:10">
      <c r="A416" s="25">
        <v>45148</v>
      </c>
      <c r="B416" s="24" t="s">
        <v>1258</v>
      </c>
      <c r="C416" s="24" t="s">
        <v>1171</v>
      </c>
      <c r="D416" s="24" t="s">
        <v>1237</v>
      </c>
      <c r="E416" s="24" t="s">
        <v>1229</v>
      </c>
      <c r="F416" s="24" t="s">
        <v>120</v>
      </c>
      <c r="G416" s="24" t="s">
        <v>1164</v>
      </c>
      <c r="H416" s="26">
        <v>10</v>
      </c>
      <c r="I416" s="26">
        <v>1693.46</v>
      </c>
      <c r="J416" s="26">
        <v>16934.599999999999</v>
      </c>
    </row>
    <row r="417" spans="1:10">
      <c r="A417" s="25">
        <v>45256</v>
      </c>
      <c r="B417" s="24" t="s">
        <v>1267</v>
      </c>
      <c r="C417" s="24" t="s">
        <v>1245</v>
      </c>
      <c r="D417" s="24" t="s">
        <v>1243</v>
      </c>
      <c r="E417" s="24" t="s">
        <v>1242</v>
      </c>
      <c r="F417" s="24" t="s">
        <v>145</v>
      </c>
      <c r="G417" s="24" t="s">
        <v>1274</v>
      </c>
      <c r="H417" s="26">
        <v>15</v>
      </c>
      <c r="I417" s="26">
        <v>1790.58</v>
      </c>
      <c r="J417" s="26">
        <v>26858.7</v>
      </c>
    </row>
    <row r="418" spans="1:10">
      <c r="A418" s="25">
        <v>45005</v>
      </c>
      <c r="B418" s="24" t="s">
        <v>1260</v>
      </c>
      <c r="C418" s="24" t="s">
        <v>1248</v>
      </c>
      <c r="D418" s="24" t="s">
        <v>1230</v>
      </c>
      <c r="E418" s="24" t="s">
        <v>1229</v>
      </c>
      <c r="F418" s="24" t="s">
        <v>132</v>
      </c>
      <c r="G418" s="24" t="s">
        <v>1271</v>
      </c>
      <c r="H418" s="26">
        <v>16</v>
      </c>
      <c r="I418" s="26">
        <v>1018.83</v>
      </c>
      <c r="J418" s="26">
        <v>16301.28</v>
      </c>
    </row>
    <row r="419" spans="1:10">
      <c r="A419" s="25">
        <v>44964</v>
      </c>
      <c r="B419" s="24" t="s">
        <v>1262</v>
      </c>
      <c r="C419" s="24" t="s">
        <v>1238</v>
      </c>
      <c r="D419" s="24" t="s">
        <v>1235</v>
      </c>
      <c r="E419" s="24" t="s">
        <v>1231</v>
      </c>
      <c r="F419" s="24" t="s">
        <v>120</v>
      </c>
      <c r="G419" s="24" t="s">
        <v>1276</v>
      </c>
      <c r="H419" s="26">
        <v>6</v>
      </c>
      <c r="I419" s="26">
        <v>1246.5899999999999</v>
      </c>
      <c r="J419" s="26">
        <v>7479.54</v>
      </c>
    </row>
    <row r="420" spans="1:10">
      <c r="A420" s="25">
        <v>44939</v>
      </c>
      <c r="B420" s="24" t="s">
        <v>1265</v>
      </c>
      <c r="C420" s="24" t="s">
        <v>1234</v>
      </c>
      <c r="D420" s="24" t="s">
        <v>1232</v>
      </c>
      <c r="E420" s="24" t="s">
        <v>1231</v>
      </c>
      <c r="F420" s="24" t="s">
        <v>1249</v>
      </c>
      <c r="G420" s="24" t="s">
        <v>1270</v>
      </c>
      <c r="H420" s="26">
        <v>14</v>
      </c>
      <c r="I420" s="26">
        <v>859.79</v>
      </c>
      <c r="J420" s="26">
        <v>12037.06</v>
      </c>
    </row>
    <row r="421" spans="1:10">
      <c r="A421" s="25">
        <v>45239</v>
      </c>
      <c r="B421" s="24" t="s">
        <v>1252</v>
      </c>
      <c r="C421" s="24" t="s">
        <v>1245</v>
      </c>
      <c r="D421" s="24" t="s">
        <v>1243</v>
      </c>
      <c r="E421" s="24" t="s">
        <v>1242</v>
      </c>
      <c r="F421" s="24" t="s">
        <v>128</v>
      </c>
      <c r="G421" s="24" t="s">
        <v>1264</v>
      </c>
      <c r="H421" s="26">
        <v>12</v>
      </c>
      <c r="I421" s="26">
        <v>149.16</v>
      </c>
      <c r="J421" s="26">
        <v>1789.92</v>
      </c>
    </row>
    <row r="422" spans="1:10">
      <c r="A422" s="25">
        <v>45213</v>
      </c>
      <c r="B422" s="24" t="s">
        <v>1260</v>
      </c>
      <c r="C422" s="24" t="s">
        <v>1239</v>
      </c>
      <c r="D422" s="24" t="s">
        <v>1237</v>
      </c>
      <c r="E422" s="24" t="s">
        <v>1229</v>
      </c>
      <c r="F422" s="24" t="s">
        <v>132</v>
      </c>
      <c r="G422" s="24" t="s">
        <v>1271</v>
      </c>
      <c r="H422" s="26">
        <v>20</v>
      </c>
      <c r="I422" s="26">
        <v>1108.83</v>
      </c>
      <c r="J422" s="26">
        <v>22176.6</v>
      </c>
    </row>
    <row r="423" spans="1:10">
      <c r="A423" s="25">
        <v>45002</v>
      </c>
      <c r="B423" s="24" t="s">
        <v>1262</v>
      </c>
      <c r="C423" s="24" t="s">
        <v>1241</v>
      </c>
      <c r="D423" s="24" t="s">
        <v>1235</v>
      </c>
      <c r="E423" s="24" t="s">
        <v>1231</v>
      </c>
      <c r="F423" s="24" t="s">
        <v>132</v>
      </c>
      <c r="G423" s="24" t="s">
        <v>1279</v>
      </c>
      <c r="H423" s="26">
        <v>8</v>
      </c>
      <c r="I423" s="26">
        <v>3628.65</v>
      </c>
      <c r="J423" s="26">
        <v>29029.200000000001</v>
      </c>
    </row>
    <row r="424" spans="1:10">
      <c r="A424" s="25">
        <v>45283</v>
      </c>
      <c r="B424" s="24" t="s">
        <v>1252</v>
      </c>
      <c r="C424" s="24" t="s">
        <v>1248</v>
      </c>
      <c r="D424" s="24" t="s">
        <v>1230</v>
      </c>
      <c r="E424" s="24" t="s">
        <v>1229</v>
      </c>
      <c r="F424" s="24" t="s">
        <v>128</v>
      </c>
      <c r="G424" s="24" t="s">
        <v>1264</v>
      </c>
      <c r="H424" s="26">
        <v>19</v>
      </c>
      <c r="I424" s="26">
        <v>1317.72</v>
      </c>
      <c r="J424" s="26">
        <v>25036.68</v>
      </c>
    </row>
    <row r="425" spans="1:10">
      <c r="A425" s="25">
        <v>44940</v>
      </c>
      <c r="B425" s="24" t="s">
        <v>1260</v>
      </c>
      <c r="C425" s="24" t="s">
        <v>1247</v>
      </c>
      <c r="D425" s="24" t="s">
        <v>1243</v>
      </c>
      <c r="E425" s="24" t="s">
        <v>1242</v>
      </c>
      <c r="F425" s="24" t="s">
        <v>128</v>
      </c>
      <c r="G425" s="24" t="s">
        <v>1273</v>
      </c>
      <c r="H425" s="26">
        <v>16</v>
      </c>
      <c r="I425" s="26">
        <v>2995.01</v>
      </c>
      <c r="J425" s="26">
        <v>47920.160000000003</v>
      </c>
    </row>
    <row r="426" spans="1:10">
      <c r="A426" s="25">
        <v>45071</v>
      </c>
      <c r="B426" s="24" t="s">
        <v>1262</v>
      </c>
      <c r="C426" s="24" t="s">
        <v>1173</v>
      </c>
      <c r="D426" s="24" t="s">
        <v>1237</v>
      </c>
      <c r="E426" s="24" t="s">
        <v>1229</v>
      </c>
      <c r="F426" s="24" t="s">
        <v>132</v>
      </c>
      <c r="G426" s="24" t="s">
        <v>1279</v>
      </c>
      <c r="H426" s="26">
        <v>11</v>
      </c>
      <c r="I426" s="26">
        <v>2318.96</v>
      </c>
      <c r="J426" s="26">
        <v>25508.560000000001</v>
      </c>
    </row>
    <row r="427" spans="1:10">
      <c r="A427" s="25">
        <v>45260</v>
      </c>
      <c r="B427" s="24" t="s">
        <v>1256</v>
      </c>
      <c r="C427" s="24" t="s">
        <v>1236</v>
      </c>
      <c r="D427" s="24" t="s">
        <v>1235</v>
      </c>
      <c r="E427" s="24" t="s">
        <v>1231</v>
      </c>
      <c r="F427" s="24" t="s">
        <v>1249</v>
      </c>
      <c r="G427" s="24" t="s">
        <v>1270</v>
      </c>
      <c r="H427" s="26">
        <v>14</v>
      </c>
      <c r="I427" s="26">
        <v>4935.3</v>
      </c>
      <c r="J427" s="26">
        <v>69094.2</v>
      </c>
    </row>
    <row r="428" spans="1:10">
      <c r="A428" s="25">
        <v>45189</v>
      </c>
      <c r="B428" s="24" t="s">
        <v>1267</v>
      </c>
      <c r="C428" s="24" t="s">
        <v>1238</v>
      </c>
      <c r="D428" s="24" t="s">
        <v>1235</v>
      </c>
      <c r="E428" s="24" t="s">
        <v>1231</v>
      </c>
      <c r="F428" s="24" t="s">
        <v>132</v>
      </c>
      <c r="G428" s="24" t="s">
        <v>1271</v>
      </c>
      <c r="H428" s="26">
        <v>1</v>
      </c>
      <c r="I428" s="26">
        <v>1083.26</v>
      </c>
      <c r="J428" s="26">
        <v>1083.26</v>
      </c>
    </row>
    <row r="429" spans="1:10">
      <c r="A429" s="25">
        <v>45204</v>
      </c>
      <c r="B429" s="24" t="s">
        <v>1265</v>
      </c>
      <c r="C429" s="24" t="s">
        <v>1240</v>
      </c>
      <c r="D429" s="24" t="s">
        <v>1232</v>
      </c>
      <c r="E429" s="24" t="s">
        <v>1231</v>
      </c>
      <c r="F429" s="24" t="s">
        <v>132</v>
      </c>
      <c r="G429" s="24" t="s">
        <v>1271</v>
      </c>
      <c r="H429" s="26">
        <v>11</v>
      </c>
      <c r="I429" s="26">
        <v>1673.53</v>
      </c>
      <c r="J429" s="26">
        <v>18408.830000000002</v>
      </c>
    </row>
    <row r="430" spans="1:10">
      <c r="A430" s="25">
        <v>45185</v>
      </c>
      <c r="B430" s="24" t="s">
        <v>1258</v>
      </c>
      <c r="C430" s="24" t="s">
        <v>1248</v>
      </c>
      <c r="D430" s="24" t="s">
        <v>1230</v>
      </c>
      <c r="E430" s="24" t="s">
        <v>1229</v>
      </c>
      <c r="F430" s="24" t="s">
        <v>120</v>
      </c>
      <c r="G430" s="24" t="s">
        <v>1275</v>
      </c>
      <c r="H430" s="26">
        <v>10</v>
      </c>
      <c r="I430" s="26">
        <v>3829.38</v>
      </c>
      <c r="J430" s="26">
        <v>38293.800000000003</v>
      </c>
    </row>
    <row r="431" spans="1:10">
      <c r="A431" s="25">
        <v>45190</v>
      </c>
      <c r="B431" s="24" t="s">
        <v>1265</v>
      </c>
      <c r="C431" s="24" t="s">
        <v>1241</v>
      </c>
      <c r="D431" s="24" t="s">
        <v>1235</v>
      </c>
      <c r="E431" s="24" t="s">
        <v>1231</v>
      </c>
      <c r="F431" s="24" t="s">
        <v>128</v>
      </c>
      <c r="G431" s="24" t="s">
        <v>1257</v>
      </c>
      <c r="H431" s="26">
        <v>6</v>
      </c>
      <c r="I431" s="26">
        <v>470.36</v>
      </c>
      <c r="J431" s="26">
        <v>2822.16</v>
      </c>
    </row>
    <row r="432" spans="1:10">
      <c r="A432" s="25">
        <v>45029</v>
      </c>
      <c r="B432" s="24" t="s">
        <v>1269</v>
      </c>
      <c r="C432" s="24" t="s">
        <v>1173</v>
      </c>
      <c r="D432" s="24" t="s">
        <v>1237</v>
      </c>
      <c r="E432" s="24" t="s">
        <v>1229</v>
      </c>
      <c r="F432" s="24" t="s">
        <v>120</v>
      </c>
      <c r="G432" s="24" t="s">
        <v>1275</v>
      </c>
      <c r="H432" s="26">
        <v>12</v>
      </c>
      <c r="I432" s="26">
        <v>2489.14</v>
      </c>
      <c r="J432" s="26">
        <v>29869.68</v>
      </c>
    </row>
    <row r="433" spans="1:10">
      <c r="A433" s="25">
        <v>45157</v>
      </c>
      <c r="B433" s="24" t="s">
        <v>1265</v>
      </c>
      <c r="C433" s="24" t="s">
        <v>1241</v>
      </c>
      <c r="D433" s="24" t="s">
        <v>1235</v>
      </c>
      <c r="E433" s="24" t="s">
        <v>1231</v>
      </c>
      <c r="F433" s="24" t="s">
        <v>128</v>
      </c>
      <c r="G433" s="24" t="s">
        <v>1273</v>
      </c>
      <c r="H433" s="26">
        <v>14</v>
      </c>
      <c r="I433" s="26">
        <v>1729.16</v>
      </c>
      <c r="J433" s="26">
        <v>24208.240000000002</v>
      </c>
    </row>
    <row r="434" spans="1:10">
      <c r="A434" s="25">
        <v>45276</v>
      </c>
      <c r="B434" s="24" t="s">
        <v>1252</v>
      </c>
      <c r="C434" s="24" t="s">
        <v>1233</v>
      </c>
      <c r="D434" s="24" t="s">
        <v>1232</v>
      </c>
      <c r="E434" s="24" t="s">
        <v>1231</v>
      </c>
      <c r="F434" s="24" t="s">
        <v>145</v>
      </c>
      <c r="G434" s="24" t="s">
        <v>1274</v>
      </c>
      <c r="H434" s="26">
        <v>2</v>
      </c>
      <c r="I434" s="26">
        <v>2789.92</v>
      </c>
      <c r="J434" s="26">
        <v>5579.84</v>
      </c>
    </row>
    <row r="435" spans="1:10">
      <c r="A435" s="25">
        <v>45072</v>
      </c>
      <c r="B435" s="24" t="s">
        <v>1263</v>
      </c>
      <c r="C435" s="24" t="s">
        <v>1236</v>
      </c>
      <c r="D435" s="24" t="s">
        <v>1235</v>
      </c>
      <c r="E435" s="24" t="s">
        <v>1231</v>
      </c>
      <c r="F435" s="24" t="s">
        <v>128</v>
      </c>
      <c r="G435" s="24" t="s">
        <v>1257</v>
      </c>
      <c r="H435" s="26">
        <v>17</v>
      </c>
      <c r="I435" s="26">
        <v>3244.79</v>
      </c>
      <c r="J435" s="26">
        <v>55161.43</v>
      </c>
    </row>
    <row r="436" spans="1:10">
      <c r="A436" s="25">
        <v>44971</v>
      </c>
      <c r="B436" s="24" t="s">
        <v>1256</v>
      </c>
      <c r="C436" s="24" t="s">
        <v>1238</v>
      </c>
      <c r="D436" s="24" t="s">
        <v>1235</v>
      </c>
      <c r="E436" s="24" t="s">
        <v>1231</v>
      </c>
      <c r="F436" s="24" t="s">
        <v>145</v>
      </c>
      <c r="G436" s="24" t="s">
        <v>1255</v>
      </c>
      <c r="H436" s="26">
        <v>20</v>
      </c>
      <c r="I436" s="26">
        <v>2155.17</v>
      </c>
      <c r="J436" s="26">
        <v>43103.4</v>
      </c>
    </row>
    <row r="437" spans="1:10">
      <c r="A437" s="25">
        <v>45115</v>
      </c>
      <c r="B437" s="24" t="s">
        <v>1267</v>
      </c>
      <c r="C437" s="24" t="s">
        <v>1234</v>
      </c>
      <c r="D437" s="24" t="s">
        <v>1232</v>
      </c>
      <c r="E437" s="24" t="s">
        <v>1231</v>
      </c>
      <c r="F437" s="24" t="s">
        <v>1249</v>
      </c>
      <c r="G437" s="24" t="s">
        <v>1270</v>
      </c>
      <c r="H437" s="26">
        <v>13</v>
      </c>
      <c r="I437" s="26">
        <v>2526.1999999999998</v>
      </c>
      <c r="J437" s="26">
        <v>32840.6</v>
      </c>
    </row>
    <row r="438" spans="1:10">
      <c r="A438" s="25">
        <v>44950</v>
      </c>
      <c r="B438" s="24" t="s">
        <v>1263</v>
      </c>
      <c r="C438" s="24" t="s">
        <v>1240</v>
      </c>
      <c r="D438" s="24" t="s">
        <v>1232</v>
      </c>
      <c r="E438" s="24" t="s">
        <v>1231</v>
      </c>
      <c r="F438" s="24" t="s">
        <v>120</v>
      </c>
      <c r="G438" s="24" t="s">
        <v>1165</v>
      </c>
      <c r="H438" s="26">
        <v>11</v>
      </c>
      <c r="I438" s="26">
        <v>1995.21</v>
      </c>
      <c r="J438" s="26">
        <v>21947.31</v>
      </c>
    </row>
    <row r="439" spans="1:10">
      <c r="A439" s="25">
        <v>44968</v>
      </c>
      <c r="B439" s="24" t="s">
        <v>1267</v>
      </c>
      <c r="C439" s="24" t="s">
        <v>1248</v>
      </c>
      <c r="D439" s="24" t="s">
        <v>1230</v>
      </c>
      <c r="E439" s="24" t="s">
        <v>1229</v>
      </c>
      <c r="F439" s="24" t="s">
        <v>145</v>
      </c>
      <c r="G439" s="24" t="s">
        <v>1255</v>
      </c>
      <c r="H439" s="26">
        <v>4</v>
      </c>
      <c r="I439" s="26">
        <v>1139.74</v>
      </c>
      <c r="J439" s="26">
        <v>4558.96</v>
      </c>
    </row>
    <row r="440" spans="1:10">
      <c r="A440" s="25">
        <v>45137</v>
      </c>
      <c r="B440" s="24" t="s">
        <v>1269</v>
      </c>
      <c r="C440" s="24" t="s">
        <v>1247</v>
      </c>
      <c r="D440" s="24" t="s">
        <v>1243</v>
      </c>
      <c r="E440" s="24" t="s">
        <v>1242</v>
      </c>
      <c r="F440" s="24" t="s">
        <v>132</v>
      </c>
      <c r="G440" s="24" t="s">
        <v>1277</v>
      </c>
      <c r="H440" s="26">
        <v>4</v>
      </c>
      <c r="I440" s="26">
        <v>3015.93</v>
      </c>
      <c r="J440" s="26">
        <v>12063.72</v>
      </c>
    </row>
    <row r="441" spans="1:10">
      <c r="A441" s="25">
        <v>45026</v>
      </c>
      <c r="B441" s="24" t="s">
        <v>1267</v>
      </c>
      <c r="C441" s="24" t="s">
        <v>1233</v>
      </c>
      <c r="D441" s="24" t="s">
        <v>1232</v>
      </c>
      <c r="E441" s="24" t="s">
        <v>1231</v>
      </c>
      <c r="F441" s="24" t="s">
        <v>128</v>
      </c>
      <c r="G441" s="24" t="s">
        <v>1264</v>
      </c>
      <c r="H441" s="26">
        <v>4</v>
      </c>
      <c r="I441" s="26">
        <v>3831.39</v>
      </c>
      <c r="J441" s="26">
        <v>15325.56</v>
      </c>
    </row>
    <row r="442" spans="1:10">
      <c r="A442" s="25">
        <v>45077</v>
      </c>
      <c r="B442" s="24" t="s">
        <v>1252</v>
      </c>
      <c r="C442" s="24" t="s">
        <v>1171</v>
      </c>
      <c r="D442" s="24" t="s">
        <v>1237</v>
      </c>
      <c r="E442" s="24" t="s">
        <v>1229</v>
      </c>
      <c r="F442" s="24" t="s">
        <v>128</v>
      </c>
      <c r="G442" s="24" t="s">
        <v>1257</v>
      </c>
      <c r="H442" s="26">
        <v>7</v>
      </c>
      <c r="I442" s="26">
        <v>105.05</v>
      </c>
      <c r="J442" s="26">
        <v>735.35</v>
      </c>
    </row>
    <row r="443" spans="1:10">
      <c r="A443" s="25">
        <v>45110</v>
      </c>
      <c r="B443" s="24" t="s">
        <v>1254</v>
      </c>
      <c r="C443" s="24" t="s">
        <v>1248</v>
      </c>
      <c r="D443" s="24" t="s">
        <v>1230</v>
      </c>
      <c r="E443" s="24" t="s">
        <v>1229</v>
      </c>
      <c r="F443" s="24" t="s">
        <v>145</v>
      </c>
      <c r="G443" s="24" t="s">
        <v>1274</v>
      </c>
      <c r="H443" s="26">
        <v>11</v>
      </c>
      <c r="I443" s="26">
        <v>2416.1799999999998</v>
      </c>
      <c r="J443" s="26">
        <v>26577.98</v>
      </c>
    </row>
    <row r="444" spans="1:10">
      <c r="A444" s="25">
        <v>44941</v>
      </c>
      <c r="B444" s="24" t="s">
        <v>1262</v>
      </c>
      <c r="C444" s="24" t="s">
        <v>1248</v>
      </c>
      <c r="D444" s="24" t="s">
        <v>1230</v>
      </c>
      <c r="E444" s="24" t="s">
        <v>1229</v>
      </c>
      <c r="F444" s="24" t="s">
        <v>145</v>
      </c>
      <c r="G444" s="24" t="s">
        <v>1274</v>
      </c>
      <c r="H444" s="26">
        <v>1</v>
      </c>
      <c r="I444" s="26">
        <v>549.14</v>
      </c>
      <c r="J444" s="26">
        <v>549.14</v>
      </c>
    </row>
    <row r="445" spans="1:10">
      <c r="A445" s="25">
        <v>45076</v>
      </c>
      <c r="B445" s="24" t="s">
        <v>1262</v>
      </c>
      <c r="C445" s="24" t="s">
        <v>1240</v>
      </c>
      <c r="D445" s="24" t="s">
        <v>1232</v>
      </c>
      <c r="E445" s="24" t="s">
        <v>1231</v>
      </c>
      <c r="F445" s="24" t="s">
        <v>1249</v>
      </c>
      <c r="G445" s="24" t="s">
        <v>1259</v>
      </c>
      <c r="H445" s="26">
        <v>10</v>
      </c>
      <c r="I445" s="26">
        <v>3771.5</v>
      </c>
      <c r="J445" s="26">
        <v>37715</v>
      </c>
    </row>
    <row r="446" spans="1:10">
      <c r="A446" s="25">
        <v>45213</v>
      </c>
      <c r="B446" s="24" t="s">
        <v>1254</v>
      </c>
      <c r="C446" s="24" t="s">
        <v>1248</v>
      </c>
      <c r="D446" s="24" t="s">
        <v>1230</v>
      </c>
      <c r="E446" s="24" t="s">
        <v>1229</v>
      </c>
      <c r="F446" s="24" t="s">
        <v>132</v>
      </c>
      <c r="G446" s="24" t="s">
        <v>1277</v>
      </c>
      <c r="H446" s="26">
        <v>13</v>
      </c>
      <c r="I446" s="26">
        <v>956.49</v>
      </c>
      <c r="J446" s="26">
        <v>12434.37</v>
      </c>
    </row>
    <row r="447" spans="1:10">
      <c r="A447" s="25">
        <v>44956</v>
      </c>
      <c r="B447" s="24" t="s">
        <v>1256</v>
      </c>
      <c r="C447" s="24" t="s">
        <v>1241</v>
      </c>
      <c r="D447" s="24" t="s">
        <v>1235</v>
      </c>
      <c r="E447" s="24" t="s">
        <v>1231</v>
      </c>
      <c r="F447" s="24" t="s">
        <v>132</v>
      </c>
      <c r="G447" s="24" t="s">
        <v>1271</v>
      </c>
      <c r="H447" s="26">
        <v>19</v>
      </c>
      <c r="I447" s="26">
        <v>3575.92</v>
      </c>
      <c r="J447" s="26">
        <v>67942.48</v>
      </c>
    </row>
    <row r="448" spans="1:10">
      <c r="A448" s="25">
        <v>45095</v>
      </c>
      <c r="B448" s="24" t="s">
        <v>1267</v>
      </c>
      <c r="C448" s="24" t="s">
        <v>1169</v>
      </c>
      <c r="D448" s="24" t="s">
        <v>1230</v>
      </c>
      <c r="E448" s="24" t="s">
        <v>1229</v>
      </c>
      <c r="F448" s="24" t="s">
        <v>120</v>
      </c>
      <c r="G448" s="24" t="s">
        <v>1275</v>
      </c>
      <c r="H448" s="26">
        <v>8</v>
      </c>
      <c r="I448" s="26">
        <v>3971.12</v>
      </c>
      <c r="J448" s="26">
        <v>31768.959999999999</v>
      </c>
    </row>
    <row r="449" spans="1:10">
      <c r="A449" s="25">
        <v>45160</v>
      </c>
      <c r="B449" s="24" t="s">
        <v>1260</v>
      </c>
      <c r="C449" s="24" t="s">
        <v>1240</v>
      </c>
      <c r="D449" s="24" t="s">
        <v>1232</v>
      </c>
      <c r="E449" s="24" t="s">
        <v>1231</v>
      </c>
      <c r="F449" s="24" t="s">
        <v>128</v>
      </c>
      <c r="G449" s="24" t="s">
        <v>1266</v>
      </c>
      <c r="H449" s="26">
        <v>14</v>
      </c>
      <c r="I449" s="26">
        <v>3631.62</v>
      </c>
      <c r="J449" s="26">
        <v>50842.68</v>
      </c>
    </row>
    <row r="450" spans="1:10">
      <c r="A450" s="25">
        <v>45047</v>
      </c>
      <c r="B450" s="24" t="s">
        <v>1265</v>
      </c>
      <c r="C450" s="24" t="s">
        <v>1239</v>
      </c>
      <c r="D450" s="24" t="s">
        <v>1237</v>
      </c>
      <c r="E450" s="24" t="s">
        <v>1229</v>
      </c>
      <c r="F450" s="24" t="s">
        <v>132</v>
      </c>
      <c r="G450" s="24" t="s">
        <v>1271</v>
      </c>
      <c r="H450" s="26">
        <v>18</v>
      </c>
      <c r="I450" s="26">
        <v>2589.64</v>
      </c>
      <c r="J450" s="26">
        <v>46613.52</v>
      </c>
    </row>
    <row r="451" spans="1:10">
      <c r="A451" s="25">
        <v>45173</v>
      </c>
      <c r="B451" s="24" t="s">
        <v>1260</v>
      </c>
      <c r="C451" s="24" t="s">
        <v>1169</v>
      </c>
      <c r="D451" s="24" t="s">
        <v>1230</v>
      </c>
      <c r="E451" s="24" t="s">
        <v>1229</v>
      </c>
      <c r="F451" s="24" t="s">
        <v>1249</v>
      </c>
      <c r="G451" s="24" t="s">
        <v>1270</v>
      </c>
      <c r="H451" s="26">
        <v>2</v>
      </c>
      <c r="I451" s="26">
        <v>2713.34</v>
      </c>
      <c r="J451" s="26">
        <v>5426.68</v>
      </c>
    </row>
    <row r="452" spans="1:10">
      <c r="A452" s="25">
        <v>45259</v>
      </c>
      <c r="B452" s="24" t="s">
        <v>1262</v>
      </c>
      <c r="C452" s="24" t="s">
        <v>1241</v>
      </c>
      <c r="D452" s="24" t="s">
        <v>1235</v>
      </c>
      <c r="E452" s="24" t="s">
        <v>1231</v>
      </c>
      <c r="F452" s="24" t="s">
        <v>145</v>
      </c>
      <c r="G452" s="24" t="s">
        <v>1255</v>
      </c>
      <c r="H452" s="26">
        <v>17</v>
      </c>
      <c r="I452" s="26">
        <v>1294.56</v>
      </c>
      <c r="J452" s="26">
        <v>22007.52</v>
      </c>
    </row>
    <row r="453" spans="1:10">
      <c r="A453" s="25">
        <v>45229</v>
      </c>
      <c r="B453" s="24" t="s">
        <v>1260</v>
      </c>
      <c r="C453" s="24" t="s">
        <v>1245</v>
      </c>
      <c r="D453" s="24" t="s">
        <v>1243</v>
      </c>
      <c r="E453" s="24" t="s">
        <v>1242</v>
      </c>
      <c r="F453" s="24" t="s">
        <v>145</v>
      </c>
      <c r="G453" s="24" t="s">
        <v>1255</v>
      </c>
      <c r="H453" s="26">
        <v>8</v>
      </c>
      <c r="I453" s="26">
        <v>1171.53</v>
      </c>
      <c r="J453" s="26">
        <v>9372.24</v>
      </c>
    </row>
    <row r="454" spans="1:10">
      <c r="A454" s="25">
        <v>44943</v>
      </c>
      <c r="B454" s="24" t="s">
        <v>1265</v>
      </c>
      <c r="C454" s="24" t="s">
        <v>1244</v>
      </c>
      <c r="D454" s="24" t="s">
        <v>1243</v>
      </c>
      <c r="E454" s="24" t="s">
        <v>1242</v>
      </c>
      <c r="F454" s="24" t="s">
        <v>128</v>
      </c>
      <c r="G454" s="24" t="s">
        <v>1273</v>
      </c>
      <c r="H454" s="26">
        <v>15</v>
      </c>
      <c r="I454" s="26">
        <v>4060.63</v>
      </c>
      <c r="J454" s="26">
        <v>60909.45</v>
      </c>
    </row>
    <row r="455" spans="1:10">
      <c r="A455" s="25">
        <v>45028</v>
      </c>
      <c r="B455" s="24" t="s">
        <v>1262</v>
      </c>
      <c r="C455" s="24" t="s">
        <v>1239</v>
      </c>
      <c r="D455" s="24" t="s">
        <v>1237</v>
      </c>
      <c r="E455" s="24" t="s">
        <v>1229</v>
      </c>
      <c r="F455" s="24" t="s">
        <v>1249</v>
      </c>
      <c r="G455" s="24" t="s">
        <v>1259</v>
      </c>
      <c r="H455" s="26">
        <v>4</v>
      </c>
      <c r="I455" s="26">
        <v>442.23</v>
      </c>
      <c r="J455" s="26">
        <v>1768.92</v>
      </c>
    </row>
    <row r="456" spans="1:10">
      <c r="A456" s="25">
        <v>45260</v>
      </c>
      <c r="B456" s="24" t="s">
        <v>1265</v>
      </c>
      <c r="C456" s="24" t="s">
        <v>1239</v>
      </c>
      <c r="D456" s="24" t="s">
        <v>1237</v>
      </c>
      <c r="E456" s="24" t="s">
        <v>1229</v>
      </c>
      <c r="F456" s="24" t="s">
        <v>145</v>
      </c>
      <c r="G456" s="24" t="s">
        <v>1261</v>
      </c>
      <c r="H456" s="26">
        <v>5</v>
      </c>
      <c r="I456" s="26">
        <v>3725.36</v>
      </c>
      <c r="J456" s="26">
        <v>18626.8</v>
      </c>
    </row>
    <row r="457" spans="1:10">
      <c r="A457" s="25">
        <v>44940</v>
      </c>
      <c r="B457" s="24" t="s">
        <v>1265</v>
      </c>
      <c r="C457" s="24" t="s">
        <v>1248</v>
      </c>
      <c r="D457" s="24" t="s">
        <v>1230</v>
      </c>
      <c r="E457" s="24" t="s">
        <v>1229</v>
      </c>
      <c r="F457" s="24" t="s">
        <v>128</v>
      </c>
      <c r="G457" s="24" t="s">
        <v>1257</v>
      </c>
      <c r="H457" s="26">
        <v>20</v>
      </c>
      <c r="I457" s="26">
        <v>2974.89</v>
      </c>
      <c r="J457" s="26">
        <v>59497.8</v>
      </c>
    </row>
    <row r="458" spans="1:10">
      <c r="A458" s="25">
        <v>45110</v>
      </c>
      <c r="B458" s="24" t="s">
        <v>1265</v>
      </c>
      <c r="C458" s="24" t="s">
        <v>1240</v>
      </c>
      <c r="D458" s="24" t="s">
        <v>1232</v>
      </c>
      <c r="E458" s="24" t="s">
        <v>1231</v>
      </c>
      <c r="F458" s="24" t="s">
        <v>128</v>
      </c>
      <c r="G458" s="24" t="s">
        <v>1273</v>
      </c>
      <c r="H458" s="26">
        <v>1</v>
      </c>
      <c r="I458" s="26">
        <v>1717.6</v>
      </c>
      <c r="J458" s="26">
        <v>1717.6</v>
      </c>
    </row>
    <row r="459" spans="1:10">
      <c r="A459" s="25">
        <v>44991</v>
      </c>
      <c r="B459" s="24" t="s">
        <v>1263</v>
      </c>
      <c r="C459" s="24" t="s">
        <v>1245</v>
      </c>
      <c r="D459" s="24" t="s">
        <v>1243</v>
      </c>
      <c r="E459" s="24" t="s">
        <v>1242</v>
      </c>
      <c r="F459" s="24" t="s">
        <v>132</v>
      </c>
      <c r="G459" s="24" t="s">
        <v>1279</v>
      </c>
      <c r="H459" s="26">
        <v>5</v>
      </c>
      <c r="I459" s="26">
        <v>2849.56</v>
      </c>
      <c r="J459" s="26">
        <v>14247.8</v>
      </c>
    </row>
    <row r="460" spans="1:10">
      <c r="A460" s="25">
        <v>45190</v>
      </c>
      <c r="B460" s="24" t="s">
        <v>1252</v>
      </c>
      <c r="C460" s="24" t="s">
        <v>1169</v>
      </c>
      <c r="D460" s="24" t="s">
        <v>1230</v>
      </c>
      <c r="E460" s="24" t="s">
        <v>1229</v>
      </c>
      <c r="F460" s="24" t="s">
        <v>145</v>
      </c>
      <c r="G460" s="24" t="s">
        <v>1255</v>
      </c>
      <c r="H460" s="26">
        <v>18</v>
      </c>
      <c r="I460" s="26">
        <v>4150.7700000000004</v>
      </c>
      <c r="J460" s="26">
        <v>74713.86</v>
      </c>
    </row>
    <row r="461" spans="1:10">
      <c r="A461" s="25">
        <v>45134</v>
      </c>
      <c r="B461" s="24" t="s">
        <v>1263</v>
      </c>
      <c r="C461" s="24" t="s">
        <v>1173</v>
      </c>
      <c r="D461" s="24" t="s">
        <v>1237</v>
      </c>
      <c r="E461" s="24" t="s">
        <v>1229</v>
      </c>
      <c r="F461" s="24" t="s">
        <v>145</v>
      </c>
      <c r="G461" s="24" t="s">
        <v>1278</v>
      </c>
      <c r="H461" s="26">
        <v>18</v>
      </c>
      <c r="I461" s="26">
        <v>2490.14</v>
      </c>
      <c r="J461" s="26">
        <v>44822.52</v>
      </c>
    </row>
    <row r="462" spans="1:10">
      <c r="A462" s="25">
        <v>44945</v>
      </c>
      <c r="B462" s="24" t="s">
        <v>1263</v>
      </c>
      <c r="C462" s="24" t="s">
        <v>1247</v>
      </c>
      <c r="D462" s="24" t="s">
        <v>1243</v>
      </c>
      <c r="E462" s="24" t="s">
        <v>1242</v>
      </c>
      <c r="F462" s="24" t="s">
        <v>145</v>
      </c>
      <c r="G462" s="24" t="s">
        <v>1255</v>
      </c>
      <c r="H462" s="26">
        <v>17</v>
      </c>
      <c r="I462" s="26">
        <v>500.54</v>
      </c>
      <c r="J462" s="26">
        <v>8509.18</v>
      </c>
    </row>
    <row r="463" spans="1:10">
      <c r="A463" s="25">
        <v>45091</v>
      </c>
      <c r="B463" s="24" t="s">
        <v>1269</v>
      </c>
      <c r="C463" s="24" t="s">
        <v>1244</v>
      </c>
      <c r="D463" s="24" t="s">
        <v>1243</v>
      </c>
      <c r="E463" s="24" t="s">
        <v>1242</v>
      </c>
      <c r="F463" s="24" t="s">
        <v>120</v>
      </c>
      <c r="G463" s="24" t="s">
        <v>1275</v>
      </c>
      <c r="H463" s="26">
        <v>19</v>
      </c>
      <c r="I463" s="26">
        <v>1067.94</v>
      </c>
      <c r="J463" s="26">
        <v>20290.86</v>
      </c>
    </row>
    <row r="464" spans="1:10">
      <c r="A464" s="25">
        <v>45244</v>
      </c>
      <c r="B464" s="24" t="s">
        <v>1269</v>
      </c>
      <c r="C464" s="24" t="s">
        <v>1238</v>
      </c>
      <c r="D464" s="24" t="s">
        <v>1235</v>
      </c>
      <c r="E464" s="24" t="s">
        <v>1231</v>
      </c>
      <c r="F464" s="24" t="s">
        <v>1249</v>
      </c>
      <c r="G464" s="24" t="s">
        <v>1270</v>
      </c>
      <c r="H464" s="26">
        <v>7</v>
      </c>
      <c r="I464" s="26">
        <v>2264.87</v>
      </c>
      <c r="J464" s="26">
        <v>15854.09</v>
      </c>
    </row>
    <row r="465" spans="1:10">
      <c r="A465" s="25">
        <v>44969</v>
      </c>
      <c r="B465" s="24" t="s">
        <v>1254</v>
      </c>
      <c r="C465" s="24" t="s">
        <v>1247</v>
      </c>
      <c r="D465" s="24" t="s">
        <v>1243</v>
      </c>
      <c r="E465" s="24" t="s">
        <v>1242</v>
      </c>
      <c r="F465" s="24" t="s">
        <v>1249</v>
      </c>
      <c r="G465" s="24" t="s">
        <v>1268</v>
      </c>
      <c r="H465" s="26">
        <v>18</v>
      </c>
      <c r="I465" s="26">
        <v>2584.0700000000002</v>
      </c>
      <c r="J465" s="26">
        <v>46513.26</v>
      </c>
    </row>
    <row r="466" spans="1:10">
      <c r="A466" s="25">
        <v>45091</v>
      </c>
      <c r="B466" s="24" t="s">
        <v>1269</v>
      </c>
      <c r="C466" s="24" t="s">
        <v>1241</v>
      </c>
      <c r="D466" s="24" t="s">
        <v>1235</v>
      </c>
      <c r="E466" s="24" t="s">
        <v>1231</v>
      </c>
      <c r="F466" s="24" t="s">
        <v>145</v>
      </c>
      <c r="G466" s="24" t="s">
        <v>1274</v>
      </c>
      <c r="H466" s="26">
        <v>13</v>
      </c>
      <c r="I466" s="26">
        <v>4621.13</v>
      </c>
      <c r="J466" s="26">
        <v>60074.69</v>
      </c>
    </row>
    <row r="467" spans="1:10">
      <c r="A467" s="25">
        <v>45181</v>
      </c>
      <c r="B467" s="24" t="s">
        <v>1254</v>
      </c>
      <c r="C467" s="24" t="s">
        <v>1247</v>
      </c>
      <c r="D467" s="24" t="s">
        <v>1243</v>
      </c>
      <c r="E467" s="24" t="s">
        <v>1242</v>
      </c>
      <c r="F467" s="24" t="s">
        <v>1249</v>
      </c>
      <c r="G467" s="24" t="s">
        <v>1259</v>
      </c>
      <c r="H467" s="26">
        <v>16</v>
      </c>
      <c r="I467" s="26">
        <v>4826.2</v>
      </c>
      <c r="J467" s="26">
        <v>77219.199999999997</v>
      </c>
    </row>
    <row r="468" spans="1:10">
      <c r="A468" s="25">
        <v>45082</v>
      </c>
      <c r="B468" s="24" t="s">
        <v>1260</v>
      </c>
      <c r="C468" s="24" t="s">
        <v>1236</v>
      </c>
      <c r="D468" s="24" t="s">
        <v>1235</v>
      </c>
      <c r="E468" s="24" t="s">
        <v>1231</v>
      </c>
      <c r="F468" s="24" t="s">
        <v>120</v>
      </c>
      <c r="G468" s="24" t="s">
        <v>1165</v>
      </c>
      <c r="H468" s="26">
        <v>5</v>
      </c>
      <c r="I468" s="26">
        <v>4773.5600000000004</v>
      </c>
      <c r="J468" s="26">
        <v>23867.8</v>
      </c>
    </row>
    <row r="469" spans="1:10">
      <c r="A469" s="25">
        <v>45075</v>
      </c>
      <c r="B469" s="24" t="s">
        <v>1269</v>
      </c>
      <c r="C469" s="24" t="s">
        <v>1240</v>
      </c>
      <c r="D469" s="24" t="s">
        <v>1232</v>
      </c>
      <c r="E469" s="24" t="s">
        <v>1231</v>
      </c>
      <c r="F469" s="24" t="s">
        <v>1249</v>
      </c>
      <c r="G469" s="24" t="s">
        <v>1270</v>
      </c>
      <c r="H469" s="26">
        <v>9</v>
      </c>
      <c r="I469" s="26">
        <v>3220.44</v>
      </c>
      <c r="J469" s="26">
        <v>28983.96</v>
      </c>
    </row>
    <row r="470" spans="1:10">
      <c r="A470" s="25">
        <v>44953</v>
      </c>
      <c r="B470" s="24" t="s">
        <v>1269</v>
      </c>
      <c r="C470" s="24" t="s">
        <v>1233</v>
      </c>
      <c r="D470" s="24" t="s">
        <v>1232</v>
      </c>
      <c r="E470" s="24" t="s">
        <v>1231</v>
      </c>
      <c r="F470" s="24" t="s">
        <v>1249</v>
      </c>
      <c r="G470" s="24" t="s">
        <v>1268</v>
      </c>
      <c r="H470" s="26">
        <v>15</v>
      </c>
      <c r="I470" s="26">
        <v>4945.79</v>
      </c>
      <c r="J470" s="26">
        <v>74186.850000000006</v>
      </c>
    </row>
    <row r="471" spans="1:10">
      <c r="A471" s="25">
        <v>44965</v>
      </c>
      <c r="B471" s="24" t="s">
        <v>1258</v>
      </c>
      <c r="C471" s="24" t="s">
        <v>1234</v>
      </c>
      <c r="D471" s="24" t="s">
        <v>1232</v>
      </c>
      <c r="E471" s="24" t="s">
        <v>1231</v>
      </c>
      <c r="F471" s="24" t="s">
        <v>128</v>
      </c>
      <c r="G471" s="24" t="s">
        <v>1273</v>
      </c>
      <c r="H471" s="26">
        <v>14</v>
      </c>
      <c r="I471" s="26">
        <v>2355.56</v>
      </c>
      <c r="J471" s="26">
        <v>32977.839999999997</v>
      </c>
    </row>
    <row r="472" spans="1:10">
      <c r="A472" s="25">
        <v>45277</v>
      </c>
      <c r="B472" s="24" t="s">
        <v>1254</v>
      </c>
      <c r="C472" s="24" t="s">
        <v>1248</v>
      </c>
      <c r="D472" s="24" t="s">
        <v>1230</v>
      </c>
      <c r="E472" s="24" t="s">
        <v>1229</v>
      </c>
      <c r="F472" s="24" t="s">
        <v>128</v>
      </c>
      <c r="G472" s="24" t="s">
        <v>1264</v>
      </c>
      <c r="H472" s="26">
        <v>4</v>
      </c>
      <c r="I472" s="26">
        <v>4412.41</v>
      </c>
      <c r="J472" s="26">
        <v>17649.64</v>
      </c>
    </row>
    <row r="473" spans="1:10">
      <c r="A473" s="25">
        <v>45011</v>
      </c>
      <c r="B473" s="24" t="s">
        <v>1265</v>
      </c>
      <c r="C473" s="24" t="s">
        <v>1244</v>
      </c>
      <c r="D473" s="24" t="s">
        <v>1243</v>
      </c>
      <c r="E473" s="24" t="s">
        <v>1242</v>
      </c>
      <c r="F473" s="24" t="s">
        <v>145</v>
      </c>
      <c r="G473" s="24" t="s">
        <v>1274</v>
      </c>
      <c r="H473" s="26">
        <v>5</v>
      </c>
      <c r="I473" s="26">
        <v>355.6</v>
      </c>
      <c r="J473" s="26">
        <v>1778</v>
      </c>
    </row>
    <row r="474" spans="1:10">
      <c r="A474" s="25">
        <v>45168</v>
      </c>
      <c r="B474" s="24" t="s">
        <v>1258</v>
      </c>
      <c r="C474" s="24" t="s">
        <v>1239</v>
      </c>
      <c r="D474" s="24" t="s">
        <v>1237</v>
      </c>
      <c r="E474" s="24" t="s">
        <v>1229</v>
      </c>
      <c r="F474" s="24" t="s">
        <v>120</v>
      </c>
      <c r="G474" s="24" t="s">
        <v>1164</v>
      </c>
      <c r="H474" s="26">
        <v>12</v>
      </c>
      <c r="I474" s="26">
        <v>4405.1899999999996</v>
      </c>
      <c r="J474" s="26">
        <v>52862.28</v>
      </c>
    </row>
    <row r="475" spans="1:10">
      <c r="A475" s="25">
        <v>45123</v>
      </c>
      <c r="B475" s="24" t="s">
        <v>1254</v>
      </c>
      <c r="C475" s="24" t="s">
        <v>1245</v>
      </c>
      <c r="D475" s="24" t="s">
        <v>1243</v>
      </c>
      <c r="E475" s="24" t="s">
        <v>1242</v>
      </c>
      <c r="F475" s="24" t="s">
        <v>1249</v>
      </c>
      <c r="G475" s="24" t="s">
        <v>1268</v>
      </c>
      <c r="H475" s="26">
        <v>9</v>
      </c>
      <c r="I475" s="26">
        <v>877.89</v>
      </c>
      <c r="J475" s="26">
        <v>7901.01</v>
      </c>
    </row>
    <row r="476" spans="1:10">
      <c r="A476" s="25">
        <v>45195</v>
      </c>
      <c r="B476" s="24" t="s">
        <v>1254</v>
      </c>
      <c r="C476" s="24" t="s">
        <v>1246</v>
      </c>
      <c r="D476" s="24" t="s">
        <v>1230</v>
      </c>
      <c r="E476" s="24" t="s">
        <v>1229</v>
      </c>
      <c r="F476" s="24" t="s">
        <v>128</v>
      </c>
      <c r="G476" s="24" t="s">
        <v>1264</v>
      </c>
      <c r="H476" s="26">
        <v>1</v>
      </c>
      <c r="I476" s="26">
        <v>2970.66</v>
      </c>
      <c r="J476" s="26">
        <v>2970.66</v>
      </c>
    </row>
    <row r="477" spans="1:10">
      <c r="A477" s="25">
        <v>44940</v>
      </c>
      <c r="B477" s="24" t="s">
        <v>1263</v>
      </c>
      <c r="C477" s="24" t="s">
        <v>1239</v>
      </c>
      <c r="D477" s="24" t="s">
        <v>1237</v>
      </c>
      <c r="E477" s="24" t="s">
        <v>1229</v>
      </c>
      <c r="F477" s="24" t="s">
        <v>132</v>
      </c>
      <c r="G477" s="24" t="s">
        <v>1277</v>
      </c>
      <c r="H477" s="26">
        <v>15</v>
      </c>
      <c r="I477" s="26">
        <v>3579.98</v>
      </c>
      <c r="J477" s="26">
        <v>53699.7</v>
      </c>
    </row>
    <row r="478" spans="1:10">
      <c r="A478" s="25">
        <v>45204</v>
      </c>
      <c r="B478" s="24" t="s">
        <v>1269</v>
      </c>
      <c r="C478" s="24" t="s">
        <v>1246</v>
      </c>
      <c r="D478" s="24" t="s">
        <v>1230</v>
      </c>
      <c r="E478" s="24" t="s">
        <v>1229</v>
      </c>
      <c r="F478" s="24" t="s">
        <v>120</v>
      </c>
      <c r="G478" s="24" t="s">
        <v>1165</v>
      </c>
      <c r="H478" s="26">
        <v>9</v>
      </c>
      <c r="I478" s="26">
        <v>1605.02</v>
      </c>
      <c r="J478" s="26">
        <v>14445.18</v>
      </c>
    </row>
    <row r="479" spans="1:10">
      <c r="A479" s="25">
        <v>45230</v>
      </c>
      <c r="B479" s="24" t="s">
        <v>1252</v>
      </c>
      <c r="C479" s="24" t="s">
        <v>1233</v>
      </c>
      <c r="D479" s="24" t="s">
        <v>1232</v>
      </c>
      <c r="E479" s="24" t="s">
        <v>1231</v>
      </c>
      <c r="F479" s="24" t="s">
        <v>120</v>
      </c>
      <c r="G479" s="24" t="s">
        <v>1164</v>
      </c>
      <c r="H479" s="26">
        <v>12</v>
      </c>
      <c r="I479" s="26">
        <v>1982.64</v>
      </c>
      <c r="J479" s="26">
        <v>23791.68</v>
      </c>
    </row>
    <row r="480" spans="1:10">
      <c r="A480" s="25">
        <v>45034</v>
      </c>
      <c r="B480" s="24" t="s">
        <v>1267</v>
      </c>
      <c r="C480" s="24" t="s">
        <v>1246</v>
      </c>
      <c r="D480" s="24" t="s">
        <v>1230</v>
      </c>
      <c r="E480" s="24" t="s">
        <v>1229</v>
      </c>
      <c r="F480" s="24" t="s">
        <v>145</v>
      </c>
      <c r="G480" s="24" t="s">
        <v>1278</v>
      </c>
      <c r="H480" s="26">
        <v>20</v>
      </c>
      <c r="I480" s="26">
        <v>3195.53</v>
      </c>
      <c r="J480" s="26">
        <v>63910.6</v>
      </c>
    </row>
    <row r="481" spans="1:10">
      <c r="A481" s="25">
        <v>45116</v>
      </c>
      <c r="B481" s="24" t="s">
        <v>1269</v>
      </c>
      <c r="C481" s="24" t="s">
        <v>1248</v>
      </c>
      <c r="D481" s="24" t="s">
        <v>1230</v>
      </c>
      <c r="E481" s="24" t="s">
        <v>1229</v>
      </c>
      <c r="F481" s="24" t="s">
        <v>1249</v>
      </c>
      <c r="G481" s="24" t="s">
        <v>1270</v>
      </c>
      <c r="H481" s="26">
        <v>20</v>
      </c>
      <c r="I481" s="26">
        <v>1580.59</v>
      </c>
      <c r="J481" s="26">
        <v>31611.8</v>
      </c>
    </row>
    <row r="482" spans="1:10">
      <c r="A482" s="25">
        <v>45224</v>
      </c>
      <c r="B482" s="24" t="s">
        <v>1258</v>
      </c>
      <c r="C482" s="24" t="s">
        <v>1238</v>
      </c>
      <c r="D482" s="24" t="s">
        <v>1235</v>
      </c>
      <c r="E482" s="24" t="s">
        <v>1231</v>
      </c>
      <c r="F482" s="24" t="s">
        <v>120</v>
      </c>
      <c r="G482" s="24" t="s">
        <v>1275</v>
      </c>
      <c r="H482" s="26">
        <v>6</v>
      </c>
      <c r="I482" s="26">
        <v>809.57</v>
      </c>
      <c r="J482" s="26">
        <v>4857.42</v>
      </c>
    </row>
    <row r="483" spans="1:10">
      <c r="A483" s="25">
        <v>44978</v>
      </c>
      <c r="B483" s="24" t="s">
        <v>1263</v>
      </c>
      <c r="C483" s="24" t="s">
        <v>1173</v>
      </c>
      <c r="D483" s="24" t="s">
        <v>1237</v>
      </c>
      <c r="E483" s="24" t="s">
        <v>1229</v>
      </c>
      <c r="F483" s="24" t="s">
        <v>145</v>
      </c>
      <c r="G483" s="24" t="s">
        <v>1261</v>
      </c>
      <c r="H483" s="26">
        <v>6</v>
      </c>
      <c r="I483" s="26">
        <v>1221.52</v>
      </c>
      <c r="J483" s="26">
        <v>7329.12</v>
      </c>
    </row>
    <row r="484" spans="1:10">
      <c r="A484" s="25">
        <v>45143</v>
      </c>
      <c r="B484" s="24" t="s">
        <v>1256</v>
      </c>
      <c r="C484" s="24" t="s">
        <v>1236</v>
      </c>
      <c r="D484" s="24" t="s">
        <v>1235</v>
      </c>
      <c r="E484" s="24" t="s">
        <v>1231</v>
      </c>
      <c r="F484" s="24" t="s">
        <v>132</v>
      </c>
      <c r="G484" s="24" t="s">
        <v>1253</v>
      </c>
      <c r="H484" s="26">
        <v>4</v>
      </c>
      <c r="I484" s="26">
        <v>2457.5</v>
      </c>
      <c r="J484" s="26">
        <v>9830</v>
      </c>
    </row>
    <row r="485" spans="1:10">
      <c r="A485" s="25">
        <v>45145</v>
      </c>
      <c r="B485" s="24" t="s">
        <v>1256</v>
      </c>
      <c r="C485" s="24" t="s">
        <v>1238</v>
      </c>
      <c r="D485" s="24" t="s">
        <v>1235</v>
      </c>
      <c r="E485" s="24" t="s">
        <v>1231</v>
      </c>
      <c r="F485" s="24" t="s">
        <v>145</v>
      </c>
      <c r="G485" s="24" t="s">
        <v>1278</v>
      </c>
      <c r="H485" s="26">
        <v>12</v>
      </c>
      <c r="I485" s="26">
        <v>2820.88</v>
      </c>
      <c r="J485" s="26">
        <v>33850.559999999998</v>
      </c>
    </row>
    <row r="486" spans="1:10">
      <c r="A486" s="25">
        <v>45054</v>
      </c>
      <c r="B486" s="24" t="s">
        <v>1267</v>
      </c>
      <c r="C486" s="24" t="s">
        <v>1171</v>
      </c>
      <c r="D486" s="24" t="s">
        <v>1237</v>
      </c>
      <c r="E486" s="24" t="s">
        <v>1229</v>
      </c>
      <c r="F486" s="24" t="s">
        <v>145</v>
      </c>
      <c r="G486" s="24" t="s">
        <v>1255</v>
      </c>
      <c r="H486" s="26">
        <v>10</v>
      </c>
      <c r="I486" s="26">
        <v>1512.64</v>
      </c>
      <c r="J486" s="26">
        <v>15126.4</v>
      </c>
    </row>
    <row r="487" spans="1:10">
      <c r="A487" s="25">
        <v>45034</v>
      </c>
      <c r="B487" s="24" t="s">
        <v>1262</v>
      </c>
      <c r="C487" s="24" t="s">
        <v>1244</v>
      </c>
      <c r="D487" s="24" t="s">
        <v>1243</v>
      </c>
      <c r="E487" s="24" t="s">
        <v>1242</v>
      </c>
      <c r="F487" s="24" t="s">
        <v>1249</v>
      </c>
      <c r="G487" s="24" t="s">
        <v>1259</v>
      </c>
      <c r="H487" s="26">
        <v>5</v>
      </c>
      <c r="I487" s="26">
        <v>3199.14</v>
      </c>
      <c r="J487" s="26">
        <v>15995.7</v>
      </c>
    </row>
    <row r="488" spans="1:10">
      <c r="A488" s="25">
        <v>45251</v>
      </c>
      <c r="B488" s="24" t="s">
        <v>1252</v>
      </c>
      <c r="C488" s="24" t="s">
        <v>1248</v>
      </c>
      <c r="D488" s="24" t="s">
        <v>1230</v>
      </c>
      <c r="E488" s="24" t="s">
        <v>1229</v>
      </c>
      <c r="F488" s="24" t="s">
        <v>120</v>
      </c>
      <c r="G488" s="24" t="s">
        <v>1276</v>
      </c>
      <c r="H488" s="26">
        <v>11</v>
      </c>
      <c r="I488" s="26">
        <v>4315</v>
      </c>
      <c r="J488" s="26">
        <v>47465</v>
      </c>
    </row>
    <row r="489" spans="1:10">
      <c r="A489" s="25">
        <v>45235</v>
      </c>
      <c r="B489" s="24" t="s">
        <v>1254</v>
      </c>
      <c r="C489" s="24" t="s">
        <v>1239</v>
      </c>
      <c r="D489" s="24" t="s">
        <v>1237</v>
      </c>
      <c r="E489" s="24" t="s">
        <v>1229</v>
      </c>
      <c r="F489" s="24" t="s">
        <v>1249</v>
      </c>
      <c r="G489" s="24" t="s">
        <v>1270</v>
      </c>
      <c r="H489" s="26">
        <v>9</v>
      </c>
      <c r="I489" s="26">
        <v>2118.17</v>
      </c>
      <c r="J489" s="26">
        <v>19063.53</v>
      </c>
    </row>
    <row r="490" spans="1:10">
      <c r="A490" s="25">
        <v>44930</v>
      </c>
      <c r="B490" s="24" t="s">
        <v>1269</v>
      </c>
      <c r="C490" s="24" t="s">
        <v>1244</v>
      </c>
      <c r="D490" s="24" t="s">
        <v>1243</v>
      </c>
      <c r="E490" s="24" t="s">
        <v>1242</v>
      </c>
      <c r="F490" s="24" t="s">
        <v>145</v>
      </c>
      <c r="G490" s="24" t="s">
        <v>1261</v>
      </c>
      <c r="H490" s="26">
        <v>18</v>
      </c>
      <c r="I490" s="26">
        <v>1042.99</v>
      </c>
      <c r="J490" s="26">
        <v>18773.82</v>
      </c>
    </row>
    <row r="491" spans="1:10">
      <c r="A491" s="25">
        <v>45247</v>
      </c>
      <c r="B491" s="24" t="s">
        <v>1254</v>
      </c>
      <c r="C491" s="24" t="s">
        <v>1247</v>
      </c>
      <c r="D491" s="24" t="s">
        <v>1243</v>
      </c>
      <c r="E491" s="24" t="s">
        <v>1242</v>
      </c>
      <c r="F491" s="24" t="s">
        <v>120</v>
      </c>
      <c r="G491" s="24" t="s">
        <v>1276</v>
      </c>
      <c r="H491" s="26">
        <v>6</v>
      </c>
      <c r="I491" s="26">
        <v>4707.38</v>
      </c>
      <c r="J491" s="26">
        <v>28244.28</v>
      </c>
    </row>
    <row r="492" spans="1:10">
      <c r="A492" s="25">
        <v>45246</v>
      </c>
      <c r="B492" s="24" t="s">
        <v>1260</v>
      </c>
      <c r="C492" s="24" t="s">
        <v>1239</v>
      </c>
      <c r="D492" s="24" t="s">
        <v>1237</v>
      </c>
      <c r="E492" s="24" t="s">
        <v>1229</v>
      </c>
      <c r="F492" s="24" t="s">
        <v>1249</v>
      </c>
      <c r="G492" s="24" t="s">
        <v>1270</v>
      </c>
      <c r="H492" s="26">
        <v>8</v>
      </c>
      <c r="I492" s="26">
        <v>360.87</v>
      </c>
      <c r="J492" s="26">
        <v>2886.96</v>
      </c>
    </row>
    <row r="493" spans="1:10">
      <c r="A493" s="25">
        <v>44965</v>
      </c>
      <c r="B493" s="24" t="s">
        <v>1258</v>
      </c>
      <c r="C493" s="24" t="s">
        <v>1233</v>
      </c>
      <c r="D493" s="24" t="s">
        <v>1232</v>
      </c>
      <c r="E493" s="24" t="s">
        <v>1231</v>
      </c>
      <c r="F493" s="24" t="s">
        <v>145</v>
      </c>
      <c r="G493" s="24" t="s">
        <v>1274</v>
      </c>
      <c r="H493" s="26">
        <v>12</v>
      </c>
      <c r="I493" s="26">
        <v>2519.65</v>
      </c>
      <c r="J493" s="26">
        <v>30235.8</v>
      </c>
    </row>
    <row r="494" spans="1:10">
      <c r="A494" s="25">
        <v>45116</v>
      </c>
      <c r="B494" s="24" t="s">
        <v>1256</v>
      </c>
      <c r="C494" s="24" t="s">
        <v>1244</v>
      </c>
      <c r="D494" s="24" t="s">
        <v>1243</v>
      </c>
      <c r="E494" s="24" t="s">
        <v>1242</v>
      </c>
      <c r="F494" s="24" t="s">
        <v>145</v>
      </c>
      <c r="G494" s="24" t="s">
        <v>1261</v>
      </c>
      <c r="H494" s="26">
        <v>7</v>
      </c>
      <c r="I494" s="26">
        <v>2861.67</v>
      </c>
      <c r="J494" s="26">
        <v>20031.689999999999</v>
      </c>
    </row>
    <row r="495" spans="1:10">
      <c r="A495" s="25">
        <v>45104</v>
      </c>
      <c r="B495" s="24" t="s">
        <v>1256</v>
      </c>
      <c r="C495" s="24" t="s">
        <v>1245</v>
      </c>
      <c r="D495" s="24" t="s">
        <v>1243</v>
      </c>
      <c r="E495" s="24" t="s">
        <v>1242</v>
      </c>
      <c r="F495" s="24" t="s">
        <v>1249</v>
      </c>
      <c r="G495" s="24" t="s">
        <v>1268</v>
      </c>
      <c r="H495" s="26">
        <v>11</v>
      </c>
      <c r="I495" s="26">
        <v>4896.83</v>
      </c>
      <c r="J495" s="26">
        <v>53865.13</v>
      </c>
    </row>
    <row r="496" spans="1:10">
      <c r="A496" s="25">
        <v>45091</v>
      </c>
      <c r="B496" s="24" t="s">
        <v>1254</v>
      </c>
      <c r="C496" s="24" t="s">
        <v>1248</v>
      </c>
      <c r="D496" s="24" t="s">
        <v>1230</v>
      </c>
      <c r="E496" s="24" t="s">
        <v>1229</v>
      </c>
      <c r="F496" s="24" t="s">
        <v>120</v>
      </c>
      <c r="G496" s="24" t="s">
        <v>1165</v>
      </c>
      <c r="H496" s="26">
        <v>15</v>
      </c>
      <c r="I496" s="26">
        <v>4180.6099999999997</v>
      </c>
      <c r="J496" s="26">
        <v>62709.15</v>
      </c>
    </row>
    <row r="497" spans="1:10">
      <c r="A497" s="25">
        <v>45271</v>
      </c>
      <c r="B497" s="24" t="s">
        <v>1262</v>
      </c>
      <c r="C497" s="24" t="s">
        <v>1247</v>
      </c>
      <c r="D497" s="24" t="s">
        <v>1243</v>
      </c>
      <c r="E497" s="24" t="s">
        <v>1242</v>
      </c>
      <c r="F497" s="24" t="s">
        <v>1249</v>
      </c>
      <c r="G497" s="24" t="s">
        <v>1259</v>
      </c>
      <c r="H497" s="26">
        <v>2</v>
      </c>
      <c r="I497" s="26">
        <v>3747.71</v>
      </c>
      <c r="J497" s="26">
        <v>7495.42</v>
      </c>
    </row>
    <row r="498" spans="1:10">
      <c r="A498" s="25">
        <v>45153</v>
      </c>
      <c r="B498" s="24" t="s">
        <v>1267</v>
      </c>
      <c r="C498" s="24" t="s">
        <v>1247</v>
      </c>
      <c r="D498" s="24" t="s">
        <v>1243</v>
      </c>
      <c r="E498" s="24" t="s">
        <v>1242</v>
      </c>
      <c r="F498" s="24" t="s">
        <v>145</v>
      </c>
      <c r="G498" s="24" t="s">
        <v>1274</v>
      </c>
      <c r="H498" s="26">
        <v>3</v>
      </c>
      <c r="I498" s="26">
        <v>2792.38</v>
      </c>
      <c r="J498" s="26">
        <v>8377.14</v>
      </c>
    </row>
    <row r="499" spans="1:10">
      <c r="A499" s="25">
        <v>45264</v>
      </c>
      <c r="B499" s="24" t="s">
        <v>1260</v>
      </c>
      <c r="C499" s="24" t="s">
        <v>1171</v>
      </c>
      <c r="D499" s="24" t="s">
        <v>1237</v>
      </c>
      <c r="E499" s="24" t="s">
        <v>1229</v>
      </c>
      <c r="F499" s="24" t="s">
        <v>120</v>
      </c>
      <c r="G499" s="24" t="s">
        <v>1165</v>
      </c>
      <c r="H499" s="26">
        <v>17</v>
      </c>
      <c r="I499" s="26">
        <v>683.31</v>
      </c>
      <c r="J499" s="26">
        <v>11616.27</v>
      </c>
    </row>
    <row r="500" spans="1:10">
      <c r="A500" s="25">
        <v>44929</v>
      </c>
      <c r="B500" s="24" t="s">
        <v>1262</v>
      </c>
      <c r="C500" s="24" t="s">
        <v>1245</v>
      </c>
      <c r="D500" s="24" t="s">
        <v>1243</v>
      </c>
      <c r="E500" s="24" t="s">
        <v>1242</v>
      </c>
      <c r="F500" s="24" t="s">
        <v>128</v>
      </c>
      <c r="G500" s="24" t="s">
        <v>1266</v>
      </c>
      <c r="H500" s="26">
        <v>20</v>
      </c>
      <c r="I500" s="26">
        <v>3463.6</v>
      </c>
      <c r="J500" s="26">
        <v>69272</v>
      </c>
    </row>
    <row r="501" spans="1:10">
      <c r="A501" s="25">
        <v>45183</v>
      </c>
      <c r="B501" s="24" t="s">
        <v>1258</v>
      </c>
      <c r="C501" s="24" t="s">
        <v>1236</v>
      </c>
      <c r="D501" s="24" t="s">
        <v>1235</v>
      </c>
      <c r="E501" s="24" t="s">
        <v>1231</v>
      </c>
      <c r="F501" s="24" t="s">
        <v>145</v>
      </c>
      <c r="G501" s="24" t="s">
        <v>1278</v>
      </c>
      <c r="H501" s="26">
        <v>9</v>
      </c>
      <c r="I501" s="26">
        <v>1609.98</v>
      </c>
      <c r="J501" s="26">
        <v>14489.82</v>
      </c>
    </row>
    <row r="502" spans="1:10">
      <c r="A502" s="25">
        <v>45113</v>
      </c>
      <c r="B502" s="24" t="s">
        <v>1254</v>
      </c>
      <c r="C502" s="24" t="s">
        <v>1171</v>
      </c>
      <c r="D502" s="24" t="s">
        <v>1237</v>
      </c>
      <c r="E502" s="24" t="s">
        <v>1229</v>
      </c>
      <c r="F502" s="24" t="s">
        <v>145</v>
      </c>
      <c r="G502" s="24" t="s">
        <v>1274</v>
      </c>
      <c r="H502" s="26">
        <v>4</v>
      </c>
      <c r="I502" s="26">
        <v>2836.34</v>
      </c>
      <c r="J502" s="26">
        <v>11345.36</v>
      </c>
    </row>
    <row r="503" spans="1:10">
      <c r="A503" s="25">
        <v>44956</v>
      </c>
      <c r="B503" s="24" t="s">
        <v>1265</v>
      </c>
      <c r="C503" s="24" t="s">
        <v>1248</v>
      </c>
      <c r="D503" s="24" t="s">
        <v>1230</v>
      </c>
      <c r="E503" s="24" t="s">
        <v>1229</v>
      </c>
      <c r="F503" s="24" t="s">
        <v>120</v>
      </c>
      <c r="G503" s="24" t="s">
        <v>1275</v>
      </c>
      <c r="H503" s="26">
        <v>18</v>
      </c>
      <c r="I503" s="26">
        <v>3238.98</v>
      </c>
      <c r="J503" s="26">
        <v>58301.64</v>
      </c>
    </row>
    <row r="504" spans="1:10">
      <c r="A504" s="25">
        <v>45152</v>
      </c>
      <c r="B504" s="24" t="s">
        <v>1258</v>
      </c>
      <c r="C504" s="24" t="s">
        <v>1236</v>
      </c>
      <c r="D504" s="24" t="s">
        <v>1235</v>
      </c>
      <c r="E504" s="24" t="s">
        <v>1231</v>
      </c>
      <c r="F504" s="24" t="s">
        <v>132</v>
      </c>
      <c r="G504" s="24" t="s">
        <v>1277</v>
      </c>
      <c r="H504" s="26">
        <v>20</v>
      </c>
      <c r="I504" s="26">
        <v>2791.25</v>
      </c>
      <c r="J504" s="26">
        <v>55825</v>
      </c>
    </row>
    <row r="505" spans="1:10">
      <c r="A505" s="25">
        <v>45276</v>
      </c>
      <c r="B505" s="24" t="s">
        <v>1254</v>
      </c>
      <c r="C505" s="24" t="s">
        <v>1169</v>
      </c>
      <c r="D505" s="24" t="s">
        <v>1230</v>
      </c>
      <c r="E505" s="24" t="s">
        <v>1229</v>
      </c>
      <c r="F505" s="24" t="s">
        <v>128</v>
      </c>
      <c r="G505" s="24" t="s">
        <v>1257</v>
      </c>
      <c r="H505" s="26">
        <v>1</v>
      </c>
      <c r="I505" s="26">
        <v>3165.04</v>
      </c>
      <c r="J505" s="26">
        <v>3165.04</v>
      </c>
    </row>
    <row r="506" spans="1:10">
      <c r="A506" s="25">
        <v>45206</v>
      </c>
      <c r="B506" s="24" t="s">
        <v>1254</v>
      </c>
      <c r="C506" s="24" t="s">
        <v>1239</v>
      </c>
      <c r="D506" s="24" t="s">
        <v>1237</v>
      </c>
      <c r="E506" s="24" t="s">
        <v>1229</v>
      </c>
      <c r="F506" s="24" t="s">
        <v>145</v>
      </c>
      <c r="G506" s="24" t="s">
        <v>1255</v>
      </c>
      <c r="H506" s="26">
        <v>14</v>
      </c>
      <c r="I506" s="26">
        <v>3414.59</v>
      </c>
      <c r="J506" s="26">
        <v>47804.26</v>
      </c>
    </row>
    <row r="507" spans="1:10">
      <c r="A507" s="25">
        <v>45210</v>
      </c>
      <c r="B507" s="24" t="s">
        <v>1263</v>
      </c>
      <c r="C507" s="24" t="s">
        <v>1173</v>
      </c>
      <c r="D507" s="24" t="s">
        <v>1237</v>
      </c>
      <c r="E507" s="24" t="s">
        <v>1229</v>
      </c>
      <c r="F507" s="24" t="s">
        <v>120</v>
      </c>
      <c r="G507" s="24" t="s">
        <v>1275</v>
      </c>
      <c r="H507" s="26">
        <v>4</v>
      </c>
      <c r="I507" s="26">
        <v>3896.69</v>
      </c>
      <c r="J507" s="26">
        <v>15586.76</v>
      </c>
    </row>
    <row r="508" spans="1:10">
      <c r="A508" s="25">
        <v>45165</v>
      </c>
      <c r="B508" s="24" t="s">
        <v>1258</v>
      </c>
      <c r="C508" s="24" t="s">
        <v>1240</v>
      </c>
      <c r="D508" s="24" t="s">
        <v>1232</v>
      </c>
      <c r="E508" s="24" t="s">
        <v>1231</v>
      </c>
      <c r="F508" s="24" t="s">
        <v>128</v>
      </c>
      <c r="G508" s="24" t="s">
        <v>1273</v>
      </c>
      <c r="H508" s="26">
        <v>5</v>
      </c>
      <c r="I508" s="26">
        <v>2024.36</v>
      </c>
      <c r="J508" s="26">
        <v>10121.799999999999</v>
      </c>
    </row>
    <row r="509" spans="1:10">
      <c r="A509" s="25">
        <v>45148</v>
      </c>
      <c r="B509" s="24" t="s">
        <v>1260</v>
      </c>
      <c r="C509" s="24" t="s">
        <v>1244</v>
      </c>
      <c r="D509" s="24" t="s">
        <v>1243</v>
      </c>
      <c r="E509" s="24" t="s">
        <v>1242</v>
      </c>
      <c r="F509" s="24" t="s">
        <v>128</v>
      </c>
      <c r="G509" s="24" t="s">
        <v>1257</v>
      </c>
      <c r="H509" s="26">
        <v>17</v>
      </c>
      <c r="I509" s="26">
        <v>102.62</v>
      </c>
      <c r="J509" s="26">
        <v>1744.54</v>
      </c>
    </row>
    <row r="510" spans="1:10">
      <c r="A510" s="25">
        <v>44985</v>
      </c>
      <c r="B510" s="24" t="s">
        <v>1258</v>
      </c>
      <c r="C510" s="24" t="s">
        <v>1169</v>
      </c>
      <c r="D510" s="24" t="s">
        <v>1230</v>
      </c>
      <c r="E510" s="24" t="s">
        <v>1229</v>
      </c>
      <c r="F510" s="24" t="s">
        <v>145</v>
      </c>
      <c r="G510" s="24" t="s">
        <v>1255</v>
      </c>
      <c r="H510" s="26">
        <v>7</v>
      </c>
      <c r="I510" s="26">
        <v>146.52000000000001</v>
      </c>
      <c r="J510" s="26">
        <v>1025.6400000000001</v>
      </c>
    </row>
    <row r="511" spans="1:10">
      <c r="A511" s="25">
        <v>45273</v>
      </c>
      <c r="B511" s="24" t="s">
        <v>1260</v>
      </c>
      <c r="C511" s="24" t="s">
        <v>1244</v>
      </c>
      <c r="D511" s="24" t="s">
        <v>1243</v>
      </c>
      <c r="E511" s="24" t="s">
        <v>1242</v>
      </c>
      <c r="F511" s="24" t="s">
        <v>132</v>
      </c>
      <c r="G511" s="24" t="s">
        <v>1277</v>
      </c>
      <c r="H511" s="26">
        <v>2</v>
      </c>
      <c r="I511" s="26">
        <v>4248</v>
      </c>
      <c r="J511" s="26">
        <v>8496</v>
      </c>
    </row>
    <row r="512" spans="1:10">
      <c r="A512" s="25">
        <v>44986</v>
      </c>
      <c r="B512" s="24" t="s">
        <v>1269</v>
      </c>
      <c r="C512" s="24" t="s">
        <v>1239</v>
      </c>
      <c r="D512" s="24" t="s">
        <v>1237</v>
      </c>
      <c r="E512" s="24" t="s">
        <v>1229</v>
      </c>
      <c r="F512" s="24" t="s">
        <v>128</v>
      </c>
      <c r="G512" s="24" t="s">
        <v>1257</v>
      </c>
      <c r="H512" s="26">
        <v>8</v>
      </c>
      <c r="I512" s="26">
        <v>3075.58</v>
      </c>
      <c r="J512" s="26">
        <v>24604.639999999999</v>
      </c>
    </row>
    <row r="513" spans="1:10">
      <c r="A513" s="25">
        <v>44985</v>
      </c>
      <c r="B513" s="24" t="s">
        <v>1262</v>
      </c>
      <c r="C513" s="24" t="s">
        <v>1245</v>
      </c>
      <c r="D513" s="24" t="s">
        <v>1243</v>
      </c>
      <c r="E513" s="24" t="s">
        <v>1242</v>
      </c>
      <c r="F513" s="24" t="s">
        <v>1249</v>
      </c>
      <c r="G513" s="24" t="s">
        <v>1259</v>
      </c>
      <c r="H513" s="26">
        <v>13</v>
      </c>
      <c r="I513" s="26">
        <v>1246.1400000000001</v>
      </c>
      <c r="J513" s="26">
        <v>16199.82</v>
      </c>
    </row>
    <row r="514" spans="1:10">
      <c r="A514" s="25">
        <v>45171</v>
      </c>
      <c r="B514" s="24" t="s">
        <v>1267</v>
      </c>
      <c r="C514" s="24" t="s">
        <v>1234</v>
      </c>
      <c r="D514" s="24" t="s">
        <v>1232</v>
      </c>
      <c r="E514" s="24" t="s">
        <v>1231</v>
      </c>
      <c r="F514" s="24" t="s">
        <v>120</v>
      </c>
      <c r="G514" s="24" t="s">
        <v>1164</v>
      </c>
      <c r="H514" s="26">
        <v>16</v>
      </c>
      <c r="I514" s="26">
        <v>3942.95</v>
      </c>
      <c r="J514" s="26">
        <v>63087.199999999997</v>
      </c>
    </row>
    <row r="515" spans="1:10">
      <c r="A515" s="25">
        <v>44996</v>
      </c>
      <c r="B515" s="24" t="s">
        <v>1269</v>
      </c>
      <c r="C515" s="24" t="s">
        <v>1245</v>
      </c>
      <c r="D515" s="24" t="s">
        <v>1243</v>
      </c>
      <c r="E515" s="24" t="s">
        <v>1242</v>
      </c>
      <c r="F515" s="24" t="s">
        <v>145</v>
      </c>
      <c r="G515" s="24" t="s">
        <v>1278</v>
      </c>
      <c r="H515" s="26">
        <v>1</v>
      </c>
      <c r="I515" s="26">
        <v>936.56</v>
      </c>
      <c r="J515" s="26">
        <v>936.56</v>
      </c>
    </row>
    <row r="516" spans="1:10">
      <c r="A516" s="25">
        <v>45243</v>
      </c>
      <c r="B516" s="24" t="s">
        <v>1263</v>
      </c>
      <c r="C516" s="24" t="s">
        <v>1244</v>
      </c>
      <c r="D516" s="24" t="s">
        <v>1243</v>
      </c>
      <c r="E516" s="24" t="s">
        <v>1242</v>
      </c>
      <c r="F516" s="24" t="s">
        <v>128</v>
      </c>
      <c r="G516" s="24" t="s">
        <v>1257</v>
      </c>
      <c r="H516" s="26">
        <v>7</v>
      </c>
      <c r="I516" s="26">
        <v>1628.68</v>
      </c>
      <c r="J516" s="26">
        <v>11400.76</v>
      </c>
    </row>
    <row r="517" spans="1:10">
      <c r="A517" s="25">
        <v>45138</v>
      </c>
      <c r="B517" s="24" t="s">
        <v>1265</v>
      </c>
      <c r="C517" s="24" t="s">
        <v>1169</v>
      </c>
      <c r="D517" s="24" t="s">
        <v>1230</v>
      </c>
      <c r="E517" s="24" t="s">
        <v>1229</v>
      </c>
      <c r="F517" s="24" t="s">
        <v>145</v>
      </c>
      <c r="G517" s="24" t="s">
        <v>1261</v>
      </c>
      <c r="H517" s="26">
        <v>10</v>
      </c>
      <c r="I517" s="26">
        <v>3400.28</v>
      </c>
      <c r="J517" s="26">
        <v>34002.800000000003</v>
      </c>
    </row>
    <row r="518" spans="1:10">
      <c r="A518" s="25">
        <v>45022</v>
      </c>
      <c r="B518" s="24" t="s">
        <v>1260</v>
      </c>
      <c r="C518" s="24" t="s">
        <v>1238</v>
      </c>
      <c r="D518" s="24" t="s">
        <v>1235</v>
      </c>
      <c r="E518" s="24" t="s">
        <v>1231</v>
      </c>
      <c r="F518" s="24" t="s">
        <v>145</v>
      </c>
      <c r="G518" s="24" t="s">
        <v>1274</v>
      </c>
      <c r="H518" s="26">
        <v>18</v>
      </c>
      <c r="I518" s="26">
        <v>2722.99</v>
      </c>
      <c r="J518" s="26">
        <v>49013.82</v>
      </c>
    </row>
    <row r="519" spans="1:10">
      <c r="A519" s="25">
        <v>45052</v>
      </c>
      <c r="B519" s="24" t="s">
        <v>1256</v>
      </c>
      <c r="C519" s="24" t="s">
        <v>1241</v>
      </c>
      <c r="D519" s="24" t="s">
        <v>1235</v>
      </c>
      <c r="E519" s="24" t="s">
        <v>1231</v>
      </c>
      <c r="F519" s="24" t="s">
        <v>1249</v>
      </c>
      <c r="G519" s="24" t="s">
        <v>1270</v>
      </c>
      <c r="H519" s="26">
        <v>8</v>
      </c>
      <c r="I519" s="26">
        <v>4612.53</v>
      </c>
      <c r="J519" s="26">
        <v>36900.239999999998</v>
      </c>
    </row>
    <row r="520" spans="1:10">
      <c r="A520" s="25">
        <v>45065</v>
      </c>
      <c r="B520" s="24" t="s">
        <v>1260</v>
      </c>
      <c r="C520" s="24" t="s">
        <v>1239</v>
      </c>
      <c r="D520" s="24" t="s">
        <v>1237</v>
      </c>
      <c r="E520" s="24" t="s">
        <v>1229</v>
      </c>
      <c r="F520" s="24" t="s">
        <v>1249</v>
      </c>
      <c r="G520" s="24" t="s">
        <v>1259</v>
      </c>
      <c r="H520" s="26">
        <v>13</v>
      </c>
      <c r="I520" s="26">
        <v>2040.1</v>
      </c>
      <c r="J520" s="26">
        <v>26521.3</v>
      </c>
    </row>
    <row r="521" spans="1:10">
      <c r="A521" s="25">
        <v>45037</v>
      </c>
      <c r="B521" s="24" t="s">
        <v>1262</v>
      </c>
      <c r="C521" s="24" t="s">
        <v>1238</v>
      </c>
      <c r="D521" s="24" t="s">
        <v>1235</v>
      </c>
      <c r="E521" s="24" t="s">
        <v>1231</v>
      </c>
      <c r="F521" s="24" t="s">
        <v>120</v>
      </c>
      <c r="G521" s="24" t="s">
        <v>1276</v>
      </c>
      <c r="H521" s="26">
        <v>17</v>
      </c>
      <c r="I521" s="26">
        <v>1122.98</v>
      </c>
      <c r="J521" s="26">
        <v>19090.66</v>
      </c>
    </row>
    <row r="522" spans="1:10">
      <c r="A522" s="25">
        <v>45234</v>
      </c>
      <c r="B522" s="24" t="s">
        <v>1258</v>
      </c>
      <c r="C522" s="24" t="s">
        <v>1239</v>
      </c>
      <c r="D522" s="24" t="s">
        <v>1237</v>
      </c>
      <c r="E522" s="24" t="s">
        <v>1229</v>
      </c>
      <c r="F522" s="24" t="s">
        <v>1249</v>
      </c>
      <c r="G522" s="24" t="s">
        <v>1259</v>
      </c>
      <c r="H522" s="26">
        <v>16</v>
      </c>
      <c r="I522" s="26">
        <v>2458.6</v>
      </c>
      <c r="J522" s="26">
        <v>39337.599999999999</v>
      </c>
    </row>
    <row r="523" spans="1:10">
      <c r="A523" s="25">
        <v>45197</v>
      </c>
      <c r="B523" s="24" t="s">
        <v>1269</v>
      </c>
      <c r="C523" s="24" t="s">
        <v>1239</v>
      </c>
      <c r="D523" s="24" t="s">
        <v>1237</v>
      </c>
      <c r="E523" s="24" t="s">
        <v>1229</v>
      </c>
      <c r="F523" s="24" t="s">
        <v>132</v>
      </c>
      <c r="G523" s="24" t="s">
        <v>1271</v>
      </c>
      <c r="H523" s="26">
        <v>9</v>
      </c>
      <c r="I523" s="26">
        <v>3195.18</v>
      </c>
      <c r="J523" s="26">
        <v>28756.62</v>
      </c>
    </row>
    <row r="524" spans="1:10">
      <c r="A524" s="25">
        <v>45203</v>
      </c>
      <c r="B524" s="24" t="s">
        <v>1258</v>
      </c>
      <c r="C524" s="24" t="s">
        <v>1234</v>
      </c>
      <c r="D524" s="24" t="s">
        <v>1232</v>
      </c>
      <c r="E524" s="24" t="s">
        <v>1231</v>
      </c>
      <c r="F524" s="24" t="s">
        <v>132</v>
      </c>
      <c r="G524" s="24" t="s">
        <v>1277</v>
      </c>
      <c r="H524" s="26">
        <v>3</v>
      </c>
      <c r="I524" s="26">
        <v>384.96</v>
      </c>
      <c r="J524" s="26">
        <v>1154.8800000000001</v>
      </c>
    </row>
    <row r="525" spans="1:10">
      <c r="A525" s="25">
        <v>44980</v>
      </c>
      <c r="B525" s="24" t="s">
        <v>1263</v>
      </c>
      <c r="C525" s="24" t="s">
        <v>1239</v>
      </c>
      <c r="D525" s="24" t="s">
        <v>1237</v>
      </c>
      <c r="E525" s="24" t="s">
        <v>1229</v>
      </c>
      <c r="F525" s="24" t="s">
        <v>1249</v>
      </c>
      <c r="G525" s="24" t="s">
        <v>1268</v>
      </c>
      <c r="H525" s="26">
        <v>4</v>
      </c>
      <c r="I525" s="26">
        <v>3714.59</v>
      </c>
      <c r="J525" s="26">
        <v>14858.36</v>
      </c>
    </row>
    <row r="526" spans="1:10">
      <c r="A526" s="25">
        <v>45096</v>
      </c>
      <c r="B526" s="24" t="s">
        <v>1269</v>
      </c>
      <c r="C526" s="24" t="s">
        <v>1241</v>
      </c>
      <c r="D526" s="24" t="s">
        <v>1235</v>
      </c>
      <c r="E526" s="24" t="s">
        <v>1231</v>
      </c>
      <c r="F526" s="24" t="s">
        <v>1249</v>
      </c>
      <c r="G526" s="24" t="s">
        <v>1272</v>
      </c>
      <c r="H526" s="26">
        <v>9</v>
      </c>
      <c r="I526" s="26">
        <v>1765.86</v>
      </c>
      <c r="J526" s="26">
        <v>15892.74</v>
      </c>
    </row>
    <row r="527" spans="1:10">
      <c r="A527" s="25">
        <v>45114</v>
      </c>
      <c r="B527" s="24" t="s">
        <v>1252</v>
      </c>
      <c r="C527" s="24" t="s">
        <v>1248</v>
      </c>
      <c r="D527" s="24" t="s">
        <v>1230</v>
      </c>
      <c r="E527" s="24" t="s">
        <v>1229</v>
      </c>
      <c r="F527" s="24" t="s">
        <v>1249</v>
      </c>
      <c r="G527" s="24" t="s">
        <v>1268</v>
      </c>
      <c r="H527" s="26">
        <v>8</v>
      </c>
      <c r="I527" s="26">
        <v>3069.86</v>
      </c>
      <c r="J527" s="26">
        <v>24558.880000000001</v>
      </c>
    </row>
    <row r="528" spans="1:10">
      <c r="A528" s="25">
        <v>45157</v>
      </c>
      <c r="B528" s="24" t="s">
        <v>1265</v>
      </c>
      <c r="C528" s="24" t="s">
        <v>1247</v>
      </c>
      <c r="D528" s="24" t="s">
        <v>1243</v>
      </c>
      <c r="E528" s="24" t="s">
        <v>1242</v>
      </c>
      <c r="F528" s="24" t="s">
        <v>132</v>
      </c>
      <c r="G528" s="24" t="s">
        <v>1253</v>
      </c>
      <c r="H528" s="26">
        <v>9</v>
      </c>
      <c r="I528" s="26">
        <v>1720.47</v>
      </c>
      <c r="J528" s="26">
        <v>15484.23</v>
      </c>
    </row>
    <row r="529" spans="1:10">
      <c r="A529" s="25">
        <v>45125</v>
      </c>
      <c r="B529" s="24" t="s">
        <v>1260</v>
      </c>
      <c r="C529" s="24" t="s">
        <v>1236</v>
      </c>
      <c r="D529" s="24" t="s">
        <v>1235</v>
      </c>
      <c r="E529" s="24" t="s">
        <v>1231</v>
      </c>
      <c r="F529" s="24" t="s">
        <v>128</v>
      </c>
      <c r="G529" s="24" t="s">
        <v>1264</v>
      </c>
      <c r="H529" s="26">
        <v>7</v>
      </c>
      <c r="I529" s="26">
        <v>3416.74</v>
      </c>
      <c r="J529" s="26">
        <v>23917.18</v>
      </c>
    </row>
    <row r="530" spans="1:10">
      <c r="A530" s="25">
        <v>45186</v>
      </c>
      <c r="B530" s="24" t="s">
        <v>1265</v>
      </c>
      <c r="C530" s="24" t="s">
        <v>1236</v>
      </c>
      <c r="D530" s="24" t="s">
        <v>1235</v>
      </c>
      <c r="E530" s="24" t="s">
        <v>1231</v>
      </c>
      <c r="F530" s="24" t="s">
        <v>132</v>
      </c>
      <c r="G530" s="24" t="s">
        <v>1253</v>
      </c>
      <c r="H530" s="26">
        <v>7</v>
      </c>
      <c r="I530" s="26">
        <v>4741.12</v>
      </c>
      <c r="J530" s="26">
        <v>33187.839999999997</v>
      </c>
    </row>
    <row r="531" spans="1:10">
      <c r="A531" s="25">
        <v>45087</v>
      </c>
      <c r="B531" s="24" t="s">
        <v>1267</v>
      </c>
      <c r="C531" s="24" t="s">
        <v>1247</v>
      </c>
      <c r="D531" s="24" t="s">
        <v>1243</v>
      </c>
      <c r="E531" s="24" t="s">
        <v>1242</v>
      </c>
      <c r="F531" s="24" t="s">
        <v>128</v>
      </c>
      <c r="G531" s="24" t="s">
        <v>1266</v>
      </c>
      <c r="H531" s="26">
        <v>20</v>
      </c>
      <c r="I531" s="26">
        <v>2721.24</v>
      </c>
      <c r="J531" s="26">
        <v>54424.800000000003</v>
      </c>
    </row>
    <row r="532" spans="1:10">
      <c r="A532" s="25">
        <v>45131</v>
      </c>
      <c r="B532" s="24" t="s">
        <v>1263</v>
      </c>
      <c r="C532" s="24" t="s">
        <v>1248</v>
      </c>
      <c r="D532" s="24" t="s">
        <v>1230</v>
      </c>
      <c r="E532" s="24" t="s">
        <v>1229</v>
      </c>
      <c r="F532" s="24" t="s">
        <v>120</v>
      </c>
      <c r="G532" s="24" t="s">
        <v>1165</v>
      </c>
      <c r="H532" s="26">
        <v>4</v>
      </c>
      <c r="I532" s="26">
        <v>3751.49</v>
      </c>
      <c r="J532" s="26">
        <v>15005.96</v>
      </c>
    </row>
    <row r="533" spans="1:10">
      <c r="A533" s="25">
        <v>45037</v>
      </c>
      <c r="B533" s="24" t="s">
        <v>1269</v>
      </c>
      <c r="C533" s="24" t="s">
        <v>1238</v>
      </c>
      <c r="D533" s="24" t="s">
        <v>1235</v>
      </c>
      <c r="E533" s="24" t="s">
        <v>1231</v>
      </c>
      <c r="F533" s="24" t="s">
        <v>128</v>
      </c>
      <c r="G533" s="24" t="s">
        <v>1273</v>
      </c>
      <c r="H533" s="26">
        <v>19</v>
      </c>
      <c r="I533" s="26">
        <v>4513.6000000000004</v>
      </c>
      <c r="J533" s="26">
        <v>85758.399999999994</v>
      </c>
    </row>
    <row r="534" spans="1:10">
      <c r="A534" s="25">
        <v>44937</v>
      </c>
      <c r="B534" s="24" t="s">
        <v>1267</v>
      </c>
      <c r="C534" s="24" t="s">
        <v>1234</v>
      </c>
      <c r="D534" s="24" t="s">
        <v>1232</v>
      </c>
      <c r="E534" s="24" t="s">
        <v>1231</v>
      </c>
      <c r="F534" s="24" t="s">
        <v>132</v>
      </c>
      <c r="G534" s="24" t="s">
        <v>1279</v>
      </c>
      <c r="H534" s="26">
        <v>11</v>
      </c>
      <c r="I534" s="26">
        <v>3514.12</v>
      </c>
      <c r="J534" s="26">
        <v>38655.32</v>
      </c>
    </row>
    <row r="535" spans="1:10">
      <c r="A535" s="25">
        <v>45273</v>
      </c>
      <c r="B535" s="24" t="s">
        <v>1265</v>
      </c>
      <c r="C535" s="24" t="s">
        <v>1236</v>
      </c>
      <c r="D535" s="24" t="s">
        <v>1235</v>
      </c>
      <c r="E535" s="24" t="s">
        <v>1231</v>
      </c>
      <c r="F535" s="24" t="s">
        <v>132</v>
      </c>
      <c r="G535" s="24" t="s">
        <v>1271</v>
      </c>
      <c r="H535" s="26">
        <v>13</v>
      </c>
      <c r="I535" s="26">
        <v>2109.15</v>
      </c>
      <c r="J535" s="26">
        <v>27418.95</v>
      </c>
    </row>
    <row r="536" spans="1:10">
      <c r="A536" s="25">
        <v>44985</v>
      </c>
      <c r="B536" s="24" t="s">
        <v>1254</v>
      </c>
      <c r="C536" s="24" t="s">
        <v>1234</v>
      </c>
      <c r="D536" s="24" t="s">
        <v>1232</v>
      </c>
      <c r="E536" s="24" t="s">
        <v>1231</v>
      </c>
      <c r="F536" s="24" t="s">
        <v>128</v>
      </c>
      <c r="G536" s="24" t="s">
        <v>1264</v>
      </c>
      <c r="H536" s="26">
        <v>16</v>
      </c>
      <c r="I536" s="26">
        <v>4090.26</v>
      </c>
      <c r="J536" s="26">
        <v>65444.160000000003</v>
      </c>
    </row>
    <row r="537" spans="1:10">
      <c r="A537" s="25">
        <v>45132</v>
      </c>
      <c r="B537" s="24" t="s">
        <v>1256</v>
      </c>
      <c r="C537" s="24" t="s">
        <v>1246</v>
      </c>
      <c r="D537" s="24" t="s">
        <v>1230</v>
      </c>
      <c r="E537" s="24" t="s">
        <v>1229</v>
      </c>
      <c r="F537" s="24" t="s">
        <v>128</v>
      </c>
      <c r="G537" s="24" t="s">
        <v>1266</v>
      </c>
      <c r="H537" s="26">
        <v>12</v>
      </c>
      <c r="I537" s="26">
        <v>219.32</v>
      </c>
      <c r="J537" s="26">
        <v>2631.84</v>
      </c>
    </row>
    <row r="538" spans="1:10">
      <c r="A538" s="25">
        <v>45277</v>
      </c>
      <c r="B538" s="24" t="s">
        <v>1252</v>
      </c>
      <c r="C538" s="24" t="s">
        <v>1247</v>
      </c>
      <c r="D538" s="24" t="s">
        <v>1243</v>
      </c>
      <c r="E538" s="24" t="s">
        <v>1242</v>
      </c>
      <c r="F538" s="24" t="s">
        <v>145</v>
      </c>
      <c r="G538" s="24" t="s">
        <v>1274</v>
      </c>
      <c r="H538" s="26">
        <v>14</v>
      </c>
      <c r="I538" s="26">
        <v>264.77</v>
      </c>
      <c r="J538" s="26">
        <v>3706.78</v>
      </c>
    </row>
    <row r="539" spans="1:10">
      <c r="A539" s="25">
        <v>45047</v>
      </c>
      <c r="B539" s="24" t="s">
        <v>1267</v>
      </c>
      <c r="C539" s="24" t="s">
        <v>1240</v>
      </c>
      <c r="D539" s="24" t="s">
        <v>1232</v>
      </c>
      <c r="E539" s="24" t="s">
        <v>1231</v>
      </c>
      <c r="F539" s="24" t="s">
        <v>128</v>
      </c>
      <c r="G539" s="24" t="s">
        <v>1266</v>
      </c>
      <c r="H539" s="26">
        <v>9</v>
      </c>
      <c r="I539" s="26">
        <v>2624.88</v>
      </c>
      <c r="J539" s="26">
        <v>23623.919999999998</v>
      </c>
    </row>
    <row r="540" spans="1:10">
      <c r="A540" s="25">
        <v>45081</v>
      </c>
      <c r="B540" s="24" t="s">
        <v>1262</v>
      </c>
      <c r="C540" s="24" t="s">
        <v>1169</v>
      </c>
      <c r="D540" s="24" t="s">
        <v>1230</v>
      </c>
      <c r="E540" s="24" t="s">
        <v>1229</v>
      </c>
      <c r="F540" s="24" t="s">
        <v>132</v>
      </c>
      <c r="G540" s="24" t="s">
        <v>1277</v>
      </c>
      <c r="H540" s="26">
        <v>15</v>
      </c>
      <c r="I540" s="26">
        <v>1063.8800000000001</v>
      </c>
      <c r="J540" s="26">
        <v>15958.2</v>
      </c>
    </row>
    <row r="541" spans="1:10">
      <c r="A541" s="25">
        <v>44980</v>
      </c>
      <c r="B541" s="24" t="s">
        <v>1267</v>
      </c>
      <c r="C541" s="24" t="s">
        <v>1233</v>
      </c>
      <c r="D541" s="24" t="s">
        <v>1232</v>
      </c>
      <c r="E541" s="24" t="s">
        <v>1231</v>
      </c>
      <c r="F541" s="24" t="s">
        <v>128</v>
      </c>
      <c r="G541" s="24" t="s">
        <v>1266</v>
      </c>
      <c r="H541" s="26">
        <v>2</v>
      </c>
      <c r="I541" s="26">
        <v>4277.8999999999996</v>
      </c>
      <c r="J541" s="26">
        <v>8555.7999999999993</v>
      </c>
    </row>
    <row r="542" spans="1:10">
      <c r="A542" s="25">
        <v>45249</v>
      </c>
      <c r="B542" s="24" t="s">
        <v>1252</v>
      </c>
      <c r="C542" s="24" t="s">
        <v>1248</v>
      </c>
      <c r="D542" s="24" t="s">
        <v>1230</v>
      </c>
      <c r="E542" s="24" t="s">
        <v>1229</v>
      </c>
      <c r="F542" s="24" t="s">
        <v>128</v>
      </c>
      <c r="G542" s="24" t="s">
        <v>1273</v>
      </c>
      <c r="H542" s="26">
        <v>13</v>
      </c>
      <c r="I542" s="26">
        <v>1762.69</v>
      </c>
      <c r="J542" s="26">
        <v>22914.97</v>
      </c>
    </row>
    <row r="543" spans="1:10">
      <c r="A543" s="25">
        <v>45043</v>
      </c>
      <c r="B543" s="24" t="s">
        <v>1260</v>
      </c>
      <c r="C543" s="24" t="s">
        <v>1236</v>
      </c>
      <c r="D543" s="24" t="s">
        <v>1235</v>
      </c>
      <c r="E543" s="24" t="s">
        <v>1231</v>
      </c>
      <c r="F543" s="24" t="s">
        <v>128</v>
      </c>
      <c r="G543" s="24" t="s">
        <v>1273</v>
      </c>
      <c r="H543" s="26">
        <v>6</v>
      </c>
      <c r="I543" s="26">
        <v>2069.96</v>
      </c>
      <c r="J543" s="26">
        <v>12419.76</v>
      </c>
    </row>
    <row r="544" spans="1:10">
      <c r="A544" s="25">
        <v>45153</v>
      </c>
      <c r="B544" s="24" t="s">
        <v>1254</v>
      </c>
      <c r="C544" s="24" t="s">
        <v>1245</v>
      </c>
      <c r="D544" s="24" t="s">
        <v>1243</v>
      </c>
      <c r="E544" s="24" t="s">
        <v>1242</v>
      </c>
      <c r="F544" s="24" t="s">
        <v>128</v>
      </c>
      <c r="G544" s="24" t="s">
        <v>1266</v>
      </c>
      <c r="H544" s="26">
        <v>19</v>
      </c>
      <c r="I544" s="26">
        <v>3822.54</v>
      </c>
      <c r="J544" s="26">
        <v>72628.259999999995</v>
      </c>
    </row>
    <row r="545" spans="1:10">
      <c r="A545" s="25">
        <v>45205</v>
      </c>
      <c r="B545" s="24" t="s">
        <v>1254</v>
      </c>
      <c r="C545" s="24" t="s">
        <v>1245</v>
      </c>
      <c r="D545" s="24" t="s">
        <v>1243</v>
      </c>
      <c r="E545" s="24" t="s">
        <v>1242</v>
      </c>
      <c r="F545" s="24" t="s">
        <v>1249</v>
      </c>
      <c r="G545" s="24" t="s">
        <v>1270</v>
      </c>
      <c r="H545" s="26">
        <v>16</v>
      </c>
      <c r="I545" s="26">
        <v>242.23</v>
      </c>
      <c r="J545" s="26">
        <v>3875.68</v>
      </c>
    </row>
    <row r="546" spans="1:10">
      <c r="A546" s="25">
        <v>45106</v>
      </c>
      <c r="B546" s="24" t="s">
        <v>1262</v>
      </c>
      <c r="C546" s="24" t="s">
        <v>1169</v>
      </c>
      <c r="D546" s="24" t="s">
        <v>1230</v>
      </c>
      <c r="E546" s="24" t="s">
        <v>1229</v>
      </c>
      <c r="F546" s="24" t="s">
        <v>145</v>
      </c>
      <c r="G546" s="24" t="s">
        <v>1261</v>
      </c>
      <c r="H546" s="26">
        <v>12</v>
      </c>
      <c r="I546" s="26">
        <v>2290.7600000000002</v>
      </c>
      <c r="J546" s="26">
        <v>27489.119999999999</v>
      </c>
    </row>
    <row r="547" spans="1:10">
      <c r="A547" s="25">
        <v>45195</v>
      </c>
      <c r="B547" s="24" t="s">
        <v>1269</v>
      </c>
      <c r="C547" s="24" t="s">
        <v>1171</v>
      </c>
      <c r="D547" s="24" t="s">
        <v>1237</v>
      </c>
      <c r="E547" s="24" t="s">
        <v>1229</v>
      </c>
      <c r="F547" s="24" t="s">
        <v>128</v>
      </c>
      <c r="G547" s="24" t="s">
        <v>1266</v>
      </c>
      <c r="H547" s="26">
        <v>18</v>
      </c>
      <c r="I547" s="26">
        <v>1957.78</v>
      </c>
      <c r="J547" s="26">
        <v>35240.04</v>
      </c>
    </row>
    <row r="548" spans="1:10">
      <c r="A548" s="25">
        <v>45236</v>
      </c>
      <c r="B548" s="24" t="s">
        <v>1265</v>
      </c>
      <c r="C548" s="24" t="s">
        <v>1171</v>
      </c>
      <c r="D548" s="24" t="s">
        <v>1237</v>
      </c>
      <c r="E548" s="24" t="s">
        <v>1229</v>
      </c>
      <c r="F548" s="24" t="s">
        <v>145</v>
      </c>
      <c r="G548" s="24" t="s">
        <v>1278</v>
      </c>
      <c r="H548" s="26">
        <v>1</v>
      </c>
      <c r="I548" s="26">
        <v>4370.57</v>
      </c>
      <c r="J548" s="26">
        <v>4370.57</v>
      </c>
    </row>
    <row r="549" spans="1:10">
      <c r="A549" s="25">
        <v>45065</v>
      </c>
      <c r="B549" s="24" t="s">
        <v>1260</v>
      </c>
      <c r="C549" s="24" t="s">
        <v>1245</v>
      </c>
      <c r="D549" s="24" t="s">
        <v>1243</v>
      </c>
      <c r="E549" s="24" t="s">
        <v>1242</v>
      </c>
      <c r="F549" s="24" t="s">
        <v>1249</v>
      </c>
      <c r="G549" s="24" t="s">
        <v>1268</v>
      </c>
      <c r="H549" s="26">
        <v>3</v>
      </c>
      <c r="I549" s="26">
        <v>1894.71</v>
      </c>
      <c r="J549" s="26">
        <v>5684.13</v>
      </c>
    </row>
    <row r="550" spans="1:10">
      <c r="A550" s="25">
        <v>45242</v>
      </c>
      <c r="B550" s="24" t="s">
        <v>1256</v>
      </c>
      <c r="C550" s="24" t="s">
        <v>1169</v>
      </c>
      <c r="D550" s="24" t="s">
        <v>1230</v>
      </c>
      <c r="E550" s="24" t="s">
        <v>1229</v>
      </c>
      <c r="F550" s="24" t="s">
        <v>1249</v>
      </c>
      <c r="G550" s="24" t="s">
        <v>1272</v>
      </c>
      <c r="H550" s="26">
        <v>14</v>
      </c>
      <c r="I550" s="26">
        <v>367.1</v>
      </c>
      <c r="J550" s="26">
        <v>5139.3999999999996</v>
      </c>
    </row>
    <row r="551" spans="1:10">
      <c r="A551" s="25">
        <v>45131</v>
      </c>
      <c r="B551" s="24" t="s">
        <v>1258</v>
      </c>
      <c r="C551" s="24" t="s">
        <v>1246</v>
      </c>
      <c r="D551" s="24" t="s">
        <v>1230</v>
      </c>
      <c r="E551" s="24" t="s">
        <v>1229</v>
      </c>
      <c r="F551" s="24" t="s">
        <v>120</v>
      </c>
      <c r="G551" s="24" t="s">
        <v>1164</v>
      </c>
      <c r="H551" s="26">
        <v>10</v>
      </c>
      <c r="I551" s="26">
        <v>4678.49</v>
      </c>
      <c r="J551" s="26">
        <v>46784.9</v>
      </c>
    </row>
    <row r="552" spans="1:10">
      <c r="A552" s="25">
        <v>44967</v>
      </c>
      <c r="B552" s="24" t="s">
        <v>1254</v>
      </c>
      <c r="C552" s="24" t="s">
        <v>1247</v>
      </c>
      <c r="D552" s="24" t="s">
        <v>1243</v>
      </c>
      <c r="E552" s="24" t="s">
        <v>1242</v>
      </c>
      <c r="F552" s="24" t="s">
        <v>1249</v>
      </c>
      <c r="G552" s="24" t="s">
        <v>1270</v>
      </c>
      <c r="H552" s="26">
        <v>12</v>
      </c>
      <c r="I552" s="26">
        <v>1020.42</v>
      </c>
      <c r="J552" s="26">
        <v>12245.04</v>
      </c>
    </row>
    <row r="553" spans="1:10">
      <c r="A553" s="25">
        <v>45065</v>
      </c>
      <c r="B553" s="24" t="s">
        <v>1260</v>
      </c>
      <c r="C553" s="24" t="s">
        <v>1241</v>
      </c>
      <c r="D553" s="24" t="s">
        <v>1235</v>
      </c>
      <c r="E553" s="24" t="s">
        <v>1231</v>
      </c>
      <c r="F553" s="24" t="s">
        <v>120</v>
      </c>
      <c r="G553" s="24" t="s">
        <v>1165</v>
      </c>
      <c r="H553" s="26">
        <v>15</v>
      </c>
      <c r="I553" s="26">
        <v>1669.04</v>
      </c>
      <c r="J553" s="26">
        <v>25035.599999999999</v>
      </c>
    </row>
    <row r="554" spans="1:10">
      <c r="A554" s="25">
        <v>45186</v>
      </c>
      <c r="B554" s="24" t="s">
        <v>1267</v>
      </c>
      <c r="C554" s="24" t="s">
        <v>1173</v>
      </c>
      <c r="D554" s="24" t="s">
        <v>1237</v>
      </c>
      <c r="E554" s="24" t="s">
        <v>1229</v>
      </c>
      <c r="F554" s="24" t="s">
        <v>145</v>
      </c>
      <c r="G554" s="24" t="s">
        <v>1278</v>
      </c>
      <c r="H554" s="26">
        <v>18</v>
      </c>
      <c r="I554" s="26">
        <v>138.01</v>
      </c>
      <c r="J554" s="26">
        <v>2484.1799999999998</v>
      </c>
    </row>
    <row r="555" spans="1:10">
      <c r="A555" s="25">
        <v>45138</v>
      </c>
      <c r="B555" s="24" t="s">
        <v>1267</v>
      </c>
      <c r="C555" s="24" t="s">
        <v>1248</v>
      </c>
      <c r="D555" s="24" t="s">
        <v>1230</v>
      </c>
      <c r="E555" s="24" t="s">
        <v>1229</v>
      </c>
      <c r="F555" s="24" t="s">
        <v>145</v>
      </c>
      <c r="G555" s="24" t="s">
        <v>1255</v>
      </c>
      <c r="H555" s="26">
        <v>6</v>
      </c>
      <c r="I555" s="26">
        <v>3847.76</v>
      </c>
      <c r="J555" s="26">
        <v>23086.560000000001</v>
      </c>
    </row>
    <row r="556" spans="1:10">
      <c r="A556" s="25">
        <v>45147</v>
      </c>
      <c r="B556" s="24" t="s">
        <v>1265</v>
      </c>
      <c r="C556" s="24" t="s">
        <v>1171</v>
      </c>
      <c r="D556" s="24" t="s">
        <v>1237</v>
      </c>
      <c r="E556" s="24" t="s">
        <v>1229</v>
      </c>
      <c r="F556" s="24" t="s">
        <v>1249</v>
      </c>
      <c r="G556" s="24" t="s">
        <v>1259</v>
      </c>
      <c r="H556" s="26">
        <v>4</v>
      </c>
      <c r="I556" s="26">
        <v>3246.52</v>
      </c>
      <c r="J556" s="26">
        <v>12986.08</v>
      </c>
    </row>
    <row r="557" spans="1:10">
      <c r="A557" s="25">
        <v>44956</v>
      </c>
      <c r="B557" s="24" t="s">
        <v>1269</v>
      </c>
      <c r="C557" s="24" t="s">
        <v>1245</v>
      </c>
      <c r="D557" s="24" t="s">
        <v>1243</v>
      </c>
      <c r="E557" s="24" t="s">
        <v>1242</v>
      </c>
      <c r="F557" s="24" t="s">
        <v>145</v>
      </c>
      <c r="G557" s="24" t="s">
        <v>1274</v>
      </c>
      <c r="H557" s="26">
        <v>14</v>
      </c>
      <c r="I557" s="26">
        <v>569.91</v>
      </c>
      <c r="J557" s="26">
        <v>7978.74</v>
      </c>
    </row>
    <row r="558" spans="1:10">
      <c r="A558" s="25">
        <v>44938</v>
      </c>
      <c r="B558" s="24" t="s">
        <v>1263</v>
      </c>
      <c r="C558" s="24" t="s">
        <v>1233</v>
      </c>
      <c r="D558" s="24" t="s">
        <v>1232</v>
      </c>
      <c r="E558" s="24" t="s">
        <v>1231</v>
      </c>
      <c r="F558" s="24" t="s">
        <v>120</v>
      </c>
      <c r="G558" s="24" t="s">
        <v>1165</v>
      </c>
      <c r="H558" s="26">
        <v>15</v>
      </c>
      <c r="I558" s="26">
        <v>4316.17</v>
      </c>
      <c r="J558" s="26">
        <v>64742.55</v>
      </c>
    </row>
    <row r="559" spans="1:10">
      <c r="A559" s="25">
        <v>45219</v>
      </c>
      <c r="B559" s="24" t="s">
        <v>1254</v>
      </c>
      <c r="C559" s="24" t="s">
        <v>1233</v>
      </c>
      <c r="D559" s="24" t="s">
        <v>1232</v>
      </c>
      <c r="E559" s="24" t="s">
        <v>1231</v>
      </c>
      <c r="F559" s="24" t="s">
        <v>128</v>
      </c>
      <c r="G559" s="24" t="s">
        <v>1257</v>
      </c>
      <c r="H559" s="26">
        <v>17</v>
      </c>
      <c r="I559" s="26">
        <v>2209.62</v>
      </c>
      <c r="J559" s="26">
        <v>37563.54</v>
      </c>
    </row>
    <row r="560" spans="1:10">
      <c r="A560" s="25">
        <v>45206</v>
      </c>
      <c r="B560" s="24" t="s">
        <v>1263</v>
      </c>
      <c r="C560" s="24" t="s">
        <v>1244</v>
      </c>
      <c r="D560" s="24" t="s">
        <v>1243</v>
      </c>
      <c r="E560" s="24" t="s">
        <v>1242</v>
      </c>
      <c r="F560" s="24" t="s">
        <v>132</v>
      </c>
      <c r="G560" s="24" t="s">
        <v>1277</v>
      </c>
      <c r="H560" s="26">
        <v>16</v>
      </c>
      <c r="I560" s="26">
        <v>3296.61</v>
      </c>
      <c r="J560" s="26">
        <v>52745.760000000002</v>
      </c>
    </row>
    <row r="561" spans="1:10">
      <c r="A561" s="25">
        <v>45078</v>
      </c>
      <c r="B561" s="24" t="s">
        <v>1252</v>
      </c>
      <c r="C561" s="24" t="s">
        <v>1245</v>
      </c>
      <c r="D561" s="24" t="s">
        <v>1243</v>
      </c>
      <c r="E561" s="24" t="s">
        <v>1242</v>
      </c>
      <c r="F561" s="24" t="s">
        <v>132</v>
      </c>
      <c r="G561" s="24" t="s">
        <v>1253</v>
      </c>
      <c r="H561" s="26">
        <v>13</v>
      </c>
      <c r="I561" s="26">
        <v>523.83000000000004</v>
      </c>
      <c r="J561" s="26">
        <v>6809.79</v>
      </c>
    </row>
    <row r="562" spans="1:10">
      <c r="A562" s="25">
        <v>45182</v>
      </c>
      <c r="B562" s="24" t="s">
        <v>1260</v>
      </c>
      <c r="C562" s="24" t="s">
        <v>1241</v>
      </c>
      <c r="D562" s="24" t="s">
        <v>1235</v>
      </c>
      <c r="E562" s="24" t="s">
        <v>1231</v>
      </c>
      <c r="F562" s="24" t="s">
        <v>120</v>
      </c>
      <c r="G562" s="24" t="s">
        <v>1165</v>
      </c>
      <c r="H562" s="26">
        <v>3</v>
      </c>
      <c r="I562" s="26">
        <v>916.53</v>
      </c>
      <c r="J562" s="26">
        <v>2749.59</v>
      </c>
    </row>
    <row r="563" spans="1:10">
      <c r="A563" s="25">
        <v>45089</v>
      </c>
      <c r="B563" s="24" t="s">
        <v>1252</v>
      </c>
      <c r="C563" s="24" t="s">
        <v>1173</v>
      </c>
      <c r="D563" s="24" t="s">
        <v>1237</v>
      </c>
      <c r="E563" s="24" t="s">
        <v>1229</v>
      </c>
      <c r="F563" s="24" t="s">
        <v>128</v>
      </c>
      <c r="G563" s="24" t="s">
        <v>1266</v>
      </c>
      <c r="H563" s="26">
        <v>13</v>
      </c>
      <c r="I563" s="26">
        <v>1836.55</v>
      </c>
      <c r="J563" s="26">
        <v>23875.15</v>
      </c>
    </row>
    <row r="564" spans="1:10">
      <c r="A564" s="25">
        <v>45033</v>
      </c>
      <c r="B564" s="24" t="s">
        <v>1258</v>
      </c>
      <c r="C564" s="24" t="s">
        <v>1247</v>
      </c>
      <c r="D564" s="24" t="s">
        <v>1243</v>
      </c>
      <c r="E564" s="24" t="s">
        <v>1242</v>
      </c>
      <c r="F564" s="24" t="s">
        <v>128</v>
      </c>
      <c r="G564" s="24" t="s">
        <v>1257</v>
      </c>
      <c r="H564" s="26">
        <v>19</v>
      </c>
      <c r="I564" s="26">
        <v>2253.92</v>
      </c>
      <c r="J564" s="26">
        <v>42824.480000000003</v>
      </c>
    </row>
    <row r="565" spans="1:10">
      <c r="A565" s="25">
        <v>45066</v>
      </c>
      <c r="B565" s="24" t="s">
        <v>1258</v>
      </c>
      <c r="C565" s="24" t="s">
        <v>1173</v>
      </c>
      <c r="D565" s="24" t="s">
        <v>1237</v>
      </c>
      <c r="E565" s="24" t="s">
        <v>1229</v>
      </c>
      <c r="F565" s="24" t="s">
        <v>132</v>
      </c>
      <c r="G565" s="24" t="s">
        <v>1253</v>
      </c>
      <c r="H565" s="26">
        <v>13</v>
      </c>
      <c r="I565" s="26">
        <v>3617.07</v>
      </c>
      <c r="J565" s="26">
        <v>47021.91</v>
      </c>
    </row>
    <row r="566" spans="1:10">
      <c r="A566" s="25">
        <v>44957</v>
      </c>
      <c r="B566" s="24" t="s">
        <v>1265</v>
      </c>
      <c r="C566" s="24" t="s">
        <v>1236</v>
      </c>
      <c r="D566" s="24" t="s">
        <v>1235</v>
      </c>
      <c r="E566" s="24" t="s">
        <v>1231</v>
      </c>
      <c r="F566" s="24" t="s">
        <v>1249</v>
      </c>
      <c r="G566" s="24" t="s">
        <v>1272</v>
      </c>
      <c r="H566" s="26">
        <v>5</v>
      </c>
      <c r="I566" s="26">
        <v>417.76</v>
      </c>
      <c r="J566" s="26">
        <v>2088.8000000000002</v>
      </c>
    </row>
    <row r="567" spans="1:10">
      <c r="A567" s="25">
        <v>45085</v>
      </c>
      <c r="B567" s="24" t="s">
        <v>1254</v>
      </c>
      <c r="C567" s="24" t="s">
        <v>1239</v>
      </c>
      <c r="D567" s="24" t="s">
        <v>1237</v>
      </c>
      <c r="E567" s="24" t="s">
        <v>1229</v>
      </c>
      <c r="F567" s="24" t="s">
        <v>120</v>
      </c>
      <c r="G567" s="24" t="s">
        <v>1164</v>
      </c>
      <c r="H567" s="26">
        <v>11</v>
      </c>
      <c r="I567" s="26">
        <v>864.29</v>
      </c>
      <c r="J567" s="26">
        <v>9507.19</v>
      </c>
    </row>
    <row r="568" spans="1:10">
      <c r="A568" s="25">
        <v>45004</v>
      </c>
      <c r="B568" s="24" t="s">
        <v>1260</v>
      </c>
      <c r="C568" s="24" t="s">
        <v>1244</v>
      </c>
      <c r="D568" s="24" t="s">
        <v>1243</v>
      </c>
      <c r="E568" s="24" t="s">
        <v>1242</v>
      </c>
      <c r="F568" s="24" t="s">
        <v>120</v>
      </c>
      <c r="G568" s="24" t="s">
        <v>1164</v>
      </c>
      <c r="H568" s="26">
        <v>19</v>
      </c>
      <c r="I568" s="26">
        <v>2006.79</v>
      </c>
      <c r="J568" s="26">
        <v>38129.01</v>
      </c>
    </row>
    <row r="569" spans="1:10">
      <c r="A569" s="25">
        <v>45060</v>
      </c>
      <c r="B569" s="24" t="s">
        <v>1254</v>
      </c>
      <c r="C569" s="24" t="s">
        <v>1248</v>
      </c>
      <c r="D569" s="24" t="s">
        <v>1230</v>
      </c>
      <c r="E569" s="24" t="s">
        <v>1229</v>
      </c>
      <c r="F569" s="24" t="s">
        <v>1249</v>
      </c>
      <c r="G569" s="24" t="s">
        <v>1270</v>
      </c>
      <c r="H569" s="26">
        <v>1</v>
      </c>
      <c r="I569" s="26">
        <v>403.2</v>
      </c>
      <c r="J569" s="26">
        <v>403.2</v>
      </c>
    </row>
    <row r="570" spans="1:10">
      <c r="A570" s="25">
        <v>45247</v>
      </c>
      <c r="B570" s="24" t="s">
        <v>1267</v>
      </c>
      <c r="C570" s="24" t="s">
        <v>1173</v>
      </c>
      <c r="D570" s="24" t="s">
        <v>1237</v>
      </c>
      <c r="E570" s="24" t="s">
        <v>1229</v>
      </c>
      <c r="F570" s="24" t="s">
        <v>132</v>
      </c>
      <c r="G570" s="24" t="s">
        <v>1279</v>
      </c>
      <c r="H570" s="26">
        <v>7</v>
      </c>
      <c r="I570" s="26">
        <v>2846.83</v>
      </c>
      <c r="J570" s="26">
        <v>19927.810000000001</v>
      </c>
    </row>
    <row r="571" spans="1:10">
      <c r="A571" s="25">
        <v>44971</v>
      </c>
      <c r="B571" s="24" t="s">
        <v>1252</v>
      </c>
      <c r="C571" s="24" t="s">
        <v>1233</v>
      </c>
      <c r="D571" s="24" t="s">
        <v>1232</v>
      </c>
      <c r="E571" s="24" t="s">
        <v>1231</v>
      </c>
      <c r="F571" s="24" t="s">
        <v>128</v>
      </c>
      <c r="G571" s="24" t="s">
        <v>1257</v>
      </c>
      <c r="H571" s="26">
        <v>5</v>
      </c>
      <c r="I571" s="26">
        <v>850.9</v>
      </c>
      <c r="J571" s="26">
        <v>4254.5</v>
      </c>
    </row>
    <row r="572" spans="1:10">
      <c r="A572" s="25">
        <v>45223</v>
      </c>
      <c r="B572" s="24" t="s">
        <v>1262</v>
      </c>
      <c r="C572" s="24" t="s">
        <v>1244</v>
      </c>
      <c r="D572" s="24" t="s">
        <v>1243</v>
      </c>
      <c r="E572" s="24" t="s">
        <v>1242</v>
      </c>
      <c r="F572" s="24" t="s">
        <v>120</v>
      </c>
      <c r="G572" s="24" t="s">
        <v>1275</v>
      </c>
      <c r="H572" s="26">
        <v>16</v>
      </c>
      <c r="I572" s="26">
        <v>3337.15</v>
      </c>
      <c r="J572" s="26">
        <v>53394.400000000001</v>
      </c>
    </row>
    <row r="573" spans="1:10">
      <c r="A573" s="25">
        <v>45188</v>
      </c>
      <c r="B573" s="24" t="s">
        <v>1262</v>
      </c>
      <c r="C573" s="24" t="s">
        <v>1241</v>
      </c>
      <c r="D573" s="24" t="s">
        <v>1235</v>
      </c>
      <c r="E573" s="24" t="s">
        <v>1231</v>
      </c>
      <c r="F573" s="24" t="s">
        <v>128</v>
      </c>
      <c r="G573" s="24" t="s">
        <v>1264</v>
      </c>
      <c r="H573" s="26">
        <v>15</v>
      </c>
      <c r="I573" s="26">
        <v>1299.55</v>
      </c>
      <c r="J573" s="26">
        <v>19493.25</v>
      </c>
    </row>
    <row r="574" spans="1:10">
      <c r="A574" s="25">
        <v>45043</v>
      </c>
      <c r="B574" s="24" t="s">
        <v>1262</v>
      </c>
      <c r="C574" s="24" t="s">
        <v>1241</v>
      </c>
      <c r="D574" s="24" t="s">
        <v>1235</v>
      </c>
      <c r="E574" s="24" t="s">
        <v>1231</v>
      </c>
      <c r="F574" s="24" t="s">
        <v>1249</v>
      </c>
      <c r="G574" s="24" t="s">
        <v>1270</v>
      </c>
      <c r="H574" s="26">
        <v>7</v>
      </c>
      <c r="I574" s="26">
        <v>4898.57</v>
      </c>
      <c r="J574" s="26">
        <v>34289.99</v>
      </c>
    </row>
    <row r="575" spans="1:10">
      <c r="A575" s="25">
        <v>44964</v>
      </c>
      <c r="B575" s="24" t="s">
        <v>1252</v>
      </c>
      <c r="C575" s="24" t="s">
        <v>1234</v>
      </c>
      <c r="D575" s="24" t="s">
        <v>1232</v>
      </c>
      <c r="E575" s="24" t="s">
        <v>1231</v>
      </c>
      <c r="F575" s="24" t="s">
        <v>128</v>
      </c>
      <c r="G575" s="24" t="s">
        <v>1273</v>
      </c>
      <c r="H575" s="26">
        <v>11</v>
      </c>
      <c r="I575" s="26">
        <v>2471.65</v>
      </c>
      <c r="J575" s="26">
        <v>27188.15</v>
      </c>
    </row>
    <row r="576" spans="1:10">
      <c r="A576" s="25">
        <v>44942</v>
      </c>
      <c r="B576" s="24" t="s">
        <v>1262</v>
      </c>
      <c r="C576" s="24" t="s">
        <v>1240</v>
      </c>
      <c r="D576" s="24" t="s">
        <v>1232</v>
      </c>
      <c r="E576" s="24" t="s">
        <v>1231</v>
      </c>
      <c r="F576" s="24" t="s">
        <v>145</v>
      </c>
      <c r="G576" s="24" t="s">
        <v>1261</v>
      </c>
      <c r="H576" s="26">
        <v>2</v>
      </c>
      <c r="I576" s="26">
        <v>1125.53</v>
      </c>
      <c r="J576" s="26">
        <v>2251.06</v>
      </c>
    </row>
    <row r="577" spans="1:10">
      <c r="A577" s="25">
        <v>45171</v>
      </c>
      <c r="B577" s="24" t="s">
        <v>1256</v>
      </c>
      <c r="C577" s="24" t="s">
        <v>1248</v>
      </c>
      <c r="D577" s="24" t="s">
        <v>1230</v>
      </c>
      <c r="E577" s="24" t="s">
        <v>1229</v>
      </c>
      <c r="F577" s="24" t="s">
        <v>132</v>
      </c>
      <c r="G577" s="24" t="s">
        <v>1253</v>
      </c>
      <c r="H577" s="26">
        <v>13</v>
      </c>
      <c r="I577" s="26">
        <v>2835.8</v>
      </c>
      <c r="J577" s="26">
        <v>36865.4</v>
      </c>
    </row>
    <row r="578" spans="1:10">
      <c r="A578" s="25">
        <v>45027</v>
      </c>
      <c r="B578" s="24" t="s">
        <v>1263</v>
      </c>
      <c r="C578" s="24" t="s">
        <v>1241</v>
      </c>
      <c r="D578" s="24" t="s">
        <v>1235</v>
      </c>
      <c r="E578" s="24" t="s">
        <v>1231</v>
      </c>
      <c r="F578" s="24" t="s">
        <v>1249</v>
      </c>
      <c r="G578" s="24" t="s">
        <v>1270</v>
      </c>
      <c r="H578" s="26">
        <v>17</v>
      </c>
      <c r="I578" s="26">
        <v>3973.87</v>
      </c>
      <c r="J578" s="26">
        <v>67555.789999999994</v>
      </c>
    </row>
    <row r="579" spans="1:10">
      <c r="A579" s="25">
        <v>44938</v>
      </c>
      <c r="B579" s="24" t="s">
        <v>1256</v>
      </c>
      <c r="C579" s="24" t="s">
        <v>1173</v>
      </c>
      <c r="D579" s="24" t="s">
        <v>1237</v>
      </c>
      <c r="E579" s="24" t="s">
        <v>1229</v>
      </c>
      <c r="F579" s="24" t="s">
        <v>120</v>
      </c>
      <c r="G579" s="24" t="s">
        <v>1276</v>
      </c>
      <c r="H579" s="26">
        <v>4</v>
      </c>
      <c r="I579" s="26">
        <v>1998.26</v>
      </c>
      <c r="J579" s="26">
        <v>7993.04</v>
      </c>
    </row>
    <row r="580" spans="1:10">
      <c r="A580" s="25">
        <v>45207</v>
      </c>
      <c r="B580" s="24" t="s">
        <v>1260</v>
      </c>
      <c r="C580" s="24" t="s">
        <v>1236</v>
      </c>
      <c r="D580" s="24" t="s">
        <v>1235</v>
      </c>
      <c r="E580" s="24" t="s">
        <v>1231</v>
      </c>
      <c r="F580" s="24" t="s">
        <v>145</v>
      </c>
      <c r="G580" s="24" t="s">
        <v>1261</v>
      </c>
      <c r="H580" s="26">
        <v>7</v>
      </c>
      <c r="I580" s="26">
        <v>3820.3</v>
      </c>
      <c r="J580" s="26">
        <v>26742.1</v>
      </c>
    </row>
    <row r="581" spans="1:10">
      <c r="A581" s="25">
        <v>44979</v>
      </c>
      <c r="B581" s="24" t="s">
        <v>1252</v>
      </c>
      <c r="C581" s="24" t="s">
        <v>1169</v>
      </c>
      <c r="D581" s="24" t="s">
        <v>1230</v>
      </c>
      <c r="E581" s="24" t="s">
        <v>1229</v>
      </c>
      <c r="F581" s="24" t="s">
        <v>145</v>
      </c>
      <c r="G581" s="24" t="s">
        <v>1278</v>
      </c>
      <c r="H581" s="26">
        <v>19</v>
      </c>
      <c r="I581" s="26">
        <v>2199.3200000000002</v>
      </c>
      <c r="J581" s="26">
        <v>41787.08</v>
      </c>
    </row>
    <row r="582" spans="1:10">
      <c r="A582" s="25">
        <v>45091</v>
      </c>
      <c r="B582" s="24" t="s">
        <v>1258</v>
      </c>
      <c r="C582" s="24" t="s">
        <v>1234</v>
      </c>
      <c r="D582" s="24" t="s">
        <v>1232</v>
      </c>
      <c r="E582" s="24" t="s">
        <v>1231</v>
      </c>
      <c r="F582" s="24" t="s">
        <v>1249</v>
      </c>
      <c r="G582" s="24" t="s">
        <v>1259</v>
      </c>
      <c r="H582" s="26">
        <v>6</v>
      </c>
      <c r="I582" s="26">
        <v>578.64</v>
      </c>
      <c r="J582" s="26">
        <v>3471.84</v>
      </c>
    </row>
    <row r="583" spans="1:10">
      <c r="A583" s="25">
        <v>45237</v>
      </c>
      <c r="B583" s="24" t="s">
        <v>1260</v>
      </c>
      <c r="C583" s="24" t="s">
        <v>1233</v>
      </c>
      <c r="D583" s="24" t="s">
        <v>1232</v>
      </c>
      <c r="E583" s="24" t="s">
        <v>1231</v>
      </c>
      <c r="F583" s="24" t="s">
        <v>120</v>
      </c>
      <c r="G583" s="24" t="s">
        <v>1165</v>
      </c>
      <c r="H583" s="26">
        <v>5</v>
      </c>
      <c r="I583" s="26">
        <v>1488.21</v>
      </c>
      <c r="J583" s="26">
        <v>7441.05</v>
      </c>
    </row>
    <row r="584" spans="1:10">
      <c r="A584" s="25">
        <v>45282</v>
      </c>
      <c r="B584" s="24" t="s">
        <v>1265</v>
      </c>
      <c r="C584" s="24" t="s">
        <v>1234</v>
      </c>
      <c r="D584" s="24" t="s">
        <v>1232</v>
      </c>
      <c r="E584" s="24" t="s">
        <v>1231</v>
      </c>
      <c r="F584" s="24" t="s">
        <v>132</v>
      </c>
      <c r="G584" s="24" t="s">
        <v>1279</v>
      </c>
      <c r="H584" s="26">
        <v>19</v>
      </c>
      <c r="I584" s="26">
        <v>3196.27</v>
      </c>
      <c r="J584" s="26">
        <v>60729.13</v>
      </c>
    </row>
    <row r="585" spans="1:10">
      <c r="A585" s="25">
        <v>45087</v>
      </c>
      <c r="B585" s="24" t="s">
        <v>1256</v>
      </c>
      <c r="C585" s="24" t="s">
        <v>1246</v>
      </c>
      <c r="D585" s="24" t="s">
        <v>1230</v>
      </c>
      <c r="E585" s="24" t="s">
        <v>1229</v>
      </c>
      <c r="F585" s="24" t="s">
        <v>1249</v>
      </c>
      <c r="G585" s="24" t="s">
        <v>1259</v>
      </c>
      <c r="H585" s="26">
        <v>5</v>
      </c>
      <c r="I585" s="26">
        <v>1018.53</v>
      </c>
      <c r="J585" s="26">
        <v>5092.6499999999996</v>
      </c>
    </row>
    <row r="586" spans="1:10">
      <c r="A586" s="25">
        <v>45105</v>
      </c>
      <c r="B586" s="24" t="s">
        <v>1263</v>
      </c>
      <c r="C586" s="24" t="s">
        <v>1244</v>
      </c>
      <c r="D586" s="24" t="s">
        <v>1243</v>
      </c>
      <c r="E586" s="24" t="s">
        <v>1242</v>
      </c>
      <c r="F586" s="24" t="s">
        <v>145</v>
      </c>
      <c r="G586" s="24" t="s">
        <v>1274</v>
      </c>
      <c r="H586" s="26">
        <v>13</v>
      </c>
      <c r="I586" s="26">
        <v>1367.15</v>
      </c>
      <c r="J586" s="26">
        <v>17772.95</v>
      </c>
    </row>
    <row r="587" spans="1:10">
      <c r="A587" s="25">
        <v>45206</v>
      </c>
      <c r="B587" s="24" t="s">
        <v>1256</v>
      </c>
      <c r="C587" s="24" t="s">
        <v>1233</v>
      </c>
      <c r="D587" s="24" t="s">
        <v>1232</v>
      </c>
      <c r="E587" s="24" t="s">
        <v>1231</v>
      </c>
      <c r="F587" s="24" t="s">
        <v>120</v>
      </c>
      <c r="G587" s="24" t="s">
        <v>1276</v>
      </c>
      <c r="H587" s="26">
        <v>19</v>
      </c>
      <c r="I587" s="26">
        <v>4996.28</v>
      </c>
      <c r="J587" s="26">
        <v>94929.32</v>
      </c>
    </row>
    <row r="588" spans="1:10">
      <c r="A588" s="25">
        <v>45230</v>
      </c>
      <c r="B588" s="24" t="s">
        <v>1269</v>
      </c>
      <c r="C588" s="24" t="s">
        <v>1171</v>
      </c>
      <c r="D588" s="24" t="s">
        <v>1237</v>
      </c>
      <c r="E588" s="24" t="s">
        <v>1229</v>
      </c>
      <c r="F588" s="24" t="s">
        <v>128</v>
      </c>
      <c r="G588" s="24" t="s">
        <v>1266</v>
      </c>
      <c r="H588" s="26">
        <v>3</v>
      </c>
      <c r="I588" s="26">
        <v>4447.8999999999996</v>
      </c>
      <c r="J588" s="26">
        <v>13343.7</v>
      </c>
    </row>
    <row r="589" spans="1:10">
      <c r="A589" s="25">
        <v>45067</v>
      </c>
      <c r="B589" s="24" t="s">
        <v>1263</v>
      </c>
      <c r="C589" s="24" t="s">
        <v>1173</v>
      </c>
      <c r="D589" s="24" t="s">
        <v>1237</v>
      </c>
      <c r="E589" s="24" t="s">
        <v>1229</v>
      </c>
      <c r="F589" s="24" t="s">
        <v>145</v>
      </c>
      <c r="G589" s="24" t="s">
        <v>1255</v>
      </c>
      <c r="H589" s="26">
        <v>10</v>
      </c>
      <c r="I589" s="26">
        <v>1318.51</v>
      </c>
      <c r="J589" s="26">
        <v>13185.1</v>
      </c>
    </row>
    <row r="590" spans="1:10">
      <c r="A590" s="25">
        <v>44976</v>
      </c>
      <c r="B590" s="24" t="s">
        <v>1252</v>
      </c>
      <c r="C590" s="24" t="s">
        <v>1234</v>
      </c>
      <c r="D590" s="24" t="s">
        <v>1232</v>
      </c>
      <c r="E590" s="24" t="s">
        <v>1231</v>
      </c>
      <c r="F590" s="24" t="s">
        <v>1249</v>
      </c>
      <c r="G590" s="24" t="s">
        <v>1272</v>
      </c>
      <c r="H590" s="26">
        <v>20</v>
      </c>
      <c r="I590" s="26">
        <v>1731.99</v>
      </c>
      <c r="J590" s="26">
        <v>34639.800000000003</v>
      </c>
    </row>
    <row r="591" spans="1:10">
      <c r="A591" s="25">
        <v>45261</v>
      </c>
      <c r="B591" s="24" t="s">
        <v>1263</v>
      </c>
      <c r="C591" s="24" t="s">
        <v>1239</v>
      </c>
      <c r="D591" s="24" t="s">
        <v>1237</v>
      </c>
      <c r="E591" s="24" t="s">
        <v>1229</v>
      </c>
      <c r="F591" s="24" t="s">
        <v>128</v>
      </c>
      <c r="G591" s="24" t="s">
        <v>1257</v>
      </c>
      <c r="H591" s="26">
        <v>12</v>
      </c>
      <c r="I591" s="26">
        <v>4514.3900000000003</v>
      </c>
      <c r="J591" s="26">
        <v>54172.68</v>
      </c>
    </row>
    <row r="592" spans="1:10">
      <c r="A592" s="25">
        <v>45205</v>
      </c>
      <c r="B592" s="24" t="s">
        <v>1269</v>
      </c>
      <c r="C592" s="24" t="s">
        <v>1241</v>
      </c>
      <c r="D592" s="24" t="s">
        <v>1235</v>
      </c>
      <c r="E592" s="24" t="s">
        <v>1231</v>
      </c>
      <c r="F592" s="24" t="s">
        <v>132</v>
      </c>
      <c r="G592" s="24" t="s">
        <v>1277</v>
      </c>
      <c r="H592" s="26">
        <v>20</v>
      </c>
      <c r="I592" s="26">
        <v>1710.93</v>
      </c>
      <c r="J592" s="26">
        <v>34218.6</v>
      </c>
    </row>
    <row r="593" spans="1:10">
      <c r="A593" s="25">
        <v>45056</v>
      </c>
      <c r="B593" s="24" t="s">
        <v>1254</v>
      </c>
      <c r="C593" s="24" t="s">
        <v>1238</v>
      </c>
      <c r="D593" s="24" t="s">
        <v>1235</v>
      </c>
      <c r="E593" s="24" t="s">
        <v>1231</v>
      </c>
      <c r="F593" s="24" t="s">
        <v>145</v>
      </c>
      <c r="G593" s="24" t="s">
        <v>1261</v>
      </c>
      <c r="H593" s="26">
        <v>19</v>
      </c>
      <c r="I593" s="26">
        <v>491.53</v>
      </c>
      <c r="J593" s="26">
        <v>9339.07</v>
      </c>
    </row>
    <row r="594" spans="1:10">
      <c r="A594" s="25">
        <v>45150</v>
      </c>
      <c r="B594" s="24" t="s">
        <v>1269</v>
      </c>
      <c r="C594" s="24" t="s">
        <v>1241</v>
      </c>
      <c r="D594" s="24" t="s">
        <v>1235</v>
      </c>
      <c r="E594" s="24" t="s">
        <v>1231</v>
      </c>
      <c r="F594" s="24" t="s">
        <v>1249</v>
      </c>
      <c r="G594" s="24" t="s">
        <v>1259</v>
      </c>
      <c r="H594" s="26">
        <v>6</v>
      </c>
      <c r="I594" s="26">
        <v>203.88</v>
      </c>
      <c r="J594" s="26">
        <v>1223.28</v>
      </c>
    </row>
    <row r="595" spans="1:10">
      <c r="A595" s="25">
        <v>45011</v>
      </c>
      <c r="B595" s="24" t="s">
        <v>1254</v>
      </c>
      <c r="C595" s="24" t="s">
        <v>1171</v>
      </c>
      <c r="D595" s="24" t="s">
        <v>1237</v>
      </c>
      <c r="E595" s="24" t="s">
        <v>1229</v>
      </c>
      <c r="F595" s="24" t="s">
        <v>145</v>
      </c>
      <c r="G595" s="24" t="s">
        <v>1255</v>
      </c>
      <c r="H595" s="26">
        <v>19</v>
      </c>
      <c r="I595" s="26">
        <v>4786.8900000000003</v>
      </c>
      <c r="J595" s="26">
        <v>90950.91</v>
      </c>
    </row>
    <row r="596" spans="1:10">
      <c r="A596" s="25">
        <v>45240</v>
      </c>
      <c r="B596" s="24" t="s">
        <v>1269</v>
      </c>
      <c r="C596" s="24" t="s">
        <v>1236</v>
      </c>
      <c r="D596" s="24" t="s">
        <v>1235</v>
      </c>
      <c r="E596" s="24" t="s">
        <v>1231</v>
      </c>
      <c r="F596" s="24" t="s">
        <v>128</v>
      </c>
      <c r="G596" s="24" t="s">
        <v>1266</v>
      </c>
      <c r="H596" s="26">
        <v>11</v>
      </c>
      <c r="I596" s="26">
        <v>2666.77</v>
      </c>
      <c r="J596" s="26">
        <v>29334.47</v>
      </c>
    </row>
    <row r="597" spans="1:10">
      <c r="A597" s="25">
        <v>44967</v>
      </c>
      <c r="B597" s="24" t="s">
        <v>1258</v>
      </c>
      <c r="C597" s="24" t="s">
        <v>1239</v>
      </c>
      <c r="D597" s="24" t="s">
        <v>1237</v>
      </c>
      <c r="E597" s="24" t="s">
        <v>1229</v>
      </c>
      <c r="F597" s="24" t="s">
        <v>120</v>
      </c>
      <c r="G597" s="24" t="s">
        <v>1164</v>
      </c>
      <c r="H597" s="26">
        <v>19</v>
      </c>
      <c r="I597" s="26">
        <v>2174.7600000000002</v>
      </c>
      <c r="J597" s="26">
        <v>41320.44</v>
      </c>
    </row>
    <row r="598" spans="1:10">
      <c r="A598" s="25">
        <v>45163</v>
      </c>
      <c r="B598" s="24" t="s">
        <v>1258</v>
      </c>
      <c r="C598" s="24" t="s">
        <v>1246</v>
      </c>
      <c r="D598" s="24" t="s">
        <v>1230</v>
      </c>
      <c r="E598" s="24" t="s">
        <v>1229</v>
      </c>
      <c r="F598" s="24" t="s">
        <v>145</v>
      </c>
      <c r="G598" s="24" t="s">
        <v>1278</v>
      </c>
      <c r="H598" s="26">
        <v>1</v>
      </c>
      <c r="I598" s="26">
        <v>1678.18</v>
      </c>
      <c r="J598" s="26">
        <v>1678.18</v>
      </c>
    </row>
    <row r="599" spans="1:10">
      <c r="A599" s="25">
        <v>45042</v>
      </c>
      <c r="B599" s="24" t="s">
        <v>1262</v>
      </c>
      <c r="C599" s="24" t="s">
        <v>1239</v>
      </c>
      <c r="D599" s="24" t="s">
        <v>1237</v>
      </c>
      <c r="E599" s="24" t="s">
        <v>1229</v>
      </c>
      <c r="F599" s="24" t="s">
        <v>120</v>
      </c>
      <c r="G599" s="24" t="s">
        <v>1275</v>
      </c>
      <c r="H599" s="26">
        <v>20</v>
      </c>
      <c r="I599" s="26">
        <v>2163.9499999999998</v>
      </c>
      <c r="J599" s="26">
        <v>43279</v>
      </c>
    </row>
    <row r="600" spans="1:10">
      <c r="A600" s="25">
        <v>45265</v>
      </c>
      <c r="B600" s="24" t="s">
        <v>1258</v>
      </c>
      <c r="C600" s="24" t="s">
        <v>1239</v>
      </c>
      <c r="D600" s="24" t="s">
        <v>1237</v>
      </c>
      <c r="E600" s="24" t="s">
        <v>1229</v>
      </c>
      <c r="F600" s="24" t="s">
        <v>132</v>
      </c>
      <c r="G600" s="24" t="s">
        <v>1253</v>
      </c>
      <c r="H600" s="26">
        <v>18</v>
      </c>
      <c r="I600" s="26">
        <v>3511.28</v>
      </c>
      <c r="J600" s="26">
        <v>63203.040000000001</v>
      </c>
    </row>
    <row r="601" spans="1:10">
      <c r="A601" s="25">
        <v>44931</v>
      </c>
      <c r="B601" s="24" t="s">
        <v>1254</v>
      </c>
      <c r="C601" s="24" t="s">
        <v>1236</v>
      </c>
      <c r="D601" s="24" t="s">
        <v>1235</v>
      </c>
      <c r="E601" s="24" t="s">
        <v>1231</v>
      </c>
      <c r="F601" s="24" t="s">
        <v>145</v>
      </c>
      <c r="G601" s="24" t="s">
        <v>1274</v>
      </c>
      <c r="H601" s="26">
        <v>13</v>
      </c>
      <c r="I601" s="26">
        <v>2979.65</v>
      </c>
      <c r="J601" s="26">
        <v>38735.449999999997</v>
      </c>
    </row>
    <row r="602" spans="1:10">
      <c r="A602" s="25">
        <v>45003</v>
      </c>
      <c r="B602" s="24" t="s">
        <v>1267</v>
      </c>
      <c r="C602" s="24" t="s">
        <v>1239</v>
      </c>
      <c r="D602" s="24" t="s">
        <v>1237</v>
      </c>
      <c r="E602" s="24" t="s">
        <v>1229</v>
      </c>
      <c r="F602" s="24" t="s">
        <v>128</v>
      </c>
      <c r="G602" s="24" t="s">
        <v>1264</v>
      </c>
      <c r="H602" s="26">
        <v>4</v>
      </c>
      <c r="I602" s="26">
        <v>2985.48</v>
      </c>
      <c r="J602" s="26">
        <v>11941.92</v>
      </c>
    </row>
    <row r="603" spans="1:10">
      <c r="A603" s="25">
        <v>45036</v>
      </c>
      <c r="B603" s="24" t="s">
        <v>1260</v>
      </c>
      <c r="C603" s="24" t="s">
        <v>1236</v>
      </c>
      <c r="D603" s="24" t="s">
        <v>1235</v>
      </c>
      <c r="E603" s="24" t="s">
        <v>1231</v>
      </c>
      <c r="F603" s="24" t="s">
        <v>145</v>
      </c>
      <c r="G603" s="24" t="s">
        <v>1261</v>
      </c>
      <c r="H603" s="26">
        <v>18</v>
      </c>
      <c r="I603" s="26">
        <v>3989.44</v>
      </c>
      <c r="J603" s="26">
        <v>71809.919999999998</v>
      </c>
    </row>
    <row r="604" spans="1:10">
      <c r="A604" s="25">
        <v>45195</v>
      </c>
      <c r="B604" s="24" t="s">
        <v>1260</v>
      </c>
      <c r="C604" s="24" t="s">
        <v>1248</v>
      </c>
      <c r="D604" s="24" t="s">
        <v>1230</v>
      </c>
      <c r="E604" s="24" t="s">
        <v>1229</v>
      </c>
      <c r="F604" s="24" t="s">
        <v>120</v>
      </c>
      <c r="G604" s="24" t="s">
        <v>1276</v>
      </c>
      <c r="H604" s="26">
        <v>14</v>
      </c>
      <c r="I604" s="26">
        <v>2251.87</v>
      </c>
      <c r="J604" s="26">
        <v>31526.18</v>
      </c>
    </row>
    <row r="605" spans="1:10">
      <c r="A605" s="25">
        <v>45025</v>
      </c>
      <c r="B605" s="24" t="s">
        <v>1269</v>
      </c>
      <c r="C605" s="24" t="s">
        <v>1169</v>
      </c>
      <c r="D605" s="24" t="s">
        <v>1230</v>
      </c>
      <c r="E605" s="24" t="s">
        <v>1229</v>
      </c>
      <c r="F605" s="24" t="s">
        <v>1249</v>
      </c>
      <c r="G605" s="24" t="s">
        <v>1272</v>
      </c>
      <c r="H605" s="26">
        <v>8</v>
      </c>
      <c r="I605" s="26">
        <v>2519.3000000000002</v>
      </c>
      <c r="J605" s="26">
        <v>20154.400000000001</v>
      </c>
    </row>
    <row r="606" spans="1:10">
      <c r="A606" s="25">
        <v>45123</v>
      </c>
      <c r="B606" s="24" t="s">
        <v>1256</v>
      </c>
      <c r="C606" s="24" t="s">
        <v>1236</v>
      </c>
      <c r="D606" s="24" t="s">
        <v>1235</v>
      </c>
      <c r="E606" s="24" t="s">
        <v>1231</v>
      </c>
      <c r="F606" s="24" t="s">
        <v>128</v>
      </c>
      <c r="G606" s="24" t="s">
        <v>1257</v>
      </c>
      <c r="H606" s="26">
        <v>3</v>
      </c>
      <c r="I606" s="26">
        <v>1129.8800000000001</v>
      </c>
      <c r="J606" s="26">
        <v>3389.64</v>
      </c>
    </row>
    <row r="607" spans="1:10">
      <c r="A607" s="25">
        <v>45205</v>
      </c>
      <c r="B607" s="24" t="s">
        <v>1252</v>
      </c>
      <c r="C607" s="24" t="s">
        <v>1248</v>
      </c>
      <c r="D607" s="24" t="s">
        <v>1230</v>
      </c>
      <c r="E607" s="24" t="s">
        <v>1229</v>
      </c>
      <c r="F607" s="24" t="s">
        <v>132</v>
      </c>
      <c r="G607" s="24" t="s">
        <v>1277</v>
      </c>
      <c r="H607" s="26">
        <v>15</v>
      </c>
      <c r="I607" s="26">
        <v>4146.03</v>
      </c>
      <c r="J607" s="26">
        <v>62190.45</v>
      </c>
    </row>
    <row r="608" spans="1:10">
      <c r="A608" s="25">
        <v>45084</v>
      </c>
      <c r="B608" s="24" t="s">
        <v>1267</v>
      </c>
      <c r="C608" s="24" t="s">
        <v>1239</v>
      </c>
      <c r="D608" s="24" t="s">
        <v>1237</v>
      </c>
      <c r="E608" s="24" t="s">
        <v>1229</v>
      </c>
      <c r="F608" s="24" t="s">
        <v>132</v>
      </c>
      <c r="G608" s="24" t="s">
        <v>1271</v>
      </c>
      <c r="H608" s="26">
        <v>4</v>
      </c>
      <c r="I608" s="26">
        <v>3564.22</v>
      </c>
      <c r="J608" s="26">
        <v>14256.88</v>
      </c>
    </row>
    <row r="609" spans="1:10">
      <c r="A609" s="25">
        <v>45246</v>
      </c>
      <c r="B609" s="24" t="s">
        <v>1267</v>
      </c>
      <c r="C609" s="24" t="s">
        <v>1234</v>
      </c>
      <c r="D609" s="24" t="s">
        <v>1232</v>
      </c>
      <c r="E609" s="24" t="s">
        <v>1231</v>
      </c>
      <c r="F609" s="24" t="s">
        <v>132</v>
      </c>
      <c r="G609" s="24" t="s">
        <v>1277</v>
      </c>
      <c r="H609" s="26">
        <v>14</v>
      </c>
      <c r="I609" s="26">
        <v>414.51</v>
      </c>
      <c r="J609" s="26">
        <v>5803.14</v>
      </c>
    </row>
    <row r="610" spans="1:10">
      <c r="A610" s="25">
        <v>44951</v>
      </c>
      <c r="B610" s="24" t="s">
        <v>1269</v>
      </c>
      <c r="C610" s="24" t="s">
        <v>1248</v>
      </c>
      <c r="D610" s="24" t="s">
        <v>1230</v>
      </c>
      <c r="E610" s="24" t="s">
        <v>1229</v>
      </c>
      <c r="F610" s="24" t="s">
        <v>132</v>
      </c>
      <c r="G610" s="24" t="s">
        <v>1271</v>
      </c>
      <c r="H610" s="26">
        <v>11</v>
      </c>
      <c r="I610" s="26">
        <v>1788.39</v>
      </c>
      <c r="J610" s="26">
        <v>19672.29</v>
      </c>
    </row>
    <row r="611" spans="1:10">
      <c r="A611" s="25">
        <v>45258</v>
      </c>
      <c r="B611" s="24" t="s">
        <v>1262</v>
      </c>
      <c r="C611" s="24" t="s">
        <v>1238</v>
      </c>
      <c r="D611" s="24" t="s">
        <v>1235</v>
      </c>
      <c r="E611" s="24" t="s">
        <v>1231</v>
      </c>
      <c r="F611" s="24" t="s">
        <v>128</v>
      </c>
      <c r="G611" s="24" t="s">
        <v>1273</v>
      </c>
      <c r="H611" s="26">
        <v>6</v>
      </c>
      <c r="I611" s="26">
        <v>2867.98</v>
      </c>
      <c r="J611" s="26">
        <v>17207.88</v>
      </c>
    </row>
    <row r="612" spans="1:10">
      <c r="A612" s="25">
        <v>45123</v>
      </c>
      <c r="B612" s="24" t="s">
        <v>1258</v>
      </c>
      <c r="C612" s="24" t="s">
        <v>1239</v>
      </c>
      <c r="D612" s="24" t="s">
        <v>1237</v>
      </c>
      <c r="E612" s="24" t="s">
        <v>1229</v>
      </c>
      <c r="F612" s="24" t="s">
        <v>128</v>
      </c>
      <c r="G612" s="24" t="s">
        <v>1257</v>
      </c>
      <c r="H612" s="26">
        <v>6</v>
      </c>
      <c r="I612" s="26">
        <v>3566.53</v>
      </c>
      <c r="J612" s="26">
        <v>21399.18</v>
      </c>
    </row>
    <row r="613" spans="1:10">
      <c r="A613" s="25">
        <v>45173</v>
      </c>
      <c r="B613" s="24" t="s">
        <v>1265</v>
      </c>
      <c r="C613" s="24" t="s">
        <v>1169</v>
      </c>
      <c r="D613" s="24" t="s">
        <v>1230</v>
      </c>
      <c r="E613" s="24" t="s">
        <v>1229</v>
      </c>
      <c r="F613" s="24" t="s">
        <v>145</v>
      </c>
      <c r="G613" s="24" t="s">
        <v>1261</v>
      </c>
      <c r="H613" s="26">
        <v>13</v>
      </c>
      <c r="I613" s="26">
        <v>2669.5</v>
      </c>
      <c r="J613" s="26">
        <v>34703.5</v>
      </c>
    </row>
    <row r="614" spans="1:10">
      <c r="A614" s="25">
        <v>45144</v>
      </c>
      <c r="B614" s="24" t="s">
        <v>1263</v>
      </c>
      <c r="C614" s="24" t="s">
        <v>1233</v>
      </c>
      <c r="D614" s="24" t="s">
        <v>1232</v>
      </c>
      <c r="E614" s="24" t="s">
        <v>1231</v>
      </c>
      <c r="F614" s="24" t="s">
        <v>1249</v>
      </c>
      <c r="G614" s="24" t="s">
        <v>1272</v>
      </c>
      <c r="H614" s="26">
        <v>6</v>
      </c>
      <c r="I614" s="26">
        <v>3842.46</v>
      </c>
      <c r="J614" s="26">
        <v>23054.76</v>
      </c>
    </row>
    <row r="615" spans="1:10">
      <c r="A615" s="25">
        <v>45075</v>
      </c>
      <c r="B615" s="24" t="s">
        <v>1260</v>
      </c>
      <c r="C615" s="24" t="s">
        <v>1173</v>
      </c>
      <c r="D615" s="24" t="s">
        <v>1237</v>
      </c>
      <c r="E615" s="24" t="s">
        <v>1229</v>
      </c>
      <c r="F615" s="24" t="s">
        <v>132</v>
      </c>
      <c r="G615" s="24" t="s">
        <v>1253</v>
      </c>
      <c r="H615" s="26">
        <v>13</v>
      </c>
      <c r="I615" s="26">
        <v>1419.3</v>
      </c>
      <c r="J615" s="26">
        <v>18450.900000000001</v>
      </c>
    </row>
    <row r="616" spans="1:10">
      <c r="A616" s="25">
        <v>45018</v>
      </c>
      <c r="B616" s="24" t="s">
        <v>1258</v>
      </c>
      <c r="C616" s="24" t="s">
        <v>1244</v>
      </c>
      <c r="D616" s="24" t="s">
        <v>1243</v>
      </c>
      <c r="E616" s="24" t="s">
        <v>1242</v>
      </c>
      <c r="F616" s="24" t="s">
        <v>120</v>
      </c>
      <c r="G616" s="24" t="s">
        <v>1164</v>
      </c>
      <c r="H616" s="26">
        <v>1</v>
      </c>
      <c r="I616" s="26">
        <v>3187.31</v>
      </c>
      <c r="J616" s="26">
        <v>3187.31</v>
      </c>
    </row>
    <row r="617" spans="1:10">
      <c r="A617" s="25">
        <v>45232</v>
      </c>
      <c r="B617" s="24" t="s">
        <v>1252</v>
      </c>
      <c r="C617" s="24" t="s">
        <v>1241</v>
      </c>
      <c r="D617" s="24" t="s">
        <v>1235</v>
      </c>
      <c r="E617" s="24" t="s">
        <v>1231</v>
      </c>
      <c r="F617" s="24" t="s">
        <v>1249</v>
      </c>
      <c r="G617" s="24" t="s">
        <v>1272</v>
      </c>
      <c r="H617" s="26">
        <v>12</v>
      </c>
      <c r="I617" s="26">
        <v>1837.2</v>
      </c>
      <c r="J617" s="26">
        <v>22046.400000000001</v>
      </c>
    </row>
    <row r="618" spans="1:10">
      <c r="A618" s="25">
        <v>45285</v>
      </c>
      <c r="B618" s="24" t="s">
        <v>1258</v>
      </c>
      <c r="C618" s="24" t="s">
        <v>1248</v>
      </c>
      <c r="D618" s="24" t="s">
        <v>1230</v>
      </c>
      <c r="E618" s="24" t="s">
        <v>1229</v>
      </c>
      <c r="F618" s="24" t="s">
        <v>120</v>
      </c>
      <c r="G618" s="24" t="s">
        <v>1276</v>
      </c>
      <c r="H618" s="26">
        <v>2</v>
      </c>
      <c r="I618" s="26">
        <v>4081.92</v>
      </c>
      <c r="J618" s="26">
        <v>8163.84</v>
      </c>
    </row>
    <row r="619" spans="1:10">
      <c r="A619" s="25">
        <v>45166</v>
      </c>
      <c r="B619" s="24" t="s">
        <v>1254</v>
      </c>
      <c r="C619" s="24" t="s">
        <v>1248</v>
      </c>
      <c r="D619" s="24" t="s">
        <v>1230</v>
      </c>
      <c r="E619" s="24" t="s">
        <v>1229</v>
      </c>
      <c r="F619" s="24" t="s">
        <v>1249</v>
      </c>
      <c r="G619" s="24" t="s">
        <v>1259</v>
      </c>
      <c r="H619" s="26">
        <v>20</v>
      </c>
      <c r="I619" s="26">
        <v>3184.86</v>
      </c>
      <c r="J619" s="26">
        <v>63697.2</v>
      </c>
    </row>
    <row r="620" spans="1:10">
      <c r="A620" s="25">
        <v>44957</v>
      </c>
      <c r="B620" s="24" t="s">
        <v>1260</v>
      </c>
      <c r="C620" s="24" t="s">
        <v>1234</v>
      </c>
      <c r="D620" s="24" t="s">
        <v>1232</v>
      </c>
      <c r="E620" s="24" t="s">
        <v>1231</v>
      </c>
      <c r="F620" s="24" t="s">
        <v>132</v>
      </c>
      <c r="G620" s="24" t="s">
        <v>1277</v>
      </c>
      <c r="H620" s="26">
        <v>8</v>
      </c>
      <c r="I620" s="26">
        <v>3402.24</v>
      </c>
      <c r="J620" s="26">
        <v>27217.919999999998</v>
      </c>
    </row>
    <row r="621" spans="1:10">
      <c r="A621" s="25">
        <v>45171</v>
      </c>
      <c r="B621" s="24" t="s">
        <v>1260</v>
      </c>
      <c r="C621" s="24" t="s">
        <v>1171</v>
      </c>
      <c r="D621" s="24" t="s">
        <v>1237</v>
      </c>
      <c r="E621" s="24" t="s">
        <v>1229</v>
      </c>
      <c r="F621" s="24" t="s">
        <v>132</v>
      </c>
      <c r="G621" s="24" t="s">
        <v>1277</v>
      </c>
      <c r="H621" s="26">
        <v>10</v>
      </c>
      <c r="I621" s="26">
        <v>2750.69</v>
      </c>
      <c r="J621" s="26">
        <v>27506.9</v>
      </c>
    </row>
    <row r="622" spans="1:10">
      <c r="A622" s="25">
        <v>44996</v>
      </c>
      <c r="B622" s="24" t="s">
        <v>1269</v>
      </c>
      <c r="C622" s="24" t="s">
        <v>1173</v>
      </c>
      <c r="D622" s="24" t="s">
        <v>1237</v>
      </c>
      <c r="E622" s="24" t="s">
        <v>1229</v>
      </c>
      <c r="F622" s="24" t="s">
        <v>120</v>
      </c>
      <c r="G622" s="24" t="s">
        <v>1164</v>
      </c>
      <c r="H622" s="26">
        <v>13</v>
      </c>
      <c r="I622" s="26">
        <v>4090.9</v>
      </c>
      <c r="J622" s="26">
        <v>53181.7</v>
      </c>
    </row>
    <row r="623" spans="1:10">
      <c r="A623" s="25">
        <v>45118</v>
      </c>
      <c r="B623" s="24" t="s">
        <v>1267</v>
      </c>
      <c r="C623" s="24" t="s">
        <v>1241</v>
      </c>
      <c r="D623" s="24" t="s">
        <v>1235</v>
      </c>
      <c r="E623" s="24" t="s">
        <v>1231</v>
      </c>
      <c r="F623" s="24" t="s">
        <v>1249</v>
      </c>
      <c r="G623" s="24" t="s">
        <v>1270</v>
      </c>
      <c r="H623" s="26">
        <v>3</v>
      </c>
      <c r="I623" s="26">
        <v>4234</v>
      </c>
      <c r="J623" s="26">
        <v>12702</v>
      </c>
    </row>
    <row r="624" spans="1:10">
      <c r="A624" s="25">
        <v>45083</v>
      </c>
      <c r="B624" s="24" t="s">
        <v>1269</v>
      </c>
      <c r="C624" s="24" t="s">
        <v>1240</v>
      </c>
      <c r="D624" s="24" t="s">
        <v>1232</v>
      </c>
      <c r="E624" s="24" t="s">
        <v>1231</v>
      </c>
      <c r="F624" s="24" t="s">
        <v>120</v>
      </c>
      <c r="G624" s="24" t="s">
        <v>1275</v>
      </c>
      <c r="H624" s="26">
        <v>12</v>
      </c>
      <c r="I624" s="26">
        <v>1701.3</v>
      </c>
      <c r="J624" s="26">
        <v>20415.599999999999</v>
      </c>
    </row>
    <row r="625" spans="1:10">
      <c r="A625" s="25">
        <v>45112</v>
      </c>
      <c r="B625" s="24" t="s">
        <v>1265</v>
      </c>
      <c r="C625" s="24" t="s">
        <v>1233</v>
      </c>
      <c r="D625" s="24" t="s">
        <v>1232</v>
      </c>
      <c r="E625" s="24" t="s">
        <v>1231</v>
      </c>
      <c r="F625" s="24" t="s">
        <v>120</v>
      </c>
      <c r="G625" s="24" t="s">
        <v>1276</v>
      </c>
      <c r="H625" s="26">
        <v>18</v>
      </c>
      <c r="I625" s="26">
        <v>1599.01</v>
      </c>
      <c r="J625" s="26">
        <v>28782.18</v>
      </c>
    </row>
    <row r="626" spans="1:10">
      <c r="A626" s="25">
        <v>45076</v>
      </c>
      <c r="B626" s="24" t="s">
        <v>1265</v>
      </c>
      <c r="C626" s="24" t="s">
        <v>1238</v>
      </c>
      <c r="D626" s="24" t="s">
        <v>1235</v>
      </c>
      <c r="E626" s="24" t="s">
        <v>1231</v>
      </c>
      <c r="F626" s="24" t="s">
        <v>120</v>
      </c>
      <c r="G626" s="24" t="s">
        <v>1164</v>
      </c>
      <c r="H626" s="26">
        <v>11</v>
      </c>
      <c r="I626" s="26">
        <v>4564.7299999999996</v>
      </c>
      <c r="J626" s="26">
        <v>50212.03</v>
      </c>
    </row>
    <row r="627" spans="1:10">
      <c r="A627" s="25">
        <v>45110</v>
      </c>
      <c r="B627" s="24" t="s">
        <v>1252</v>
      </c>
      <c r="C627" s="24" t="s">
        <v>1248</v>
      </c>
      <c r="D627" s="24" t="s">
        <v>1230</v>
      </c>
      <c r="E627" s="24" t="s">
        <v>1229</v>
      </c>
      <c r="F627" s="24" t="s">
        <v>132</v>
      </c>
      <c r="G627" s="24" t="s">
        <v>1271</v>
      </c>
      <c r="H627" s="26">
        <v>14</v>
      </c>
      <c r="I627" s="26">
        <v>3507.75</v>
      </c>
      <c r="J627" s="26">
        <v>49108.5</v>
      </c>
    </row>
    <row r="628" spans="1:10">
      <c r="A628" s="25">
        <v>45011</v>
      </c>
      <c r="B628" s="24" t="s">
        <v>1263</v>
      </c>
      <c r="C628" s="24" t="s">
        <v>1245</v>
      </c>
      <c r="D628" s="24" t="s">
        <v>1243</v>
      </c>
      <c r="E628" s="24" t="s">
        <v>1242</v>
      </c>
      <c r="F628" s="24" t="s">
        <v>145</v>
      </c>
      <c r="G628" s="24" t="s">
        <v>1261</v>
      </c>
      <c r="H628" s="26">
        <v>4</v>
      </c>
      <c r="I628" s="26">
        <v>810.38</v>
      </c>
      <c r="J628" s="26">
        <v>3241.52</v>
      </c>
    </row>
    <row r="629" spans="1:10">
      <c r="A629" s="25">
        <v>45097</v>
      </c>
      <c r="B629" s="24" t="s">
        <v>1252</v>
      </c>
      <c r="C629" s="24" t="s">
        <v>1173</v>
      </c>
      <c r="D629" s="24" t="s">
        <v>1237</v>
      </c>
      <c r="E629" s="24" t="s">
        <v>1229</v>
      </c>
      <c r="F629" s="24" t="s">
        <v>120</v>
      </c>
      <c r="G629" s="24" t="s">
        <v>1275</v>
      </c>
      <c r="H629" s="26">
        <v>7</v>
      </c>
      <c r="I629" s="26">
        <v>698.8</v>
      </c>
      <c r="J629" s="26">
        <v>4891.6000000000004</v>
      </c>
    </row>
    <row r="630" spans="1:10">
      <c r="A630" s="25">
        <v>45179</v>
      </c>
      <c r="B630" s="24" t="s">
        <v>1267</v>
      </c>
      <c r="C630" s="24" t="s">
        <v>1234</v>
      </c>
      <c r="D630" s="24" t="s">
        <v>1232</v>
      </c>
      <c r="E630" s="24" t="s">
        <v>1231</v>
      </c>
      <c r="F630" s="24" t="s">
        <v>120</v>
      </c>
      <c r="G630" s="24" t="s">
        <v>1276</v>
      </c>
      <c r="H630" s="26">
        <v>14</v>
      </c>
      <c r="I630" s="26">
        <v>2833.44</v>
      </c>
      <c r="J630" s="26">
        <v>39668.160000000003</v>
      </c>
    </row>
    <row r="631" spans="1:10">
      <c r="A631" s="25">
        <v>45000</v>
      </c>
      <c r="B631" s="24" t="s">
        <v>1258</v>
      </c>
      <c r="C631" s="24" t="s">
        <v>1241</v>
      </c>
      <c r="D631" s="24" t="s">
        <v>1235</v>
      </c>
      <c r="E631" s="24" t="s">
        <v>1231</v>
      </c>
      <c r="F631" s="24" t="s">
        <v>1249</v>
      </c>
      <c r="G631" s="24" t="s">
        <v>1270</v>
      </c>
      <c r="H631" s="26">
        <v>20</v>
      </c>
      <c r="I631" s="26">
        <v>2409.6799999999998</v>
      </c>
      <c r="J631" s="26">
        <v>48193.599999999999</v>
      </c>
    </row>
    <row r="632" spans="1:10">
      <c r="A632" s="25">
        <v>45175</v>
      </c>
      <c r="B632" s="24" t="s">
        <v>1267</v>
      </c>
      <c r="C632" s="24" t="s">
        <v>1233</v>
      </c>
      <c r="D632" s="24" t="s">
        <v>1232</v>
      </c>
      <c r="E632" s="24" t="s">
        <v>1231</v>
      </c>
      <c r="F632" s="24" t="s">
        <v>1249</v>
      </c>
      <c r="G632" s="24" t="s">
        <v>1272</v>
      </c>
      <c r="H632" s="26">
        <v>17</v>
      </c>
      <c r="I632" s="26">
        <v>2448.5100000000002</v>
      </c>
      <c r="J632" s="26">
        <v>41624.67</v>
      </c>
    </row>
    <row r="633" spans="1:10">
      <c r="A633" s="25">
        <v>45148</v>
      </c>
      <c r="B633" s="24" t="s">
        <v>1269</v>
      </c>
      <c r="C633" s="24" t="s">
        <v>1233</v>
      </c>
      <c r="D633" s="24" t="s">
        <v>1232</v>
      </c>
      <c r="E633" s="24" t="s">
        <v>1231</v>
      </c>
      <c r="F633" s="24" t="s">
        <v>128</v>
      </c>
      <c r="G633" s="24" t="s">
        <v>1264</v>
      </c>
      <c r="H633" s="26">
        <v>7</v>
      </c>
      <c r="I633" s="26">
        <v>4029.58</v>
      </c>
      <c r="J633" s="26">
        <v>28207.06</v>
      </c>
    </row>
    <row r="634" spans="1:10">
      <c r="A634" s="25">
        <v>45183</v>
      </c>
      <c r="B634" s="24" t="s">
        <v>1258</v>
      </c>
      <c r="C634" s="24" t="s">
        <v>1240</v>
      </c>
      <c r="D634" s="24" t="s">
        <v>1232</v>
      </c>
      <c r="E634" s="24" t="s">
        <v>1231</v>
      </c>
      <c r="F634" s="24" t="s">
        <v>1249</v>
      </c>
      <c r="G634" s="24" t="s">
        <v>1268</v>
      </c>
      <c r="H634" s="26">
        <v>15</v>
      </c>
      <c r="I634" s="26">
        <v>3999.29</v>
      </c>
      <c r="J634" s="26">
        <v>59989.35</v>
      </c>
    </row>
    <row r="635" spans="1:10">
      <c r="A635" s="25">
        <v>45168</v>
      </c>
      <c r="B635" s="24" t="s">
        <v>1262</v>
      </c>
      <c r="C635" s="24" t="s">
        <v>1236</v>
      </c>
      <c r="D635" s="24" t="s">
        <v>1235</v>
      </c>
      <c r="E635" s="24" t="s">
        <v>1231</v>
      </c>
      <c r="F635" s="24" t="s">
        <v>145</v>
      </c>
      <c r="G635" s="24" t="s">
        <v>1274</v>
      </c>
      <c r="H635" s="26">
        <v>17</v>
      </c>
      <c r="I635" s="26">
        <v>583.88</v>
      </c>
      <c r="J635" s="26">
        <v>9925.9599999999991</v>
      </c>
    </row>
    <row r="636" spans="1:10">
      <c r="A636" s="25">
        <v>45140</v>
      </c>
      <c r="B636" s="24" t="s">
        <v>1269</v>
      </c>
      <c r="C636" s="24" t="s">
        <v>1169</v>
      </c>
      <c r="D636" s="24" t="s">
        <v>1230</v>
      </c>
      <c r="E636" s="24" t="s">
        <v>1229</v>
      </c>
      <c r="F636" s="24" t="s">
        <v>128</v>
      </c>
      <c r="G636" s="24" t="s">
        <v>1266</v>
      </c>
      <c r="H636" s="26">
        <v>7</v>
      </c>
      <c r="I636" s="26">
        <v>1319.32</v>
      </c>
      <c r="J636" s="26">
        <v>9235.24</v>
      </c>
    </row>
    <row r="637" spans="1:10">
      <c r="A637" s="25">
        <v>45068</v>
      </c>
      <c r="B637" s="24" t="s">
        <v>1260</v>
      </c>
      <c r="C637" s="24" t="s">
        <v>1239</v>
      </c>
      <c r="D637" s="24" t="s">
        <v>1237</v>
      </c>
      <c r="E637" s="24" t="s">
        <v>1229</v>
      </c>
      <c r="F637" s="24" t="s">
        <v>132</v>
      </c>
      <c r="G637" s="24" t="s">
        <v>1279</v>
      </c>
      <c r="H637" s="26">
        <v>15</v>
      </c>
      <c r="I637" s="26">
        <v>2698.6</v>
      </c>
      <c r="J637" s="26">
        <v>40479</v>
      </c>
    </row>
    <row r="638" spans="1:10">
      <c r="A638" s="25">
        <v>45107</v>
      </c>
      <c r="B638" s="24" t="s">
        <v>1256</v>
      </c>
      <c r="C638" s="24" t="s">
        <v>1241</v>
      </c>
      <c r="D638" s="24" t="s">
        <v>1235</v>
      </c>
      <c r="E638" s="24" t="s">
        <v>1231</v>
      </c>
      <c r="F638" s="24" t="s">
        <v>145</v>
      </c>
      <c r="G638" s="24" t="s">
        <v>1274</v>
      </c>
      <c r="H638" s="26">
        <v>19</v>
      </c>
      <c r="I638" s="26">
        <v>4364.6400000000003</v>
      </c>
      <c r="J638" s="26">
        <v>82928.160000000003</v>
      </c>
    </row>
    <row r="639" spans="1:10">
      <c r="A639" s="25">
        <v>45033</v>
      </c>
      <c r="B639" s="24" t="s">
        <v>1265</v>
      </c>
      <c r="C639" s="24" t="s">
        <v>1240</v>
      </c>
      <c r="D639" s="24" t="s">
        <v>1232</v>
      </c>
      <c r="E639" s="24" t="s">
        <v>1231</v>
      </c>
      <c r="F639" s="24" t="s">
        <v>132</v>
      </c>
      <c r="G639" s="24" t="s">
        <v>1271</v>
      </c>
      <c r="H639" s="26">
        <v>8</v>
      </c>
      <c r="I639" s="26">
        <v>4740.97</v>
      </c>
      <c r="J639" s="26">
        <v>37927.760000000002</v>
      </c>
    </row>
    <row r="640" spans="1:10">
      <c r="A640" s="25">
        <v>45060</v>
      </c>
      <c r="B640" s="24" t="s">
        <v>1260</v>
      </c>
      <c r="C640" s="24" t="s">
        <v>1236</v>
      </c>
      <c r="D640" s="24" t="s">
        <v>1235</v>
      </c>
      <c r="E640" s="24" t="s">
        <v>1231</v>
      </c>
      <c r="F640" s="24" t="s">
        <v>145</v>
      </c>
      <c r="G640" s="24" t="s">
        <v>1274</v>
      </c>
      <c r="H640" s="26">
        <v>4</v>
      </c>
      <c r="I640" s="26">
        <v>917.97</v>
      </c>
      <c r="J640" s="26">
        <v>3671.88</v>
      </c>
    </row>
    <row r="641" spans="1:10">
      <c r="A641" s="25">
        <v>45055</v>
      </c>
      <c r="B641" s="24" t="s">
        <v>1260</v>
      </c>
      <c r="C641" s="24" t="s">
        <v>1169</v>
      </c>
      <c r="D641" s="24" t="s">
        <v>1230</v>
      </c>
      <c r="E641" s="24" t="s">
        <v>1229</v>
      </c>
      <c r="F641" s="24" t="s">
        <v>128</v>
      </c>
      <c r="G641" s="24" t="s">
        <v>1264</v>
      </c>
      <c r="H641" s="26">
        <v>10</v>
      </c>
      <c r="I641" s="26">
        <v>224.53</v>
      </c>
      <c r="J641" s="26">
        <v>2245.3000000000002</v>
      </c>
    </row>
    <row r="642" spans="1:10">
      <c r="A642" s="25">
        <v>44973</v>
      </c>
      <c r="B642" s="24" t="s">
        <v>1254</v>
      </c>
      <c r="C642" s="24" t="s">
        <v>1245</v>
      </c>
      <c r="D642" s="24" t="s">
        <v>1243</v>
      </c>
      <c r="E642" s="24" t="s">
        <v>1242</v>
      </c>
      <c r="F642" s="24" t="s">
        <v>145</v>
      </c>
      <c r="G642" s="24" t="s">
        <v>1274</v>
      </c>
      <c r="H642" s="26">
        <v>1</v>
      </c>
      <c r="I642" s="26">
        <v>3246.08</v>
      </c>
      <c r="J642" s="26">
        <v>3246.08</v>
      </c>
    </row>
    <row r="643" spans="1:10">
      <c r="A643" s="25">
        <v>45248</v>
      </c>
      <c r="B643" s="24" t="s">
        <v>1256</v>
      </c>
      <c r="C643" s="24" t="s">
        <v>1239</v>
      </c>
      <c r="D643" s="24" t="s">
        <v>1237</v>
      </c>
      <c r="E643" s="24" t="s">
        <v>1229</v>
      </c>
      <c r="F643" s="24" t="s">
        <v>132</v>
      </c>
      <c r="G643" s="24" t="s">
        <v>1279</v>
      </c>
      <c r="H643" s="26">
        <v>16</v>
      </c>
      <c r="I643" s="26">
        <v>1411.33</v>
      </c>
      <c r="J643" s="26">
        <v>22581.279999999999</v>
      </c>
    </row>
    <row r="644" spans="1:10">
      <c r="A644" s="25">
        <v>45051</v>
      </c>
      <c r="B644" s="24" t="s">
        <v>1252</v>
      </c>
      <c r="C644" s="24" t="s">
        <v>1233</v>
      </c>
      <c r="D644" s="24" t="s">
        <v>1232</v>
      </c>
      <c r="E644" s="24" t="s">
        <v>1231</v>
      </c>
      <c r="F644" s="24" t="s">
        <v>128</v>
      </c>
      <c r="G644" s="24" t="s">
        <v>1273</v>
      </c>
      <c r="H644" s="26">
        <v>19</v>
      </c>
      <c r="I644" s="26">
        <v>2174.06</v>
      </c>
      <c r="J644" s="26">
        <v>41307.14</v>
      </c>
    </row>
    <row r="645" spans="1:10">
      <c r="A645" s="25">
        <v>45026</v>
      </c>
      <c r="B645" s="24" t="s">
        <v>1252</v>
      </c>
      <c r="C645" s="24" t="s">
        <v>1240</v>
      </c>
      <c r="D645" s="24" t="s">
        <v>1232</v>
      </c>
      <c r="E645" s="24" t="s">
        <v>1231</v>
      </c>
      <c r="F645" s="24" t="s">
        <v>1249</v>
      </c>
      <c r="G645" s="24" t="s">
        <v>1268</v>
      </c>
      <c r="H645" s="26">
        <v>2</v>
      </c>
      <c r="I645" s="26">
        <v>1194.4000000000001</v>
      </c>
      <c r="J645" s="26">
        <v>2388.8000000000002</v>
      </c>
    </row>
    <row r="646" spans="1:10">
      <c r="A646" s="25">
        <v>45188</v>
      </c>
      <c r="B646" s="24" t="s">
        <v>1267</v>
      </c>
      <c r="C646" s="24" t="s">
        <v>1169</v>
      </c>
      <c r="D646" s="24" t="s">
        <v>1230</v>
      </c>
      <c r="E646" s="24" t="s">
        <v>1229</v>
      </c>
      <c r="F646" s="24" t="s">
        <v>128</v>
      </c>
      <c r="G646" s="24" t="s">
        <v>1264</v>
      </c>
      <c r="H646" s="26">
        <v>2</v>
      </c>
      <c r="I646" s="26">
        <v>3726.58</v>
      </c>
      <c r="J646" s="26">
        <v>7453.16</v>
      </c>
    </row>
    <row r="647" spans="1:10">
      <c r="A647" s="25">
        <v>45085</v>
      </c>
      <c r="B647" s="24" t="s">
        <v>1262</v>
      </c>
      <c r="C647" s="24" t="s">
        <v>1233</v>
      </c>
      <c r="D647" s="24" t="s">
        <v>1232</v>
      </c>
      <c r="E647" s="24" t="s">
        <v>1231</v>
      </c>
      <c r="F647" s="24" t="s">
        <v>132</v>
      </c>
      <c r="G647" s="24" t="s">
        <v>1277</v>
      </c>
      <c r="H647" s="26">
        <v>5</v>
      </c>
      <c r="I647" s="26">
        <v>1599.65</v>
      </c>
      <c r="J647" s="26">
        <v>7998.25</v>
      </c>
    </row>
    <row r="648" spans="1:10">
      <c r="A648" s="25">
        <v>45258</v>
      </c>
      <c r="B648" s="24" t="s">
        <v>1265</v>
      </c>
      <c r="C648" s="24" t="s">
        <v>1247</v>
      </c>
      <c r="D648" s="24" t="s">
        <v>1243</v>
      </c>
      <c r="E648" s="24" t="s">
        <v>1242</v>
      </c>
      <c r="F648" s="24" t="s">
        <v>132</v>
      </c>
      <c r="G648" s="24" t="s">
        <v>1253</v>
      </c>
      <c r="H648" s="26">
        <v>16</v>
      </c>
      <c r="I648" s="26">
        <v>1628.19</v>
      </c>
      <c r="J648" s="26">
        <v>26051.040000000001</v>
      </c>
    </row>
    <row r="649" spans="1:10">
      <c r="A649" s="25">
        <v>45070</v>
      </c>
      <c r="B649" s="24" t="s">
        <v>1265</v>
      </c>
      <c r="C649" s="24" t="s">
        <v>1241</v>
      </c>
      <c r="D649" s="24" t="s">
        <v>1235</v>
      </c>
      <c r="E649" s="24" t="s">
        <v>1231</v>
      </c>
      <c r="F649" s="24" t="s">
        <v>128</v>
      </c>
      <c r="G649" s="24" t="s">
        <v>1266</v>
      </c>
      <c r="H649" s="26">
        <v>17</v>
      </c>
      <c r="I649" s="26">
        <v>3381.75</v>
      </c>
      <c r="J649" s="26">
        <v>57489.75</v>
      </c>
    </row>
    <row r="650" spans="1:10">
      <c r="A650" s="25">
        <v>45229</v>
      </c>
      <c r="B650" s="24" t="s">
        <v>1254</v>
      </c>
      <c r="C650" s="24" t="s">
        <v>1236</v>
      </c>
      <c r="D650" s="24" t="s">
        <v>1235</v>
      </c>
      <c r="E650" s="24" t="s">
        <v>1231</v>
      </c>
      <c r="F650" s="24" t="s">
        <v>145</v>
      </c>
      <c r="G650" s="24" t="s">
        <v>1255</v>
      </c>
      <c r="H650" s="26">
        <v>18</v>
      </c>
      <c r="I650" s="26">
        <v>3627.09</v>
      </c>
      <c r="J650" s="26">
        <v>65287.62</v>
      </c>
    </row>
    <row r="651" spans="1:10">
      <c r="A651" s="25">
        <v>45077</v>
      </c>
      <c r="B651" s="24" t="s">
        <v>1252</v>
      </c>
      <c r="C651" s="24" t="s">
        <v>1169</v>
      </c>
      <c r="D651" s="24" t="s">
        <v>1230</v>
      </c>
      <c r="E651" s="24" t="s">
        <v>1229</v>
      </c>
      <c r="F651" s="24" t="s">
        <v>1249</v>
      </c>
      <c r="G651" s="24" t="s">
        <v>1259</v>
      </c>
      <c r="H651" s="26">
        <v>2</v>
      </c>
      <c r="I651" s="26">
        <v>3106.64</v>
      </c>
      <c r="J651" s="26">
        <v>6213.28</v>
      </c>
    </row>
    <row r="652" spans="1:10">
      <c r="A652" s="25">
        <v>44995</v>
      </c>
      <c r="B652" s="24" t="s">
        <v>1252</v>
      </c>
      <c r="C652" s="24" t="s">
        <v>1173</v>
      </c>
      <c r="D652" s="24" t="s">
        <v>1237</v>
      </c>
      <c r="E652" s="24" t="s">
        <v>1229</v>
      </c>
      <c r="F652" s="24" t="s">
        <v>120</v>
      </c>
      <c r="G652" s="24" t="s">
        <v>1165</v>
      </c>
      <c r="H652" s="26">
        <v>15</v>
      </c>
      <c r="I652" s="26">
        <v>4310.01</v>
      </c>
      <c r="J652" s="26">
        <v>64650.15</v>
      </c>
    </row>
    <row r="653" spans="1:10">
      <c r="A653" s="25">
        <v>44988</v>
      </c>
      <c r="B653" s="24" t="s">
        <v>1263</v>
      </c>
      <c r="C653" s="24" t="s">
        <v>1246</v>
      </c>
      <c r="D653" s="24" t="s">
        <v>1230</v>
      </c>
      <c r="E653" s="24" t="s">
        <v>1229</v>
      </c>
      <c r="F653" s="24" t="s">
        <v>132</v>
      </c>
      <c r="G653" s="24" t="s">
        <v>1253</v>
      </c>
      <c r="H653" s="26">
        <v>14</v>
      </c>
      <c r="I653" s="26">
        <v>3352.19</v>
      </c>
      <c r="J653" s="26">
        <v>46930.66</v>
      </c>
    </row>
    <row r="654" spans="1:10">
      <c r="A654" s="25">
        <v>45061</v>
      </c>
      <c r="B654" s="24" t="s">
        <v>1258</v>
      </c>
      <c r="C654" s="24" t="s">
        <v>1247</v>
      </c>
      <c r="D654" s="24" t="s">
        <v>1243</v>
      </c>
      <c r="E654" s="24" t="s">
        <v>1242</v>
      </c>
      <c r="F654" s="24" t="s">
        <v>120</v>
      </c>
      <c r="G654" s="24" t="s">
        <v>1275</v>
      </c>
      <c r="H654" s="26">
        <v>18</v>
      </c>
      <c r="I654" s="26">
        <v>214.47</v>
      </c>
      <c r="J654" s="26">
        <v>3860.46</v>
      </c>
    </row>
    <row r="655" spans="1:10">
      <c r="A655" s="25">
        <v>45000</v>
      </c>
      <c r="B655" s="24" t="s">
        <v>1252</v>
      </c>
      <c r="C655" s="24" t="s">
        <v>1238</v>
      </c>
      <c r="D655" s="24" t="s">
        <v>1235</v>
      </c>
      <c r="E655" s="24" t="s">
        <v>1231</v>
      </c>
      <c r="F655" s="24" t="s">
        <v>1249</v>
      </c>
      <c r="G655" s="24" t="s">
        <v>1259</v>
      </c>
      <c r="H655" s="26">
        <v>3</v>
      </c>
      <c r="I655" s="26">
        <v>1810.87</v>
      </c>
      <c r="J655" s="26">
        <v>5432.61</v>
      </c>
    </row>
    <row r="656" spans="1:10">
      <c r="A656" s="25">
        <v>44956</v>
      </c>
      <c r="B656" s="24" t="s">
        <v>1267</v>
      </c>
      <c r="C656" s="24" t="s">
        <v>1244</v>
      </c>
      <c r="D656" s="24" t="s">
        <v>1243</v>
      </c>
      <c r="E656" s="24" t="s">
        <v>1242</v>
      </c>
      <c r="F656" s="24" t="s">
        <v>132</v>
      </c>
      <c r="G656" s="24" t="s">
        <v>1277</v>
      </c>
      <c r="H656" s="26">
        <v>3</v>
      </c>
      <c r="I656" s="26">
        <v>1105.46</v>
      </c>
      <c r="J656" s="26">
        <v>3316.38</v>
      </c>
    </row>
    <row r="657" spans="1:10">
      <c r="A657" s="25">
        <v>45166</v>
      </c>
      <c r="B657" s="24" t="s">
        <v>1269</v>
      </c>
      <c r="C657" s="24" t="s">
        <v>1171</v>
      </c>
      <c r="D657" s="24" t="s">
        <v>1237</v>
      </c>
      <c r="E657" s="24" t="s">
        <v>1229</v>
      </c>
      <c r="F657" s="24" t="s">
        <v>1249</v>
      </c>
      <c r="G657" s="24" t="s">
        <v>1268</v>
      </c>
      <c r="H657" s="26">
        <v>10</v>
      </c>
      <c r="I657" s="26">
        <v>3707.43</v>
      </c>
      <c r="J657" s="26">
        <v>37074.300000000003</v>
      </c>
    </row>
    <row r="658" spans="1:10">
      <c r="A658" s="25">
        <v>45209</v>
      </c>
      <c r="B658" s="24" t="s">
        <v>1265</v>
      </c>
      <c r="C658" s="24" t="s">
        <v>1240</v>
      </c>
      <c r="D658" s="24" t="s">
        <v>1232</v>
      </c>
      <c r="E658" s="24" t="s">
        <v>1231</v>
      </c>
      <c r="F658" s="24" t="s">
        <v>120</v>
      </c>
      <c r="G658" s="24" t="s">
        <v>1275</v>
      </c>
      <c r="H658" s="26">
        <v>18</v>
      </c>
      <c r="I658" s="26">
        <v>584.4</v>
      </c>
      <c r="J658" s="26">
        <v>10519.2</v>
      </c>
    </row>
    <row r="659" spans="1:10">
      <c r="A659" s="25">
        <v>44985</v>
      </c>
      <c r="B659" s="24" t="s">
        <v>1254</v>
      </c>
      <c r="C659" s="24" t="s">
        <v>1238</v>
      </c>
      <c r="D659" s="24" t="s">
        <v>1235</v>
      </c>
      <c r="E659" s="24" t="s">
        <v>1231</v>
      </c>
      <c r="F659" s="24" t="s">
        <v>132</v>
      </c>
      <c r="G659" s="24" t="s">
        <v>1277</v>
      </c>
      <c r="H659" s="26">
        <v>1</v>
      </c>
      <c r="I659" s="26">
        <v>2498.7399999999998</v>
      </c>
      <c r="J659" s="26">
        <v>2498.7399999999998</v>
      </c>
    </row>
    <row r="660" spans="1:10">
      <c r="A660" s="25">
        <v>44992</v>
      </c>
      <c r="B660" s="24" t="s">
        <v>1260</v>
      </c>
      <c r="C660" s="24" t="s">
        <v>1241</v>
      </c>
      <c r="D660" s="24" t="s">
        <v>1235</v>
      </c>
      <c r="E660" s="24" t="s">
        <v>1231</v>
      </c>
      <c r="F660" s="24" t="s">
        <v>120</v>
      </c>
      <c r="G660" s="24" t="s">
        <v>1275</v>
      </c>
      <c r="H660" s="26">
        <v>17</v>
      </c>
      <c r="I660" s="26">
        <v>2460.73</v>
      </c>
      <c r="J660" s="26">
        <v>41832.410000000003</v>
      </c>
    </row>
    <row r="661" spans="1:10">
      <c r="A661" s="25">
        <v>44938</v>
      </c>
      <c r="B661" s="24" t="s">
        <v>1267</v>
      </c>
      <c r="C661" s="24" t="s">
        <v>1239</v>
      </c>
      <c r="D661" s="24" t="s">
        <v>1237</v>
      </c>
      <c r="E661" s="24" t="s">
        <v>1229</v>
      </c>
      <c r="F661" s="24" t="s">
        <v>132</v>
      </c>
      <c r="G661" s="24" t="s">
        <v>1253</v>
      </c>
      <c r="H661" s="26">
        <v>13</v>
      </c>
      <c r="I661" s="26">
        <v>4630.9799999999996</v>
      </c>
      <c r="J661" s="26">
        <v>60202.74</v>
      </c>
    </row>
    <row r="662" spans="1:10">
      <c r="A662" s="25">
        <v>45241</v>
      </c>
      <c r="B662" s="24" t="s">
        <v>1258</v>
      </c>
      <c r="C662" s="24" t="s">
        <v>1241</v>
      </c>
      <c r="D662" s="24" t="s">
        <v>1235</v>
      </c>
      <c r="E662" s="24" t="s">
        <v>1231</v>
      </c>
      <c r="F662" s="24" t="s">
        <v>120</v>
      </c>
      <c r="G662" s="24" t="s">
        <v>1276</v>
      </c>
      <c r="H662" s="26">
        <v>3</v>
      </c>
      <c r="I662" s="26">
        <v>4324.88</v>
      </c>
      <c r="J662" s="26">
        <v>12974.64</v>
      </c>
    </row>
    <row r="663" spans="1:10">
      <c r="A663" s="25">
        <v>45211</v>
      </c>
      <c r="B663" s="24" t="s">
        <v>1252</v>
      </c>
      <c r="C663" s="24" t="s">
        <v>1244</v>
      </c>
      <c r="D663" s="24" t="s">
        <v>1243</v>
      </c>
      <c r="E663" s="24" t="s">
        <v>1242</v>
      </c>
      <c r="F663" s="24" t="s">
        <v>120</v>
      </c>
      <c r="G663" s="24" t="s">
        <v>1276</v>
      </c>
      <c r="H663" s="26">
        <v>20</v>
      </c>
      <c r="I663" s="26">
        <v>4049.4</v>
      </c>
      <c r="J663" s="26">
        <v>80988</v>
      </c>
    </row>
    <row r="664" spans="1:10">
      <c r="A664" s="25">
        <v>45207</v>
      </c>
      <c r="B664" s="24" t="s">
        <v>1254</v>
      </c>
      <c r="C664" s="24" t="s">
        <v>1246</v>
      </c>
      <c r="D664" s="24" t="s">
        <v>1230</v>
      </c>
      <c r="E664" s="24" t="s">
        <v>1229</v>
      </c>
      <c r="F664" s="24" t="s">
        <v>1249</v>
      </c>
      <c r="G664" s="24" t="s">
        <v>1272</v>
      </c>
      <c r="H664" s="26">
        <v>16</v>
      </c>
      <c r="I664" s="26">
        <v>2347.21</v>
      </c>
      <c r="J664" s="26">
        <v>37555.360000000001</v>
      </c>
    </row>
    <row r="665" spans="1:10">
      <c r="A665" s="25">
        <v>45254</v>
      </c>
      <c r="B665" s="24" t="s">
        <v>1254</v>
      </c>
      <c r="C665" s="24" t="s">
        <v>1173</v>
      </c>
      <c r="D665" s="24" t="s">
        <v>1237</v>
      </c>
      <c r="E665" s="24" t="s">
        <v>1229</v>
      </c>
      <c r="F665" s="24" t="s">
        <v>128</v>
      </c>
      <c r="G665" s="24" t="s">
        <v>1273</v>
      </c>
      <c r="H665" s="26">
        <v>2</v>
      </c>
      <c r="I665" s="26">
        <v>3743.52</v>
      </c>
      <c r="J665" s="26">
        <v>7487.04</v>
      </c>
    </row>
    <row r="666" spans="1:10">
      <c r="A666" s="25">
        <v>45221</v>
      </c>
      <c r="B666" s="24" t="s">
        <v>1256</v>
      </c>
      <c r="C666" s="24" t="s">
        <v>1236</v>
      </c>
      <c r="D666" s="24" t="s">
        <v>1235</v>
      </c>
      <c r="E666" s="24" t="s">
        <v>1231</v>
      </c>
      <c r="F666" s="24" t="s">
        <v>1249</v>
      </c>
      <c r="G666" s="24" t="s">
        <v>1270</v>
      </c>
      <c r="H666" s="26">
        <v>8</v>
      </c>
      <c r="I666" s="26">
        <v>303.48</v>
      </c>
      <c r="J666" s="26">
        <v>2427.84</v>
      </c>
    </row>
    <row r="667" spans="1:10">
      <c r="A667" s="25">
        <v>45183</v>
      </c>
      <c r="B667" s="24" t="s">
        <v>1265</v>
      </c>
      <c r="C667" s="24" t="s">
        <v>1234</v>
      </c>
      <c r="D667" s="24" t="s">
        <v>1232</v>
      </c>
      <c r="E667" s="24" t="s">
        <v>1231</v>
      </c>
      <c r="F667" s="24" t="s">
        <v>132</v>
      </c>
      <c r="G667" s="24" t="s">
        <v>1271</v>
      </c>
      <c r="H667" s="26">
        <v>7</v>
      </c>
      <c r="I667" s="26">
        <v>1373.41</v>
      </c>
      <c r="J667" s="26">
        <v>9613.8700000000008</v>
      </c>
    </row>
    <row r="668" spans="1:10">
      <c r="A668" s="25">
        <v>45006</v>
      </c>
      <c r="B668" s="24" t="s">
        <v>1265</v>
      </c>
      <c r="C668" s="24" t="s">
        <v>1247</v>
      </c>
      <c r="D668" s="24" t="s">
        <v>1243</v>
      </c>
      <c r="E668" s="24" t="s">
        <v>1242</v>
      </c>
      <c r="F668" s="24" t="s">
        <v>120</v>
      </c>
      <c r="G668" s="24" t="s">
        <v>1275</v>
      </c>
      <c r="H668" s="26">
        <v>10</v>
      </c>
      <c r="I668" s="26">
        <v>3048.2</v>
      </c>
      <c r="J668" s="26">
        <v>30482</v>
      </c>
    </row>
    <row r="669" spans="1:10">
      <c r="A669" s="25">
        <v>45290</v>
      </c>
      <c r="B669" s="24" t="s">
        <v>1267</v>
      </c>
      <c r="C669" s="24" t="s">
        <v>1248</v>
      </c>
      <c r="D669" s="24" t="s">
        <v>1230</v>
      </c>
      <c r="E669" s="24" t="s">
        <v>1229</v>
      </c>
      <c r="F669" s="24" t="s">
        <v>132</v>
      </c>
      <c r="G669" s="24" t="s">
        <v>1271</v>
      </c>
      <c r="H669" s="26">
        <v>20</v>
      </c>
      <c r="I669" s="26">
        <v>2818.78</v>
      </c>
      <c r="J669" s="26">
        <v>56375.6</v>
      </c>
    </row>
    <row r="670" spans="1:10">
      <c r="A670" s="25">
        <v>45234</v>
      </c>
      <c r="B670" s="24" t="s">
        <v>1254</v>
      </c>
      <c r="C670" s="24" t="s">
        <v>1173</v>
      </c>
      <c r="D670" s="24" t="s">
        <v>1237</v>
      </c>
      <c r="E670" s="24" t="s">
        <v>1229</v>
      </c>
      <c r="F670" s="24" t="s">
        <v>128</v>
      </c>
      <c r="G670" s="24" t="s">
        <v>1273</v>
      </c>
      <c r="H670" s="26">
        <v>1</v>
      </c>
      <c r="I670" s="26">
        <v>4647.3</v>
      </c>
      <c r="J670" s="26">
        <v>4647.3</v>
      </c>
    </row>
    <row r="671" spans="1:10">
      <c r="A671" s="25">
        <v>44964</v>
      </c>
      <c r="B671" s="24" t="s">
        <v>1256</v>
      </c>
      <c r="C671" s="24" t="s">
        <v>1169</v>
      </c>
      <c r="D671" s="24" t="s">
        <v>1230</v>
      </c>
      <c r="E671" s="24" t="s">
        <v>1229</v>
      </c>
      <c r="F671" s="24" t="s">
        <v>128</v>
      </c>
      <c r="G671" s="24" t="s">
        <v>1257</v>
      </c>
      <c r="H671" s="26">
        <v>20</v>
      </c>
      <c r="I671" s="26">
        <v>2302.4699999999998</v>
      </c>
      <c r="J671" s="26">
        <v>46049.4</v>
      </c>
    </row>
    <row r="672" spans="1:10">
      <c r="A672" s="25">
        <v>45011</v>
      </c>
      <c r="B672" s="24" t="s">
        <v>1269</v>
      </c>
      <c r="C672" s="24" t="s">
        <v>1247</v>
      </c>
      <c r="D672" s="24" t="s">
        <v>1243</v>
      </c>
      <c r="E672" s="24" t="s">
        <v>1242</v>
      </c>
      <c r="F672" s="24" t="s">
        <v>132</v>
      </c>
      <c r="G672" s="24" t="s">
        <v>1271</v>
      </c>
      <c r="H672" s="26">
        <v>17</v>
      </c>
      <c r="I672" s="26">
        <v>2805.45</v>
      </c>
      <c r="J672" s="26">
        <v>47692.65</v>
      </c>
    </row>
    <row r="673" spans="1:10">
      <c r="A673" s="25">
        <v>45030</v>
      </c>
      <c r="B673" s="24" t="s">
        <v>1269</v>
      </c>
      <c r="C673" s="24" t="s">
        <v>1234</v>
      </c>
      <c r="D673" s="24" t="s">
        <v>1232</v>
      </c>
      <c r="E673" s="24" t="s">
        <v>1231</v>
      </c>
      <c r="F673" s="24" t="s">
        <v>120</v>
      </c>
      <c r="G673" s="24" t="s">
        <v>1165</v>
      </c>
      <c r="H673" s="26">
        <v>3</v>
      </c>
      <c r="I673" s="26">
        <v>413.26</v>
      </c>
      <c r="J673" s="26">
        <v>1239.78</v>
      </c>
    </row>
    <row r="674" spans="1:10">
      <c r="A674" s="25">
        <v>45004</v>
      </c>
      <c r="B674" s="24" t="s">
        <v>1260</v>
      </c>
      <c r="C674" s="24" t="s">
        <v>1169</v>
      </c>
      <c r="D674" s="24" t="s">
        <v>1230</v>
      </c>
      <c r="E674" s="24" t="s">
        <v>1229</v>
      </c>
      <c r="F674" s="24" t="s">
        <v>128</v>
      </c>
      <c r="G674" s="24" t="s">
        <v>1264</v>
      </c>
      <c r="H674" s="26">
        <v>17</v>
      </c>
      <c r="I674" s="26">
        <v>3203.04</v>
      </c>
      <c r="J674" s="26">
        <v>54451.68</v>
      </c>
    </row>
    <row r="675" spans="1:10">
      <c r="A675" s="25">
        <v>45030</v>
      </c>
      <c r="B675" s="24" t="s">
        <v>1262</v>
      </c>
      <c r="C675" s="24" t="s">
        <v>1248</v>
      </c>
      <c r="D675" s="24" t="s">
        <v>1230</v>
      </c>
      <c r="E675" s="24" t="s">
        <v>1229</v>
      </c>
      <c r="F675" s="24" t="s">
        <v>128</v>
      </c>
      <c r="G675" s="24" t="s">
        <v>1257</v>
      </c>
      <c r="H675" s="26">
        <v>4</v>
      </c>
      <c r="I675" s="26">
        <v>1906.89</v>
      </c>
      <c r="J675" s="26">
        <v>7627.56</v>
      </c>
    </row>
    <row r="676" spans="1:10">
      <c r="A676" s="25">
        <v>45103</v>
      </c>
      <c r="B676" s="24" t="s">
        <v>1267</v>
      </c>
      <c r="C676" s="24" t="s">
        <v>1244</v>
      </c>
      <c r="D676" s="24" t="s">
        <v>1243</v>
      </c>
      <c r="E676" s="24" t="s">
        <v>1242</v>
      </c>
      <c r="F676" s="24" t="s">
        <v>1249</v>
      </c>
      <c r="G676" s="24" t="s">
        <v>1272</v>
      </c>
      <c r="H676" s="26">
        <v>14</v>
      </c>
      <c r="I676" s="26">
        <v>3829.68</v>
      </c>
      <c r="J676" s="26">
        <v>53615.519999999997</v>
      </c>
    </row>
    <row r="677" spans="1:10">
      <c r="A677" s="25">
        <v>45040</v>
      </c>
      <c r="B677" s="24" t="s">
        <v>1254</v>
      </c>
      <c r="C677" s="24" t="s">
        <v>1233</v>
      </c>
      <c r="D677" s="24" t="s">
        <v>1232</v>
      </c>
      <c r="E677" s="24" t="s">
        <v>1231</v>
      </c>
      <c r="F677" s="24" t="s">
        <v>145</v>
      </c>
      <c r="G677" s="24" t="s">
        <v>1255</v>
      </c>
      <c r="H677" s="26">
        <v>19</v>
      </c>
      <c r="I677" s="26">
        <v>2636.08</v>
      </c>
      <c r="J677" s="26">
        <v>50085.52</v>
      </c>
    </row>
    <row r="678" spans="1:10">
      <c r="A678" s="25">
        <v>45149</v>
      </c>
      <c r="B678" s="24" t="s">
        <v>1252</v>
      </c>
      <c r="C678" s="24" t="s">
        <v>1234</v>
      </c>
      <c r="D678" s="24" t="s">
        <v>1232</v>
      </c>
      <c r="E678" s="24" t="s">
        <v>1231</v>
      </c>
      <c r="F678" s="24" t="s">
        <v>120</v>
      </c>
      <c r="G678" s="24" t="s">
        <v>1164</v>
      </c>
      <c r="H678" s="26">
        <v>13</v>
      </c>
      <c r="I678" s="26">
        <v>3994.86</v>
      </c>
      <c r="J678" s="26">
        <v>51933.18</v>
      </c>
    </row>
    <row r="679" spans="1:10">
      <c r="A679" s="25">
        <v>45102</v>
      </c>
      <c r="B679" s="24" t="s">
        <v>1260</v>
      </c>
      <c r="C679" s="24" t="s">
        <v>1248</v>
      </c>
      <c r="D679" s="24" t="s">
        <v>1230</v>
      </c>
      <c r="E679" s="24" t="s">
        <v>1229</v>
      </c>
      <c r="F679" s="24" t="s">
        <v>145</v>
      </c>
      <c r="G679" s="24" t="s">
        <v>1261</v>
      </c>
      <c r="H679" s="26">
        <v>12</v>
      </c>
      <c r="I679" s="26">
        <v>1554.75</v>
      </c>
      <c r="J679" s="26">
        <v>18657</v>
      </c>
    </row>
    <row r="680" spans="1:10">
      <c r="A680" s="25">
        <v>44933</v>
      </c>
      <c r="B680" s="24" t="s">
        <v>1262</v>
      </c>
      <c r="C680" s="24" t="s">
        <v>1236</v>
      </c>
      <c r="D680" s="24" t="s">
        <v>1235</v>
      </c>
      <c r="E680" s="24" t="s">
        <v>1231</v>
      </c>
      <c r="F680" s="24" t="s">
        <v>145</v>
      </c>
      <c r="G680" s="24" t="s">
        <v>1278</v>
      </c>
      <c r="H680" s="26">
        <v>9</v>
      </c>
      <c r="I680" s="26">
        <v>4674.04</v>
      </c>
      <c r="J680" s="26">
        <v>42066.36</v>
      </c>
    </row>
    <row r="681" spans="1:10">
      <c r="A681" s="25">
        <v>44961</v>
      </c>
      <c r="B681" s="24" t="s">
        <v>1262</v>
      </c>
      <c r="C681" s="24" t="s">
        <v>1246</v>
      </c>
      <c r="D681" s="24" t="s">
        <v>1230</v>
      </c>
      <c r="E681" s="24" t="s">
        <v>1229</v>
      </c>
      <c r="F681" s="24" t="s">
        <v>132</v>
      </c>
      <c r="G681" s="24" t="s">
        <v>1253</v>
      </c>
      <c r="H681" s="26">
        <v>2</v>
      </c>
      <c r="I681" s="26">
        <v>1252.3</v>
      </c>
      <c r="J681" s="26">
        <v>2504.6</v>
      </c>
    </row>
    <row r="682" spans="1:10">
      <c r="A682" s="25">
        <v>45199</v>
      </c>
      <c r="B682" s="24" t="s">
        <v>1258</v>
      </c>
      <c r="C682" s="24" t="s">
        <v>1238</v>
      </c>
      <c r="D682" s="24" t="s">
        <v>1235</v>
      </c>
      <c r="E682" s="24" t="s">
        <v>1231</v>
      </c>
      <c r="F682" s="24" t="s">
        <v>145</v>
      </c>
      <c r="G682" s="24" t="s">
        <v>1261</v>
      </c>
      <c r="H682" s="26">
        <v>15</v>
      </c>
      <c r="I682" s="26">
        <v>1738.86</v>
      </c>
      <c r="J682" s="26">
        <v>26082.9</v>
      </c>
    </row>
    <row r="683" spans="1:10">
      <c r="A683" s="25">
        <v>45229</v>
      </c>
      <c r="B683" s="24" t="s">
        <v>1254</v>
      </c>
      <c r="C683" s="24" t="s">
        <v>1169</v>
      </c>
      <c r="D683" s="24" t="s">
        <v>1230</v>
      </c>
      <c r="E683" s="24" t="s">
        <v>1229</v>
      </c>
      <c r="F683" s="24" t="s">
        <v>128</v>
      </c>
      <c r="G683" s="24" t="s">
        <v>1264</v>
      </c>
      <c r="H683" s="26">
        <v>4</v>
      </c>
      <c r="I683" s="26">
        <v>2527.15</v>
      </c>
      <c r="J683" s="26">
        <v>10108.6</v>
      </c>
    </row>
    <row r="684" spans="1:10">
      <c r="A684" s="25">
        <v>44958</v>
      </c>
      <c r="B684" s="24" t="s">
        <v>1258</v>
      </c>
      <c r="C684" s="24" t="s">
        <v>1248</v>
      </c>
      <c r="D684" s="24" t="s">
        <v>1230</v>
      </c>
      <c r="E684" s="24" t="s">
        <v>1229</v>
      </c>
      <c r="F684" s="24" t="s">
        <v>128</v>
      </c>
      <c r="G684" s="24" t="s">
        <v>1257</v>
      </c>
      <c r="H684" s="26">
        <v>17</v>
      </c>
      <c r="I684" s="26">
        <v>4247.5600000000004</v>
      </c>
      <c r="J684" s="26">
        <v>72208.52</v>
      </c>
    </row>
    <row r="685" spans="1:10">
      <c r="A685" s="25">
        <v>45279</v>
      </c>
      <c r="B685" s="24" t="s">
        <v>1267</v>
      </c>
      <c r="C685" s="24" t="s">
        <v>1233</v>
      </c>
      <c r="D685" s="24" t="s">
        <v>1232</v>
      </c>
      <c r="E685" s="24" t="s">
        <v>1231</v>
      </c>
      <c r="F685" s="24" t="s">
        <v>1249</v>
      </c>
      <c r="G685" s="24" t="s">
        <v>1259</v>
      </c>
      <c r="H685" s="26">
        <v>8</v>
      </c>
      <c r="I685" s="26">
        <v>978.4</v>
      </c>
      <c r="J685" s="26">
        <v>7827.2</v>
      </c>
    </row>
    <row r="686" spans="1:10">
      <c r="A686" s="25">
        <v>45141</v>
      </c>
      <c r="B686" s="24" t="s">
        <v>1267</v>
      </c>
      <c r="C686" s="24" t="s">
        <v>1246</v>
      </c>
      <c r="D686" s="24" t="s">
        <v>1230</v>
      </c>
      <c r="E686" s="24" t="s">
        <v>1229</v>
      </c>
      <c r="F686" s="24" t="s">
        <v>132</v>
      </c>
      <c r="G686" s="24" t="s">
        <v>1277</v>
      </c>
      <c r="H686" s="26">
        <v>5</v>
      </c>
      <c r="I686" s="26">
        <v>1530.16</v>
      </c>
      <c r="J686" s="26">
        <v>7650.8</v>
      </c>
    </row>
    <row r="687" spans="1:10">
      <c r="A687" s="25">
        <v>44962</v>
      </c>
      <c r="B687" s="24" t="s">
        <v>1269</v>
      </c>
      <c r="C687" s="24" t="s">
        <v>1234</v>
      </c>
      <c r="D687" s="24" t="s">
        <v>1232</v>
      </c>
      <c r="E687" s="24" t="s">
        <v>1231</v>
      </c>
      <c r="F687" s="24" t="s">
        <v>132</v>
      </c>
      <c r="G687" s="24" t="s">
        <v>1277</v>
      </c>
      <c r="H687" s="26">
        <v>15</v>
      </c>
      <c r="I687" s="26">
        <v>4748.62</v>
      </c>
      <c r="J687" s="26">
        <v>71229.3</v>
      </c>
    </row>
    <row r="688" spans="1:10">
      <c r="A688" s="25">
        <v>45249</v>
      </c>
      <c r="B688" s="24" t="s">
        <v>1267</v>
      </c>
      <c r="C688" s="24" t="s">
        <v>1241</v>
      </c>
      <c r="D688" s="24" t="s">
        <v>1235</v>
      </c>
      <c r="E688" s="24" t="s">
        <v>1231</v>
      </c>
      <c r="F688" s="24" t="s">
        <v>132</v>
      </c>
      <c r="G688" s="24" t="s">
        <v>1253</v>
      </c>
      <c r="H688" s="26">
        <v>5</v>
      </c>
      <c r="I688" s="26">
        <v>4402.72</v>
      </c>
      <c r="J688" s="26">
        <v>22013.599999999999</v>
      </c>
    </row>
    <row r="689" spans="1:10">
      <c r="A689" s="25">
        <v>45117</v>
      </c>
      <c r="B689" s="24" t="s">
        <v>1252</v>
      </c>
      <c r="C689" s="24" t="s">
        <v>1171</v>
      </c>
      <c r="D689" s="24" t="s">
        <v>1237</v>
      </c>
      <c r="E689" s="24" t="s">
        <v>1229</v>
      </c>
      <c r="F689" s="24" t="s">
        <v>128</v>
      </c>
      <c r="G689" s="24" t="s">
        <v>1257</v>
      </c>
      <c r="H689" s="26">
        <v>16</v>
      </c>
      <c r="I689" s="26">
        <v>3858.12</v>
      </c>
      <c r="J689" s="26">
        <v>61729.919999999998</v>
      </c>
    </row>
    <row r="690" spans="1:10">
      <c r="A690" s="25">
        <v>44956</v>
      </c>
      <c r="B690" s="24" t="s">
        <v>1256</v>
      </c>
      <c r="C690" s="24" t="s">
        <v>1246</v>
      </c>
      <c r="D690" s="24" t="s">
        <v>1230</v>
      </c>
      <c r="E690" s="24" t="s">
        <v>1229</v>
      </c>
      <c r="F690" s="24" t="s">
        <v>1249</v>
      </c>
      <c r="G690" s="24" t="s">
        <v>1268</v>
      </c>
      <c r="H690" s="26">
        <v>10</v>
      </c>
      <c r="I690" s="26">
        <v>4939.99</v>
      </c>
      <c r="J690" s="26">
        <v>49399.9</v>
      </c>
    </row>
    <row r="691" spans="1:10">
      <c r="A691" s="25">
        <v>45128</v>
      </c>
      <c r="B691" s="24" t="s">
        <v>1252</v>
      </c>
      <c r="C691" s="24" t="s">
        <v>1234</v>
      </c>
      <c r="D691" s="24" t="s">
        <v>1232</v>
      </c>
      <c r="E691" s="24" t="s">
        <v>1231</v>
      </c>
      <c r="F691" s="24" t="s">
        <v>132</v>
      </c>
      <c r="G691" s="24" t="s">
        <v>1279</v>
      </c>
      <c r="H691" s="26">
        <v>8</v>
      </c>
      <c r="I691" s="26">
        <v>2394.87</v>
      </c>
      <c r="J691" s="26">
        <v>19158.96</v>
      </c>
    </row>
    <row r="692" spans="1:10">
      <c r="A692" s="25">
        <v>45257</v>
      </c>
      <c r="B692" s="24" t="s">
        <v>1254</v>
      </c>
      <c r="C692" s="24" t="s">
        <v>1246</v>
      </c>
      <c r="D692" s="24" t="s">
        <v>1230</v>
      </c>
      <c r="E692" s="24" t="s">
        <v>1229</v>
      </c>
      <c r="F692" s="24" t="s">
        <v>128</v>
      </c>
      <c r="G692" s="24" t="s">
        <v>1273</v>
      </c>
      <c r="H692" s="26">
        <v>11</v>
      </c>
      <c r="I692" s="26">
        <v>3277.74</v>
      </c>
      <c r="J692" s="26">
        <v>36055.14</v>
      </c>
    </row>
    <row r="693" spans="1:10">
      <c r="A693" s="25">
        <v>45009</v>
      </c>
      <c r="B693" s="24" t="s">
        <v>1260</v>
      </c>
      <c r="C693" s="24" t="s">
        <v>1241</v>
      </c>
      <c r="D693" s="24" t="s">
        <v>1235</v>
      </c>
      <c r="E693" s="24" t="s">
        <v>1231</v>
      </c>
      <c r="F693" s="24" t="s">
        <v>132</v>
      </c>
      <c r="G693" s="24" t="s">
        <v>1279</v>
      </c>
      <c r="H693" s="26">
        <v>5</v>
      </c>
      <c r="I693" s="26">
        <v>2411.33</v>
      </c>
      <c r="J693" s="26">
        <v>12056.65</v>
      </c>
    </row>
    <row r="694" spans="1:10">
      <c r="A694" s="25">
        <v>45016</v>
      </c>
      <c r="B694" s="24" t="s">
        <v>1256</v>
      </c>
      <c r="C694" s="24" t="s">
        <v>1248</v>
      </c>
      <c r="D694" s="24" t="s">
        <v>1230</v>
      </c>
      <c r="E694" s="24" t="s">
        <v>1229</v>
      </c>
      <c r="F694" s="24" t="s">
        <v>145</v>
      </c>
      <c r="G694" s="24" t="s">
        <v>1274</v>
      </c>
      <c r="H694" s="26">
        <v>17</v>
      </c>
      <c r="I694" s="26">
        <v>3844.7</v>
      </c>
      <c r="J694" s="26">
        <v>65359.9</v>
      </c>
    </row>
    <row r="695" spans="1:10">
      <c r="A695" s="25">
        <v>45136</v>
      </c>
      <c r="B695" s="24" t="s">
        <v>1267</v>
      </c>
      <c r="C695" s="24" t="s">
        <v>1234</v>
      </c>
      <c r="D695" s="24" t="s">
        <v>1232</v>
      </c>
      <c r="E695" s="24" t="s">
        <v>1231</v>
      </c>
      <c r="F695" s="24" t="s">
        <v>128</v>
      </c>
      <c r="G695" s="24" t="s">
        <v>1266</v>
      </c>
      <c r="H695" s="26">
        <v>14</v>
      </c>
      <c r="I695" s="26">
        <v>816.99</v>
      </c>
      <c r="J695" s="26">
        <v>11437.86</v>
      </c>
    </row>
    <row r="696" spans="1:10">
      <c r="A696" s="25">
        <v>45273</v>
      </c>
      <c r="B696" s="24" t="s">
        <v>1263</v>
      </c>
      <c r="C696" s="24" t="s">
        <v>1233</v>
      </c>
      <c r="D696" s="24" t="s">
        <v>1232</v>
      </c>
      <c r="E696" s="24" t="s">
        <v>1231</v>
      </c>
      <c r="F696" s="24" t="s">
        <v>120</v>
      </c>
      <c r="G696" s="24" t="s">
        <v>1276</v>
      </c>
      <c r="H696" s="26">
        <v>3</v>
      </c>
      <c r="I696" s="26">
        <v>3102.92</v>
      </c>
      <c r="J696" s="26">
        <v>9308.76</v>
      </c>
    </row>
    <row r="697" spans="1:10">
      <c r="A697" s="25">
        <v>44970</v>
      </c>
      <c r="B697" s="24" t="s">
        <v>1258</v>
      </c>
      <c r="C697" s="24" t="s">
        <v>1248</v>
      </c>
      <c r="D697" s="24" t="s">
        <v>1230</v>
      </c>
      <c r="E697" s="24" t="s">
        <v>1229</v>
      </c>
      <c r="F697" s="24" t="s">
        <v>120</v>
      </c>
      <c r="G697" s="24" t="s">
        <v>1165</v>
      </c>
      <c r="H697" s="26">
        <v>11</v>
      </c>
      <c r="I697" s="26">
        <v>490.34</v>
      </c>
      <c r="J697" s="26">
        <v>5393.74</v>
      </c>
    </row>
    <row r="698" spans="1:10">
      <c r="A698" s="25">
        <v>45186</v>
      </c>
      <c r="B698" s="24" t="s">
        <v>1262</v>
      </c>
      <c r="C698" s="24" t="s">
        <v>1173</v>
      </c>
      <c r="D698" s="24" t="s">
        <v>1237</v>
      </c>
      <c r="E698" s="24" t="s">
        <v>1229</v>
      </c>
      <c r="F698" s="24" t="s">
        <v>128</v>
      </c>
      <c r="G698" s="24" t="s">
        <v>1266</v>
      </c>
      <c r="H698" s="26">
        <v>6</v>
      </c>
      <c r="I698" s="26">
        <v>4079.26</v>
      </c>
      <c r="J698" s="26">
        <v>24475.56</v>
      </c>
    </row>
    <row r="699" spans="1:10">
      <c r="A699" s="25">
        <v>44988</v>
      </c>
      <c r="B699" s="24" t="s">
        <v>1252</v>
      </c>
      <c r="C699" s="24" t="s">
        <v>1245</v>
      </c>
      <c r="D699" s="24" t="s">
        <v>1243</v>
      </c>
      <c r="E699" s="24" t="s">
        <v>1242</v>
      </c>
      <c r="F699" s="24" t="s">
        <v>132</v>
      </c>
      <c r="G699" s="24" t="s">
        <v>1279</v>
      </c>
      <c r="H699" s="26">
        <v>12</v>
      </c>
      <c r="I699" s="26">
        <v>3229.61</v>
      </c>
      <c r="J699" s="26">
        <v>38755.32</v>
      </c>
    </row>
    <row r="700" spans="1:10">
      <c r="A700" s="25">
        <v>45208</v>
      </c>
      <c r="B700" s="24" t="s">
        <v>1260</v>
      </c>
      <c r="C700" s="24" t="s">
        <v>1240</v>
      </c>
      <c r="D700" s="24" t="s">
        <v>1232</v>
      </c>
      <c r="E700" s="24" t="s">
        <v>1231</v>
      </c>
      <c r="F700" s="24" t="s">
        <v>145</v>
      </c>
      <c r="G700" s="24" t="s">
        <v>1274</v>
      </c>
      <c r="H700" s="26">
        <v>16</v>
      </c>
      <c r="I700" s="26">
        <v>1873.12</v>
      </c>
      <c r="J700" s="26">
        <v>29969.919999999998</v>
      </c>
    </row>
    <row r="701" spans="1:10">
      <c r="A701" s="25">
        <v>44996</v>
      </c>
      <c r="B701" s="24" t="s">
        <v>1258</v>
      </c>
      <c r="C701" s="24" t="s">
        <v>1171</v>
      </c>
      <c r="D701" s="24" t="s">
        <v>1237</v>
      </c>
      <c r="E701" s="24" t="s">
        <v>1229</v>
      </c>
      <c r="F701" s="24" t="s">
        <v>1249</v>
      </c>
      <c r="G701" s="24" t="s">
        <v>1270</v>
      </c>
      <c r="H701" s="26">
        <v>7</v>
      </c>
      <c r="I701" s="26">
        <v>1640.58</v>
      </c>
      <c r="J701" s="26">
        <v>11484.06</v>
      </c>
    </row>
    <row r="702" spans="1:10">
      <c r="A702" s="25">
        <v>45015</v>
      </c>
      <c r="B702" s="24" t="s">
        <v>1252</v>
      </c>
      <c r="C702" s="24" t="s">
        <v>1239</v>
      </c>
      <c r="D702" s="24" t="s">
        <v>1237</v>
      </c>
      <c r="E702" s="24" t="s">
        <v>1229</v>
      </c>
      <c r="F702" s="24" t="s">
        <v>120</v>
      </c>
      <c r="G702" s="24" t="s">
        <v>1165</v>
      </c>
      <c r="H702" s="26">
        <v>13</v>
      </c>
      <c r="I702" s="26">
        <v>4843.21</v>
      </c>
      <c r="J702" s="26">
        <v>62961.73</v>
      </c>
    </row>
    <row r="703" spans="1:10">
      <c r="A703" s="25">
        <v>45229</v>
      </c>
      <c r="B703" s="24" t="s">
        <v>1269</v>
      </c>
      <c r="C703" s="24" t="s">
        <v>1244</v>
      </c>
      <c r="D703" s="24" t="s">
        <v>1243</v>
      </c>
      <c r="E703" s="24" t="s">
        <v>1242</v>
      </c>
      <c r="F703" s="24" t="s">
        <v>145</v>
      </c>
      <c r="G703" s="24" t="s">
        <v>1255</v>
      </c>
      <c r="H703" s="26">
        <v>13</v>
      </c>
      <c r="I703" s="26">
        <v>1782.01</v>
      </c>
      <c r="J703" s="26">
        <v>23166.13</v>
      </c>
    </row>
    <row r="704" spans="1:10">
      <c r="A704" s="25">
        <v>45136</v>
      </c>
      <c r="B704" s="24" t="s">
        <v>1269</v>
      </c>
      <c r="C704" s="24" t="s">
        <v>1236</v>
      </c>
      <c r="D704" s="24" t="s">
        <v>1235</v>
      </c>
      <c r="E704" s="24" t="s">
        <v>1231</v>
      </c>
      <c r="F704" s="24" t="s">
        <v>1249</v>
      </c>
      <c r="G704" s="24" t="s">
        <v>1270</v>
      </c>
      <c r="H704" s="26">
        <v>19</v>
      </c>
      <c r="I704" s="26">
        <v>1120.5999999999999</v>
      </c>
      <c r="J704" s="26">
        <v>21291.4</v>
      </c>
    </row>
    <row r="705" spans="1:10">
      <c r="A705" s="25">
        <v>44981</v>
      </c>
      <c r="B705" s="24" t="s">
        <v>1263</v>
      </c>
      <c r="C705" s="24" t="s">
        <v>1241</v>
      </c>
      <c r="D705" s="24" t="s">
        <v>1235</v>
      </c>
      <c r="E705" s="24" t="s">
        <v>1231</v>
      </c>
      <c r="F705" s="24" t="s">
        <v>132</v>
      </c>
      <c r="G705" s="24" t="s">
        <v>1271</v>
      </c>
      <c r="H705" s="26">
        <v>2</v>
      </c>
      <c r="I705" s="26">
        <v>1927.02</v>
      </c>
      <c r="J705" s="26">
        <v>3854.04</v>
      </c>
    </row>
    <row r="706" spans="1:10">
      <c r="A706" s="25">
        <v>44977</v>
      </c>
      <c r="B706" s="24" t="s">
        <v>1258</v>
      </c>
      <c r="C706" s="24" t="s">
        <v>1171</v>
      </c>
      <c r="D706" s="24" t="s">
        <v>1237</v>
      </c>
      <c r="E706" s="24" t="s">
        <v>1229</v>
      </c>
      <c r="F706" s="24" t="s">
        <v>132</v>
      </c>
      <c r="G706" s="24" t="s">
        <v>1277</v>
      </c>
      <c r="H706" s="26">
        <v>15</v>
      </c>
      <c r="I706" s="26">
        <v>4642.6899999999996</v>
      </c>
      <c r="J706" s="26">
        <v>69640.350000000006</v>
      </c>
    </row>
    <row r="707" spans="1:10">
      <c r="A707" s="25">
        <v>45169</v>
      </c>
      <c r="B707" s="24" t="s">
        <v>1258</v>
      </c>
      <c r="C707" s="24" t="s">
        <v>1171</v>
      </c>
      <c r="D707" s="24" t="s">
        <v>1237</v>
      </c>
      <c r="E707" s="24" t="s">
        <v>1229</v>
      </c>
      <c r="F707" s="24" t="s">
        <v>145</v>
      </c>
      <c r="G707" s="24" t="s">
        <v>1255</v>
      </c>
      <c r="H707" s="26">
        <v>19</v>
      </c>
      <c r="I707" s="26">
        <v>3316.87</v>
      </c>
      <c r="J707" s="26">
        <v>63020.53</v>
      </c>
    </row>
    <row r="708" spans="1:10">
      <c r="A708" s="25">
        <v>45142</v>
      </c>
      <c r="B708" s="24" t="s">
        <v>1254</v>
      </c>
      <c r="C708" s="24" t="s">
        <v>1169</v>
      </c>
      <c r="D708" s="24" t="s">
        <v>1230</v>
      </c>
      <c r="E708" s="24" t="s">
        <v>1229</v>
      </c>
      <c r="F708" s="24" t="s">
        <v>145</v>
      </c>
      <c r="G708" s="24" t="s">
        <v>1278</v>
      </c>
      <c r="H708" s="26">
        <v>19</v>
      </c>
      <c r="I708" s="26">
        <v>1372.28</v>
      </c>
      <c r="J708" s="26">
        <v>26073.32</v>
      </c>
    </row>
    <row r="709" spans="1:10">
      <c r="A709" s="25">
        <v>44932</v>
      </c>
      <c r="B709" s="24" t="s">
        <v>1258</v>
      </c>
      <c r="C709" s="24" t="s">
        <v>1241</v>
      </c>
      <c r="D709" s="24" t="s">
        <v>1235</v>
      </c>
      <c r="E709" s="24" t="s">
        <v>1231</v>
      </c>
      <c r="F709" s="24" t="s">
        <v>145</v>
      </c>
      <c r="G709" s="24" t="s">
        <v>1278</v>
      </c>
      <c r="H709" s="26">
        <v>8</v>
      </c>
      <c r="I709" s="26">
        <v>4786.4799999999996</v>
      </c>
      <c r="J709" s="26">
        <v>38291.839999999997</v>
      </c>
    </row>
    <row r="710" spans="1:10">
      <c r="A710" s="25">
        <v>44956</v>
      </c>
      <c r="B710" s="24" t="s">
        <v>1256</v>
      </c>
      <c r="C710" s="24" t="s">
        <v>1233</v>
      </c>
      <c r="D710" s="24" t="s">
        <v>1232</v>
      </c>
      <c r="E710" s="24" t="s">
        <v>1231</v>
      </c>
      <c r="F710" s="24" t="s">
        <v>132</v>
      </c>
      <c r="G710" s="24" t="s">
        <v>1277</v>
      </c>
      <c r="H710" s="26">
        <v>18</v>
      </c>
      <c r="I710" s="26">
        <v>620.92999999999995</v>
      </c>
      <c r="J710" s="26">
        <v>11176.74</v>
      </c>
    </row>
    <row r="711" spans="1:10">
      <c r="A711" s="25">
        <v>45214</v>
      </c>
      <c r="B711" s="24" t="s">
        <v>1269</v>
      </c>
      <c r="C711" s="24" t="s">
        <v>1233</v>
      </c>
      <c r="D711" s="24" t="s">
        <v>1232</v>
      </c>
      <c r="E711" s="24" t="s">
        <v>1231</v>
      </c>
      <c r="F711" s="24" t="s">
        <v>120</v>
      </c>
      <c r="G711" s="24" t="s">
        <v>1276</v>
      </c>
      <c r="H711" s="26">
        <v>4</v>
      </c>
      <c r="I711" s="26">
        <v>1241.21</v>
      </c>
      <c r="J711" s="26">
        <v>4964.84</v>
      </c>
    </row>
    <row r="712" spans="1:10">
      <c r="A712" s="25">
        <v>45120</v>
      </c>
      <c r="B712" s="24" t="s">
        <v>1252</v>
      </c>
      <c r="C712" s="24" t="s">
        <v>1173</v>
      </c>
      <c r="D712" s="24" t="s">
        <v>1237</v>
      </c>
      <c r="E712" s="24" t="s">
        <v>1229</v>
      </c>
      <c r="F712" s="24" t="s">
        <v>120</v>
      </c>
      <c r="G712" s="24" t="s">
        <v>1276</v>
      </c>
      <c r="H712" s="26">
        <v>10</v>
      </c>
      <c r="I712" s="26">
        <v>1823.34</v>
      </c>
      <c r="J712" s="26">
        <v>18233.400000000001</v>
      </c>
    </row>
    <row r="713" spans="1:10">
      <c r="A713" s="25">
        <v>45146</v>
      </c>
      <c r="B713" s="24" t="s">
        <v>1267</v>
      </c>
      <c r="C713" s="24" t="s">
        <v>1173</v>
      </c>
      <c r="D713" s="24" t="s">
        <v>1237</v>
      </c>
      <c r="E713" s="24" t="s">
        <v>1229</v>
      </c>
      <c r="F713" s="24" t="s">
        <v>128</v>
      </c>
      <c r="G713" s="24" t="s">
        <v>1264</v>
      </c>
      <c r="H713" s="26">
        <v>10</v>
      </c>
      <c r="I713" s="26">
        <v>4304.71</v>
      </c>
      <c r="J713" s="26">
        <v>43047.1</v>
      </c>
    </row>
    <row r="714" spans="1:10">
      <c r="A714" s="25">
        <v>45193</v>
      </c>
      <c r="B714" s="24" t="s">
        <v>1269</v>
      </c>
      <c r="C714" s="24" t="s">
        <v>1234</v>
      </c>
      <c r="D714" s="24" t="s">
        <v>1232</v>
      </c>
      <c r="E714" s="24" t="s">
        <v>1231</v>
      </c>
      <c r="F714" s="24" t="s">
        <v>1249</v>
      </c>
      <c r="G714" s="24" t="s">
        <v>1270</v>
      </c>
      <c r="H714" s="26">
        <v>11</v>
      </c>
      <c r="I714" s="26">
        <v>4446.37</v>
      </c>
      <c r="J714" s="26">
        <v>48910.07</v>
      </c>
    </row>
    <row r="715" spans="1:10">
      <c r="A715" s="25">
        <v>45227</v>
      </c>
      <c r="B715" s="24" t="s">
        <v>1256</v>
      </c>
      <c r="C715" s="24" t="s">
        <v>1171</v>
      </c>
      <c r="D715" s="24" t="s">
        <v>1237</v>
      </c>
      <c r="E715" s="24" t="s">
        <v>1229</v>
      </c>
      <c r="F715" s="24" t="s">
        <v>1249</v>
      </c>
      <c r="G715" s="24" t="s">
        <v>1259</v>
      </c>
      <c r="H715" s="26">
        <v>8</v>
      </c>
      <c r="I715" s="26">
        <v>465.32</v>
      </c>
      <c r="J715" s="26">
        <v>3722.56</v>
      </c>
    </row>
    <row r="716" spans="1:10">
      <c r="A716" s="25">
        <v>45221</v>
      </c>
      <c r="B716" s="24" t="s">
        <v>1262</v>
      </c>
      <c r="C716" s="24" t="s">
        <v>1240</v>
      </c>
      <c r="D716" s="24" t="s">
        <v>1232</v>
      </c>
      <c r="E716" s="24" t="s">
        <v>1231</v>
      </c>
      <c r="F716" s="24" t="s">
        <v>145</v>
      </c>
      <c r="G716" s="24" t="s">
        <v>1274</v>
      </c>
      <c r="H716" s="26">
        <v>1</v>
      </c>
      <c r="I716" s="26">
        <v>3431.7</v>
      </c>
      <c r="J716" s="26">
        <v>3431.7</v>
      </c>
    </row>
    <row r="717" spans="1:10">
      <c r="A717" s="25">
        <v>45198</v>
      </c>
      <c r="B717" s="24" t="s">
        <v>1258</v>
      </c>
      <c r="C717" s="24" t="s">
        <v>1171</v>
      </c>
      <c r="D717" s="24" t="s">
        <v>1237</v>
      </c>
      <c r="E717" s="24" t="s">
        <v>1229</v>
      </c>
      <c r="F717" s="24" t="s">
        <v>132</v>
      </c>
      <c r="G717" s="24" t="s">
        <v>1277</v>
      </c>
      <c r="H717" s="26">
        <v>20</v>
      </c>
      <c r="I717" s="26">
        <v>1365.33</v>
      </c>
      <c r="J717" s="26">
        <v>27306.6</v>
      </c>
    </row>
    <row r="718" spans="1:10">
      <c r="A718" s="25">
        <v>45276</v>
      </c>
      <c r="B718" s="24" t="s">
        <v>1256</v>
      </c>
      <c r="C718" s="24" t="s">
        <v>1234</v>
      </c>
      <c r="D718" s="24" t="s">
        <v>1232</v>
      </c>
      <c r="E718" s="24" t="s">
        <v>1231</v>
      </c>
      <c r="F718" s="24" t="s">
        <v>120</v>
      </c>
      <c r="G718" s="24" t="s">
        <v>1164</v>
      </c>
      <c r="H718" s="26">
        <v>14</v>
      </c>
      <c r="I718" s="26">
        <v>2343.4</v>
      </c>
      <c r="J718" s="26">
        <v>32807.599999999999</v>
      </c>
    </row>
    <row r="719" spans="1:10">
      <c r="A719" s="25">
        <v>44932</v>
      </c>
      <c r="B719" s="24" t="s">
        <v>1265</v>
      </c>
      <c r="C719" s="24" t="s">
        <v>1248</v>
      </c>
      <c r="D719" s="24" t="s">
        <v>1230</v>
      </c>
      <c r="E719" s="24" t="s">
        <v>1229</v>
      </c>
      <c r="F719" s="24" t="s">
        <v>120</v>
      </c>
      <c r="G719" s="24" t="s">
        <v>1165</v>
      </c>
      <c r="H719" s="26">
        <v>15</v>
      </c>
      <c r="I719" s="26">
        <v>447.71</v>
      </c>
      <c r="J719" s="26">
        <v>6715.65</v>
      </c>
    </row>
    <row r="720" spans="1:10">
      <c r="A720" s="25">
        <v>44931</v>
      </c>
      <c r="B720" s="24" t="s">
        <v>1265</v>
      </c>
      <c r="C720" s="24" t="s">
        <v>1246</v>
      </c>
      <c r="D720" s="24" t="s">
        <v>1230</v>
      </c>
      <c r="E720" s="24" t="s">
        <v>1229</v>
      </c>
      <c r="F720" s="24" t="s">
        <v>1249</v>
      </c>
      <c r="G720" s="24" t="s">
        <v>1272</v>
      </c>
      <c r="H720" s="26">
        <v>3</v>
      </c>
      <c r="I720" s="26">
        <v>2393.7199999999998</v>
      </c>
      <c r="J720" s="26">
        <v>7181.16</v>
      </c>
    </row>
    <row r="721" spans="1:10">
      <c r="A721" s="25">
        <v>45257</v>
      </c>
      <c r="B721" s="24" t="s">
        <v>1269</v>
      </c>
      <c r="C721" s="24" t="s">
        <v>1244</v>
      </c>
      <c r="D721" s="24" t="s">
        <v>1243</v>
      </c>
      <c r="E721" s="24" t="s">
        <v>1242</v>
      </c>
      <c r="F721" s="24" t="s">
        <v>128</v>
      </c>
      <c r="G721" s="24" t="s">
        <v>1264</v>
      </c>
      <c r="H721" s="26">
        <v>20</v>
      </c>
      <c r="I721" s="26">
        <v>138.6</v>
      </c>
      <c r="J721" s="26">
        <v>2772</v>
      </c>
    </row>
    <row r="722" spans="1:10">
      <c r="A722" s="25">
        <v>45291</v>
      </c>
      <c r="B722" s="24" t="s">
        <v>1263</v>
      </c>
      <c r="C722" s="24" t="s">
        <v>1171</v>
      </c>
      <c r="D722" s="24" t="s">
        <v>1237</v>
      </c>
      <c r="E722" s="24" t="s">
        <v>1229</v>
      </c>
      <c r="F722" s="24" t="s">
        <v>1249</v>
      </c>
      <c r="G722" s="24" t="s">
        <v>1259</v>
      </c>
      <c r="H722" s="26">
        <v>6</v>
      </c>
      <c r="I722" s="26">
        <v>3119.62</v>
      </c>
      <c r="J722" s="26">
        <v>18717.72</v>
      </c>
    </row>
    <row r="723" spans="1:10">
      <c r="A723" s="25">
        <v>45189</v>
      </c>
      <c r="B723" s="24" t="s">
        <v>1260</v>
      </c>
      <c r="C723" s="24" t="s">
        <v>1233</v>
      </c>
      <c r="D723" s="24" t="s">
        <v>1232</v>
      </c>
      <c r="E723" s="24" t="s">
        <v>1231</v>
      </c>
      <c r="F723" s="24" t="s">
        <v>120</v>
      </c>
      <c r="G723" s="24" t="s">
        <v>1276</v>
      </c>
      <c r="H723" s="26">
        <v>1</v>
      </c>
      <c r="I723" s="26">
        <v>4175.7</v>
      </c>
      <c r="J723" s="26">
        <v>4175.7</v>
      </c>
    </row>
    <row r="724" spans="1:10">
      <c r="A724" s="25">
        <v>45283</v>
      </c>
      <c r="B724" s="24" t="s">
        <v>1267</v>
      </c>
      <c r="C724" s="24" t="s">
        <v>1247</v>
      </c>
      <c r="D724" s="24" t="s">
        <v>1243</v>
      </c>
      <c r="E724" s="24" t="s">
        <v>1242</v>
      </c>
      <c r="F724" s="24" t="s">
        <v>145</v>
      </c>
      <c r="G724" s="24" t="s">
        <v>1274</v>
      </c>
      <c r="H724" s="26">
        <v>17</v>
      </c>
      <c r="I724" s="26">
        <v>2655.23</v>
      </c>
      <c r="J724" s="26">
        <v>45138.91</v>
      </c>
    </row>
    <row r="725" spans="1:10">
      <c r="A725" s="25">
        <v>45201</v>
      </c>
      <c r="B725" s="24" t="s">
        <v>1265</v>
      </c>
      <c r="C725" s="24" t="s">
        <v>1245</v>
      </c>
      <c r="D725" s="24" t="s">
        <v>1243</v>
      </c>
      <c r="E725" s="24" t="s">
        <v>1242</v>
      </c>
      <c r="F725" s="24" t="s">
        <v>1249</v>
      </c>
      <c r="G725" s="24" t="s">
        <v>1272</v>
      </c>
      <c r="H725" s="26">
        <v>14</v>
      </c>
      <c r="I725" s="26">
        <v>4235.22</v>
      </c>
      <c r="J725" s="26">
        <v>59293.08</v>
      </c>
    </row>
    <row r="726" spans="1:10">
      <c r="A726" s="25">
        <v>45071</v>
      </c>
      <c r="B726" s="24" t="s">
        <v>1252</v>
      </c>
      <c r="C726" s="24" t="s">
        <v>1244</v>
      </c>
      <c r="D726" s="24" t="s">
        <v>1243</v>
      </c>
      <c r="E726" s="24" t="s">
        <v>1242</v>
      </c>
      <c r="F726" s="24" t="s">
        <v>145</v>
      </c>
      <c r="G726" s="24" t="s">
        <v>1274</v>
      </c>
      <c r="H726" s="26">
        <v>20</v>
      </c>
      <c r="I726" s="26">
        <v>3393.01</v>
      </c>
      <c r="J726" s="26">
        <v>67860.2</v>
      </c>
    </row>
    <row r="727" spans="1:10">
      <c r="A727" s="25">
        <v>45018</v>
      </c>
      <c r="B727" s="24" t="s">
        <v>1265</v>
      </c>
      <c r="C727" s="24" t="s">
        <v>1236</v>
      </c>
      <c r="D727" s="24" t="s">
        <v>1235</v>
      </c>
      <c r="E727" s="24" t="s">
        <v>1231</v>
      </c>
      <c r="F727" s="24" t="s">
        <v>120</v>
      </c>
      <c r="G727" s="24" t="s">
        <v>1164</v>
      </c>
      <c r="H727" s="26">
        <v>14</v>
      </c>
      <c r="I727" s="26">
        <v>1247.48</v>
      </c>
      <c r="J727" s="26">
        <v>17464.72</v>
      </c>
    </row>
    <row r="728" spans="1:10">
      <c r="A728" s="25">
        <v>45143</v>
      </c>
      <c r="B728" s="24" t="s">
        <v>1267</v>
      </c>
      <c r="C728" s="24" t="s">
        <v>1248</v>
      </c>
      <c r="D728" s="24" t="s">
        <v>1230</v>
      </c>
      <c r="E728" s="24" t="s">
        <v>1229</v>
      </c>
      <c r="F728" s="24" t="s">
        <v>128</v>
      </c>
      <c r="G728" s="24" t="s">
        <v>1257</v>
      </c>
      <c r="H728" s="26">
        <v>20</v>
      </c>
      <c r="I728" s="26">
        <v>4428.59</v>
      </c>
      <c r="J728" s="26">
        <v>88571.8</v>
      </c>
    </row>
    <row r="729" spans="1:10">
      <c r="A729" s="25">
        <v>45265</v>
      </c>
      <c r="B729" s="24" t="s">
        <v>1260</v>
      </c>
      <c r="C729" s="24" t="s">
        <v>1233</v>
      </c>
      <c r="D729" s="24" t="s">
        <v>1232</v>
      </c>
      <c r="E729" s="24" t="s">
        <v>1231</v>
      </c>
      <c r="F729" s="24" t="s">
        <v>145</v>
      </c>
      <c r="G729" s="24" t="s">
        <v>1255</v>
      </c>
      <c r="H729" s="26">
        <v>9</v>
      </c>
      <c r="I729" s="26">
        <v>2251.19</v>
      </c>
      <c r="J729" s="26">
        <v>20260.71</v>
      </c>
    </row>
    <row r="730" spans="1:10">
      <c r="A730" s="25">
        <v>45001</v>
      </c>
      <c r="B730" s="24" t="s">
        <v>1256</v>
      </c>
      <c r="C730" s="24" t="s">
        <v>1234</v>
      </c>
      <c r="D730" s="24" t="s">
        <v>1232</v>
      </c>
      <c r="E730" s="24" t="s">
        <v>1231</v>
      </c>
      <c r="F730" s="24" t="s">
        <v>120</v>
      </c>
      <c r="G730" s="24" t="s">
        <v>1275</v>
      </c>
      <c r="H730" s="26">
        <v>19</v>
      </c>
      <c r="I730" s="26">
        <v>2240.89</v>
      </c>
      <c r="J730" s="26">
        <v>42576.91</v>
      </c>
    </row>
    <row r="731" spans="1:10">
      <c r="A731" s="25">
        <v>45206</v>
      </c>
      <c r="B731" s="24" t="s">
        <v>1262</v>
      </c>
      <c r="C731" s="24" t="s">
        <v>1244</v>
      </c>
      <c r="D731" s="24" t="s">
        <v>1243</v>
      </c>
      <c r="E731" s="24" t="s">
        <v>1242</v>
      </c>
      <c r="F731" s="24" t="s">
        <v>132</v>
      </c>
      <c r="G731" s="24" t="s">
        <v>1277</v>
      </c>
      <c r="H731" s="26">
        <v>19</v>
      </c>
      <c r="I731" s="26">
        <v>4089.21</v>
      </c>
      <c r="J731" s="26">
        <v>77694.990000000005</v>
      </c>
    </row>
    <row r="732" spans="1:10">
      <c r="A732" s="25">
        <v>45255</v>
      </c>
      <c r="B732" s="24" t="s">
        <v>1265</v>
      </c>
      <c r="C732" s="24" t="s">
        <v>1234</v>
      </c>
      <c r="D732" s="24" t="s">
        <v>1232</v>
      </c>
      <c r="E732" s="24" t="s">
        <v>1231</v>
      </c>
      <c r="F732" s="24" t="s">
        <v>1249</v>
      </c>
      <c r="G732" s="24" t="s">
        <v>1268</v>
      </c>
      <c r="H732" s="26">
        <v>6</v>
      </c>
      <c r="I732" s="26">
        <v>4286.28</v>
      </c>
      <c r="J732" s="26">
        <v>25717.68</v>
      </c>
    </row>
    <row r="733" spans="1:10">
      <c r="A733" s="25">
        <v>45076</v>
      </c>
      <c r="B733" s="24" t="s">
        <v>1258</v>
      </c>
      <c r="C733" s="24" t="s">
        <v>1240</v>
      </c>
      <c r="D733" s="24" t="s">
        <v>1232</v>
      </c>
      <c r="E733" s="24" t="s">
        <v>1231</v>
      </c>
      <c r="F733" s="24" t="s">
        <v>120</v>
      </c>
      <c r="G733" s="24" t="s">
        <v>1165</v>
      </c>
      <c r="H733" s="26">
        <v>20</v>
      </c>
      <c r="I733" s="26">
        <v>1316.67</v>
      </c>
      <c r="J733" s="26">
        <v>26333.4</v>
      </c>
    </row>
    <row r="734" spans="1:10">
      <c r="A734" s="25">
        <v>44941</v>
      </c>
      <c r="B734" s="24" t="s">
        <v>1265</v>
      </c>
      <c r="C734" s="24" t="s">
        <v>1169</v>
      </c>
      <c r="D734" s="24" t="s">
        <v>1230</v>
      </c>
      <c r="E734" s="24" t="s">
        <v>1229</v>
      </c>
      <c r="F734" s="24" t="s">
        <v>128</v>
      </c>
      <c r="G734" s="24" t="s">
        <v>1273</v>
      </c>
      <c r="H734" s="26">
        <v>17</v>
      </c>
      <c r="I734" s="26">
        <v>3145.73</v>
      </c>
      <c r="J734" s="26">
        <v>53477.41</v>
      </c>
    </row>
    <row r="735" spans="1:10">
      <c r="A735" s="25">
        <v>45187</v>
      </c>
      <c r="B735" s="24" t="s">
        <v>1265</v>
      </c>
      <c r="C735" s="24" t="s">
        <v>1173</v>
      </c>
      <c r="D735" s="24" t="s">
        <v>1237</v>
      </c>
      <c r="E735" s="24" t="s">
        <v>1229</v>
      </c>
      <c r="F735" s="24" t="s">
        <v>128</v>
      </c>
      <c r="G735" s="24" t="s">
        <v>1264</v>
      </c>
      <c r="H735" s="26">
        <v>10</v>
      </c>
      <c r="I735" s="26">
        <v>2523.59</v>
      </c>
      <c r="J735" s="26">
        <v>25235.9</v>
      </c>
    </row>
    <row r="736" spans="1:10">
      <c r="A736" s="25">
        <v>45195</v>
      </c>
      <c r="B736" s="24" t="s">
        <v>1256</v>
      </c>
      <c r="C736" s="24" t="s">
        <v>1247</v>
      </c>
      <c r="D736" s="24" t="s">
        <v>1243</v>
      </c>
      <c r="E736" s="24" t="s">
        <v>1242</v>
      </c>
      <c r="F736" s="24" t="s">
        <v>145</v>
      </c>
      <c r="G736" s="24" t="s">
        <v>1255</v>
      </c>
      <c r="H736" s="26">
        <v>2</v>
      </c>
      <c r="I736" s="26">
        <v>2851.64</v>
      </c>
      <c r="J736" s="26">
        <v>5703.28</v>
      </c>
    </row>
    <row r="737" spans="1:10">
      <c r="A737" s="25">
        <v>45196</v>
      </c>
      <c r="B737" s="24" t="s">
        <v>1265</v>
      </c>
      <c r="C737" s="24" t="s">
        <v>1173</v>
      </c>
      <c r="D737" s="24" t="s">
        <v>1237</v>
      </c>
      <c r="E737" s="24" t="s">
        <v>1229</v>
      </c>
      <c r="F737" s="24" t="s">
        <v>145</v>
      </c>
      <c r="G737" s="24" t="s">
        <v>1255</v>
      </c>
      <c r="H737" s="26">
        <v>20</v>
      </c>
      <c r="I737" s="26">
        <v>3193.18</v>
      </c>
      <c r="J737" s="26">
        <v>63863.6</v>
      </c>
    </row>
    <row r="738" spans="1:10">
      <c r="A738" s="25">
        <v>45007</v>
      </c>
      <c r="B738" s="24" t="s">
        <v>1256</v>
      </c>
      <c r="C738" s="24" t="s">
        <v>1245</v>
      </c>
      <c r="D738" s="24" t="s">
        <v>1243</v>
      </c>
      <c r="E738" s="24" t="s">
        <v>1242</v>
      </c>
      <c r="F738" s="24" t="s">
        <v>128</v>
      </c>
      <c r="G738" s="24" t="s">
        <v>1264</v>
      </c>
      <c r="H738" s="26">
        <v>8</v>
      </c>
      <c r="I738" s="26">
        <v>4663.82</v>
      </c>
      <c r="J738" s="26">
        <v>37310.559999999998</v>
      </c>
    </row>
    <row r="739" spans="1:10">
      <c r="A739" s="25">
        <v>45261</v>
      </c>
      <c r="B739" s="24" t="s">
        <v>1262</v>
      </c>
      <c r="C739" s="24" t="s">
        <v>1171</v>
      </c>
      <c r="D739" s="24" t="s">
        <v>1237</v>
      </c>
      <c r="E739" s="24" t="s">
        <v>1229</v>
      </c>
      <c r="F739" s="24" t="s">
        <v>145</v>
      </c>
      <c r="G739" s="24" t="s">
        <v>1278</v>
      </c>
      <c r="H739" s="26">
        <v>13</v>
      </c>
      <c r="I739" s="26">
        <v>4263.79</v>
      </c>
      <c r="J739" s="26">
        <v>55429.27</v>
      </c>
    </row>
    <row r="740" spans="1:10">
      <c r="A740" s="25">
        <v>45093</v>
      </c>
      <c r="B740" s="24" t="s">
        <v>1269</v>
      </c>
      <c r="C740" s="24" t="s">
        <v>1240</v>
      </c>
      <c r="D740" s="24" t="s">
        <v>1232</v>
      </c>
      <c r="E740" s="24" t="s">
        <v>1231</v>
      </c>
      <c r="F740" s="24" t="s">
        <v>132</v>
      </c>
      <c r="G740" s="24" t="s">
        <v>1279</v>
      </c>
      <c r="H740" s="26">
        <v>11</v>
      </c>
      <c r="I740" s="26">
        <v>819.85</v>
      </c>
      <c r="J740" s="26">
        <v>9018.35</v>
      </c>
    </row>
    <row r="741" spans="1:10">
      <c r="A741" s="25">
        <v>44984</v>
      </c>
      <c r="B741" s="24" t="s">
        <v>1267</v>
      </c>
      <c r="C741" s="24" t="s">
        <v>1240</v>
      </c>
      <c r="D741" s="24" t="s">
        <v>1232</v>
      </c>
      <c r="E741" s="24" t="s">
        <v>1231</v>
      </c>
      <c r="F741" s="24" t="s">
        <v>120</v>
      </c>
      <c r="G741" s="24" t="s">
        <v>1276</v>
      </c>
      <c r="H741" s="26">
        <v>8</v>
      </c>
      <c r="I741" s="26">
        <v>2784.08</v>
      </c>
      <c r="J741" s="26">
        <v>22272.639999999999</v>
      </c>
    </row>
    <row r="742" spans="1:10">
      <c r="A742" s="25">
        <v>45002</v>
      </c>
      <c r="B742" s="24" t="s">
        <v>1265</v>
      </c>
      <c r="C742" s="24" t="s">
        <v>1233</v>
      </c>
      <c r="D742" s="24" t="s">
        <v>1232</v>
      </c>
      <c r="E742" s="24" t="s">
        <v>1231</v>
      </c>
      <c r="F742" s="24" t="s">
        <v>128</v>
      </c>
      <c r="G742" s="24" t="s">
        <v>1266</v>
      </c>
      <c r="H742" s="26">
        <v>8</v>
      </c>
      <c r="I742" s="26">
        <v>2240.2199999999998</v>
      </c>
      <c r="J742" s="26">
        <v>17921.759999999998</v>
      </c>
    </row>
    <row r="743" spans="1:10">
      <c r="A743" s="25">
        <v>45266</v>
      </c>
      <c r="B743" s="24" t="s">
        <v>1254</v>
      </c>
      <c r="C743" s="24" t="s">
        <v>1233</v>
      </c>
      <c r="D743" s="24" t="s">
        <v>1232</v>
      </c>
      <c r="E743" s="24" t="s">
        <v>1231</v>
      </c>
      <c r="F743" s="24" t="s">
        <v>120</v>
      </c>
      <c r="G743" s="24" t="s">
        <v>1164</v>
      </c>
      <c r="H743" s="26">
        <v>18</v>
      </c>
      <c r="I743" s="26">
        <v>1039.3800000000001</v>
      </c>
      <c r="J743" s="26">
        <v>18708.84</v>
      </c>
    </row>
    <row r="744" spans="1:10">
      <c r="A744" s="25">
        <v>45237</v>
      </c>
      <c r="B744" s="24" t="s">
        <v>1258</v>
      </c>
      <c r="C744" s="24" t="s">
        <v>1169</v>
      </c>
      <c r="D744" s="24" t="s">
        <v>1230</v>
      </c>
      <c r="E744" s="24" t="s">
        <v>1229</v>
      </c>
      <c r="F744" s="24" t="s">
        <v>1249</v>
      </c>
      <c r="G744" s="24" t="s">
        <v>1268</v>
      </c>
      <c r="H744" s="26">
        <v>18</v>
      </c>
      <c r="I744" s="26">
        <v>1297.93</v>
      </c>
      <c r="J744" s="26">
        <v>23362.74</v>
      </c>
    </row>
    <row r="745" spans="1:10">
      <c r="A745" s="25">
        <v>44931</v>
      </c>
      <c r="B745" s="24" t="s">
        <v>1269</v>
      </c>
      <c r="C745" s="24" t="s">
        <v>1171</v>
      </c>
      <c r="D745" s="24" t="s">
        <v>1237</v>
      </c>
      <c r="E745" s="24" t="s">
        <v>1229</v>
      </c>
      <c r="F745" s="24" t="s">
        <v>132</v>
      </c>
      <c r="G745" s="24" t="s">
        <v>1277</v>
      </c>
      <c r="H745" s="26">
        <v>4</v>
      </c>
      <c r="I745" s="26">
        <v>4293.74</v>
      </c>
      <c r="J745" s="26">
        <v>17174.96</v>
      </c>
    </row>
    <row r="746" spans="1:10">
      <c r="A746" s="25">
        <v>45151</v>
      </c>
      <c r="B746" s="24" t="s">
        <v>1260</v>
      </c>
      <c r="C746" s="24" t="s">
        <v>1245</v>
      </c>
      <c r="D746" s="24" t="s">
        <v>1243</v>
      </c>
      <c r="E746" s="24" t="s">
        <v>1242</v>
      </c>
      <c r="F746" s="24" t="s">
        <v>120</v>
      </c>
      <c r="G746" s="24" t="s">
        <v>1164</v>
      </c>
      <c r="H746" s="26">
        <v>11</v>
      </c>
      <c r="I746" s="26">
        <v>2133.36</v>
      </c>
      <c r="J746" s="26">
        <v>23466.959999999999</v>
      </c>
    </row>
    <row r="747" spans="1:10">
      <c r="A747" s="25">
        <v>45221</v>
      </c>
      <c r="B747" s="24" t="s">
        <v>1252</v>
      </c>
      <c r="C747" s="24" t="s">
        <v>1241</v>
      </c>
      <c r="D747" s="24" t="s">
        <v>1235</v>
      </c>
      <c r="E747" s="24" t="s">
        <v>1231</v>
      </c>
      <c r="F747" s="24" t="s">
        <v>1249</v>
      </c>
      <c r="G747" s="24" t="s">
        <v>1270</v>
      </c>
      <c r="H747" s="26">
        <v>11</v>
      </c>
      <c r="I747" s="26">
        <v>735.74</v>
      </c>
      <c r="J747" s="26">
        <v>8093.14</v>
      </c>
    </row>
    <row r="748" spans="1:10">
      <c r="A748" s="25">
        <v>44993</v>
      </c>
      <c r="B748" s="24" t="s">
        <v>1256</v>
      </c>
      <c r="C748" s="24" t="s">
        <v>1244</v>
      </c>
      <c r="D748" s="24" t="s">
        <v>1243</v>
      </c>
      <c r="E748" s="24" t="s">
        <v>1242</v>
      </c>
      <c r="F748" s="24" t="s">
        <v>128</v>
      </c>
      <c r="G748" s="24" t="s">
        <v>1257</v>
      </c>
      <c r="H748" s="26">
        <v>14</v>
      </c>
      <c r="I748" s="26">
        <v>271.27</v>
      </c>
      <c r="J748" s="26">
        <v>3797.78</v>
      </c>
    </row>
    <row r="749" spans="1:10">
      <c r="A749" s="25">
        <v>45240</v>
      </c>
      <c r="B749" s="24" t="s">
        <v>1256</v>
      </c>
      <c r="C749" s="24" t="s">
        <v>1241</v>
      </c>
      <c r="D749" s="24" t="s">
        <v>1235</v>
      </c>
      <c r="E749" s="24" t="s">
        <v>1231</v>
      </c>
      <c r="F749" s="24" t="s">
        <v>132</v>
      </c>
      <c r="G749" s="24" t="s">
        <v>1253</v>
      </c>
      <c r="H749" s="26">
        <v>5</v>
      </c>
      <c r="I749" s="26">
        <v>4759.1899999999996</v>
      </c>
      <c r="J749" s="26">
        <v>23795.95</v>
      </c>
    </row>
    <row r="750" spans="1:10">
      <c r="A750" s="25">
        <v>45270</v>
      </c>
      <c r="B750" s="24" t="s">
        <v>1254</v>
      </c>
      <c r="C750" s="24" t="s">
        <v>1248</v>
      </c>
      <c r="D750" s="24" t="s">
        <v>1230</v>
      </c>
      <c r="E750" s="24" t="s">
        <v>1229</v>
      </c>
      <c r="F750" s="24" t="s">
        <v>120</v>
      </c>
      <c r="G750" s="24" t="s">
        <v>1165</v>
      </c>
      <c r="H750" s="26">
        <v>11</v>
      </c>
      <c r="I750" s="26">
        <v>941.97</v>
      </c>
      <c r="J750" s="26">
        <v>10361.67</v>
      </c>
    </row>
    <row r="751" spans="1:10">
      <c r="A751" s="25">
        <v>45149</v>
      </c>
      <c r="B751" s="24" t="s">
        <v>1254</v>
      </c>
      <c r="C751" s="24" t="s">
        <v>1240</v>
      </c>
      <c r="D751" s="24" t="s">
        <v>1232</v>
      </c>
      <c r="E751" s="24" t="s">
        <v>1231</v>
      </c>
      <c r="F751" s="24" t="s">
        <v>1249</v>
      </c>
      <c r="G751" s="24" t="s">
        <v>1272</v>
      </c>
      <c r="H751" s="26">
        <v>11</v>
      </c>
      <c r="I751" s="26">
        <v>2182.46</v>
      </c>
      <c r="J751" s="26">
        <v>24007.06</v>
      </c>
    </row>
    <row r="752" spans="1:10">
      <c r="A752" s="25">
        <v>45282</v>
      </c>
      <c r="B752" s="24" t="s">
        <v>1254</v>
      </c>
      <c r="C752" s="24" t="s">
        <v>1171</v>
      </c>
      <c r="D752" s="24" t="s">
        <v>1237</v>
      </c>
      <c r="E752" s="24" t="s">
        <v>1229</v>
      </c>
      <c r="F752" s="24" t="s">
        <v>1249</v>
      </c>
      <c r="G752" s="24" t="s">
        <v>1270</v>
      </c>
      <c r="H752" s="26">
        <v>10</v>
      </c>
      <c r="I752" s="26">
        <v>2112.91</v>
      </c>
      <c r="J752" s="26">
        <v>21129.1</v>
      </c>
    </row>
    <row r="753" spans="1:10">
      <c r="A753" s="25">
        <v>44968</v>
      </c>
      <c r="B753" s="24" t="s">
        <v>1258</v>
      </c>
      <c r="C753" s="24" t="s">
        <v>1169</v>
      </c>
      <c r="D753" s="24" t="s">
        <v>1230</v>
      </c>
      <c r="E753" s="24" t="s">
        <v>1229</v>
      </c>
      <c r="F753" s="24" t="s">
        <v>128</v>
      </c>
      <c r="G753" s="24" t="s">
        <v>1257</v>
      </c>
      <c r="H753" s="26">
        <v>13</v>
      </c>
      <c r="I753" s="26">
        <v>3495.08</v>
      </c>
      <c r="J753" s="26">
        <v>45436.04</v>
      </c>
    </row>
    <row r="754" spans="1:10">
      <c r="A754" s="25">
        <v>45078</v>
      </c>
      <c r="B754" s="24" t="s">
        <v>1252</v>
      </c>
      <c r="C754" s="24" t="s">
        <v>1247</v>
      </c>
      <c r="D754" s="24" t="s">
        <v>1243</v>
      </c>
      <c r="E754" s="24" t="s">
        <v>1242</v>
      </c>
      <c r="F754" s="24" t="s">
        <v>1249</v>
      </c>
      <c r="G754" s="24" t="s">
        <v>1259</v>
      </c>
      <c r="H754" s="26">
        <v>2</v>
      </c>
      <c r="I754" s="26">
        <v>3439.47</v>
      </c>
      <c r="J754" s="26">
        <v>6878.94</v>
      </c>
    </row>
    <row r="755" spans="1:10">
      <c r="A755" s="25">
        <v>44937</v>
      </c>
      <c r="B755" s="24" t="s">
        <v>1256</v>
      </c>
      <c r="C755" s="24" t="s">
        <v>1246</v>
      </c>
      <c r="D755" s="24" t="s">
        <v>1230</v>
      </c>
      <c r="E755" s="24" t="s">
        <v>1229</v>
      </c>
      <c r="F755" s="24" t="s">
        <v>132</v>
      </c>
      <c r="G755" s="24" t="s">
        <v>1253</v>
      </c>
      <c r="H755" s="26">
        <v>20</v>
      </c>
      <c r="I755" s="26">
        <v>3279.25</v>
      </c>
      <c r="J755" s="26">
        <v>65585</v>
      </c>
    </row>
    <row r="756" spans="1:10">
      <c r="A756" s="25">
        <v>44958</v>
      </c>
      <c r="B756" s="24" t="s">
        <v>1256</v>
      </c>
      <c r="C756" s="24" t="s">
        <v>1245</v>
      </c>
      <c r="D756" s="24" t="s">
        <v>1243</v>
      </c>
      <c r="E756" s="24" t="s">
        <v>1242</v>
      </c>
      <c r="F756" s="24" t="s">
        <v>132</v>
      </c>
      <c r="G756" s="24" t="s">
        <v>1271</v>
      </c>
      <c r="H756" s="26">
        <v>16</v>
      </c>
      <c r="I756" s="26">
        <v>3320.8</v>
      </c>
      <c r="J756" s="26">
        <v>53132.800000000003</v>
      </c>
    </row>
    <row r="757" spans="1:10">
      <c r="A757" s="25">
        <v>45291</v>
      </c>
      <c r="B757" s="24" t="s">
        <v>1256</v>
      </c>
      <c r="C757" s="24" t="s">
        <v>1173</v>
      </c>
      <c r="D757" s="24" t="s">
        <v>1237</v>
      </c>
      <c r="E757" s="24" t="s">
        <v>1229</v>
      </c>
      <c r="F757" s="24" t="s">
        <v>128</v>
      </c>
      <c r="G757" s="24" t="s">
        <v>1273</v>
      </c>
      <c r="H757" s="26">
        <v>6</v>
      </c>
      <c r="I757" s="26">
        <v>4105.1899999999996</v>
      </c>
      <c r="J757" s="26">
        <v>24631.14</v>
      </c>
    </row>
    <row r="758" spans="1:10">
      <c r="A758" s="25">
        <v>45169</v>
      </c>
      <c r="B758" s="24" t="s">
        <v>1263</v>
      </c>
      <c r="C758" s="24" t="s">
        <v>1247</v>
      </c>
      <c r="D758" s="24" t="s">
        <v>1243</v>
      </c>
      <c r="E758" s="24" t="s">
        <v>1242</v>
      </c>
      <c r="F758" s="24" t="s">
        <v>1249</v>
      </c>
      <c r="G758" s="24" t="s">
        <v>1268</v>
      </c>
      <c r="H758" s="26">
        <v>7</v>
      </c>
      <c r="I758" s="26">
        <v>1830.46</v>
      </c>
      <c r="J758" s="26">
        <v>12813.22</v>
      </c>
    </row>
    <row r="759" spans="1:10">
      <c r="A759" s="25">
        <v>44954</v>
      </c>
      <c r="B759" s="24" t="s">
        <v>1254</v>
      </c>
      <c r="C759" s="24" t="s">
        <v>1247</v>
      </c>
      <c r="D759" s="24" t="s">
        <v>1243</v>
      </c>
      <c r="E759" s="24" t="s">
        <v>1242</v>
      </c>
      <c r="F759" s="24" t="s">
        <v>145</v>
      </c>
      <c r="G759" s="24" t="s">
        <v>1278</v>
      </c>
      <c r="H759" s="26">
        <v>19</v>
      </c>
      <c r="I759" s="26">
        <v>3901.75</v>
      </c>
      <c r="J759" s="26">
        <v>74133.25</v>
      </c>
    </row>
    <row r="760" spans="1:10">
      <c r="A760" s="25">
        <v>45289</v>
      </c>
      <c r="B760" s="24" t="s">
        <v>1254</v>
      </c>
      <c r="C760" s="24" t="s">
        <v>1234</v>
      </c>
      <c r="D760" s="24" t="s">
        <v>1232</v>
      </c>
      <c r="E760" s="24" t="s">
        <v>1231</v>
      </c>
      <c r="F760" s="24" t="s">
        <v>1249</v>
      </c>
      <c r="G760" s="24" t="s">
        <v>1259</v>
      </c>
      <c r="H760" s="26">
        <v>10</v>
      </c>
      <c r="I760" s="26">
        <v>3031.91</v>
      </c>
      <c r="J760" s="26">
        <v>30319.1</v>
      </c>
    </row>
    <row r="761" spans="1:10">
      <c r="A761" s="25">
        <v>45176</v>
      </c>
      <c r="B761" s="24" t="s">
        <v>1262</v>
      </c>
      <c r="C761" s="24" t="s">
        <v>1239</v>
      </c>
      <c r="D761" s="24" t="s">
        <v>1237</v>
      </c>
      <c r="E761" s="24" t="s">
        <v>1229</v>
      </c>
      <c r="F761" s="24" t="s">
        <v>145</v>
      </c>
      <c r="G761" s="24" t="s">
        <v>1255</v>
      </c>
      <c r="H761" s="26">
        <v>18</v>
      </c>
      <c r="I761" s="26">
        <v>3575.04</v>
      </c>
      <c r="J761" s="26">
        <v>64350.720000000001</v>
      </c>
    </row>
    <row r="762" spans="1:10">
      <c r="A762" s="25">
        <v>45170</v>
      </c>
      <c r="B762" s="24" t="s">
        <v>1263</v>
      </c>
      <c r="C762" s="24" t="s">
        <v>1241</v>
      </c>
      <c r="D762" s="24" t="s">
        <v>1235</v>
      </c>
      <c r="E762" s="24" t="s">
        <v>1231</v>
      </c>
      <c r="F762" s="24" t="s">
        <v>1249</v>
      </c>
      <c r="G762" s="24" t="s">
        <v>1270</v>
      </c>
      <c r="H762" s="26">
        <v>17</v>
      </c>
      <c r="I762" s="26">
        <v>2920.06</v>
      </c>
      <c r="J762" s="26">
        <v>49641.02</v>
      </c>
    </row>
    <row r="763" spans="1:10">
      <c r="A763" s="25">
        <v>45030</v>
      </c>
      <c r="B763" s="24" t="s">
        <v>1265</v>
      </c>
      <c r="C763" s="24" t="s">
        <v>1171</v>
      </c>
      <c r="D763" s="24" t="s">
        <v>1237</v>
      </c>
      <c r="E763" s="24" t="s">
        <v>1229</v>
      </c>
      <c r="F763" s="24" t="s">
        <v>120</v>
      </c>
      <c r="G763" s="24" t="s">
        <v>1276</v>
      </c>
      <c r="H763" s="26">
        <v>15</v>
      </c>
      <c r="I763" s="26">
        <v>2796.48</v>
      </c>
      <c r="J763" s="26">
        <v>41947.199999999997</v>
      </c>
    </row>
    <row r="764" spans="1:10">
      <c r="A764" s="25">
        <v>45013</v>
      </c>
      <c r="B764" s="24" t="s">
        <v>1260</v>
      </c>
      <c r="C764" s="24" t="s">
        <v>1233</v>
      </c>
      <c r="D764" s="24" t="s">
        <v>1232</v>
      </c>
      <c r="E764" s="24" t="s">
        <v>1231</v>
      </c>
      <c r="F764" s="24" t="s">
        <v>120</v>
      </c>
      <c r="G764" s="24" t="s">
        <v>1165</v>
      </c>
      <c r="H764" s="26">
        <v>1</v>
      </c>
      <c r="I764" s="26">
        <v>2918.29</v>
      </c>
      <c r="J764" s="26">
        <v>2918.29</v>
      </c>
    </row>
    <row r="765" spans="1:10">
      <c r="A765" s="25">
        <v>45159</v>
      </c>
      <c r="B765" s="24" t="s">
        <v>1263</v>
      </c>
      <c r="C765" s="24" t="s">
        <v>1248</v>
      </c>
      <c r="D765" s="24" t="s">
        <v>1230</v>
      </c>
      <c r="E765" s="24" t="s">
        <v>1229</v>
      </c>
      <c r="F765" s="24" t="s">
        <v>132</v>
      </c>
      <c r="G765" s="24" t="s">
        <v>1271</v>
      </c>
      <c r="H765" s="26">
        <v>10</v>
      </c>
      <c r="I765" s="26">
        <v>1097.83</v>
      </c>
      <c r="J765" s="26">
        <v>10978.3</v>
      </c>
    </row>
    <row r="766" spans="1:10">
      <c r="A766" s="25">
        <v>44969</v>
      </c>
      <c r="B766" s="24" t="s">
        <v>1252</v>
      </c>
      <c r="C766" s="24" t="s">
        <v>1171</v>
      </c>
      <c r="D766" s="24" t="s">
        <v>1237</v>
      </c>
      <c r="E766" s="24" t="s">
        <v>1229</v>
      </c>
      <c r="F766" s="24" t="s">
        <v>128</v>
      </c>
      <c r="G766" s="24" t="s">
        <v>1266</v>
      </c>
      <c r="H766" s="26">
        <v>10</v>
      </c>
      <c r="I766" s="26">
        <v>3391.5</v>
      </c>
      <c r="J766" s="26">
        <v>33915</v>
      </c>
    </row>
    <row r="767" spans="1:10">
      <c r="A767" s="25">
        <v>45116</v>
      </c>
      <c r="B767" s="24" t="s">
        <v>1267</v>
      </c>
      <c r="C767" s="24" t="s">
        <v>1245</v>
      </c>
      <c r="D767" s="24" t="s">
        <v>1243</v>
      </c>
      <c r="E767" s="24" t="s">
        <v>1242</v>
      </c>
      <c r="F767" s="24" t="s">
        <v>1249</v>
      </c>
      <c r="G767" s="24" t="s">
        <v>1270</v>
      </c>
      <c r="H767" s="26">
        <v>13</v>
      </c>
      <c r="I767" s="26">
        <v>2225.88</v>
      </c>
      <c r="J767" s="26">
        <v>28936.44</v>
      </c>
    </row>
    <row r="768" spans="1:10">
      <c r="A768" s="25">
        <v>45265</v>
      </c>
      <c r="B768" s="24" t="s">
        <v>1262</v>
      </c>
      <c r="C768" s="24" t="s">
        <v>1173</v>
      </c>
      <c r="D768" s="24" t="s">
        <v>1237</v>
      </c>
      <c r="E768" s="24" t="s">
        <v>1229</v>
      </c>
      <c r="F768" s="24" t="s">
        <v>128</v>
      </c>
      <c r="G768" s="24" t="s">
        <v>1266</v>
      </c>
      <c r="H768" s="26">
        <v>2</v>
      </c>
      <c r="I768" s="26">
        <v>1559.76</v>
      </c>
      <c r="J768" s="26">
        <v>3119.52</v>
      </c>
    </row>
    <row r="769" spans="1:10">
      <c r="A769" s="25">
        <v>44945</v>
      </c>
      <c r="B769" s="24" t="s">
        <v>1256</v>
      </c>
      <c r="C769" s="24" t="s">
        <v>1246</v>
      </c>
      <c r="D769" s="24" t="s">
        <v>1230</v>
      </c>
      <c r="E769" s="24" t="s">
        <v>1229</v>
      </c>
      <c r="F769" s="24" t="s">
        <v>1249</v>
      </c>
      <c r="G769" s="24" t="s">
        <v>1268</v>
      </c>
      <c r="H769" s="26">
        <v>13</v>
      </c>
      <c r="I769" s="26">
        <v>4719.96</v>
      </c>
      <c r="J769" s="26">
        <v>61359.48</v>
      </c>
    </row>
    <row r="770" spans="1:10">
      <c r="A770" s="25">
        <v>45250</v>
      </c>
      <c r="B770" s="24" t="s">
        <v>1269</v>
      </c>
      <c r="C770" s="24" t="s">
        <v>1241</v>
      </c>
      <c r="D770" s="24" t="s">
        <v>1235</v>
      </c>
      <c r="E770" s="24" t="s">
        <v>1231</v>
      </c>
      <c r="F770" s="24" t="s">
        <v>145</v>
      </c>
      <c r="G770" s="24" t="s">
        <v>1261</v>
      </c>
      <c r="H770" s="26">
        <v>5</v>
      </c>
      <c r="I770" s="26">
        <v>1593.02</v>
      </c>
      <c r="J770" s="26">
        <v>7965.1</v>
      </c>
    </row>
    <row r="771" spans="1:10">
      <c r="A771" s="25">
        <v>45031</v>
      </c>
      <c r="B771" s="24" t="s">
        <v>1260</v>
      </c>
      <c r="C771" s="24" t="s">
        <v>1233</v>
      </c>
      <c r="D771" s="24" t="s">
        <v>1232</v>
      </c>
      <c r="E771" s="24" t="s">
        <v>1231</v>
      </c>
      <c r="F771" s="24" t="s">
        <v>128</v>
      </c>
      <c r="G771" s="24" t="s">
        <v>1257</v>
      </c>
      <c r="H771" s="26">
        <v>7</v>
      </c>
      <c r="I771" s="26">
        <v>1233.6300000000001</v>
      </c>
      <c r="J771" s="26">
        <v>8635.41</v>
      </c>
    </row>
    <row r="772" spans="1:10">
      <c r="A772" s="25">
        <v>45060</v>
      </c>
      <c r="B772" s="24" t="s">
        <v>1258</v>
      </c>
      <c r="C772" s="24" t="s">
        <v>1240</v>
      </c>
      <c r="D772" s="24" t="s">
        <v>1232</v>
      </c>
      <c r="E772" s="24" t="s">
        <v>1231</v>
      </c>
      <c r="F772" s="24" t="s">
        <v>120</v>
      </c>
      <c r="G772" s="24" t="s">
        <v>1275</v>
      </c>
      <c r="H772" s="26">
        <v>2</v>
      </c>
      <c r="I772" s="26">
        <v>2261.69</v>
      </c>
      <c r="J772" s="26">
        <v>4523.38</v>
      </c>
    </row>
    <row r="773" spans="1:10">
      <c r="A773" s="25">
        <v>45057</v>
      </c>
      <c r="B773" s="24" t="s">
        <v>1263</v>
      </c>
      <c r="C773" s="24" t="s">
        <v>1234</v>
      </c>
      <c r="D773" s="24" t="s">
        <v>1232</v>
      </c>
      <c r="E773" s="24" t="s">
        <v>1231</v>
      </c>
      <c r="F773" s="24" t="s">
        <v>1249</v>
      </c>
      <c r="G773" s="24" t="s">
        <v>1270</v>
      </c>
      <c r="H773" s="26">
        <v>15</v>
      </c>
      <c r="I773" s="26">
        <v>1197.31</v>
      </c>
      <c r="J773" s="26">
        <v>17959.650000000001</v>
      </c>
    </row>
    <row r="774" spans="1:10">
      <c r="A774" s="25">
        <v>45025</v>
      </c>
      <c r="B774" s="24" t="s">
        <v>1254</v>
      </c>
      <c r="C774" s="24" t="s">
        <v>1236</v>
      </c>
      <c r="D774" s="24" t="s">
        <v>1235</v>
      </c>
      <c r="E774" s="24" t="s">
        <v>1231</v>
      </c>
      <c r="F774" s="24" t="s">
        <v>145</v>
      </c>
      <c r="G774" s="24" t="s">
        <v>1261</v>
      </c>
      <c r="H774" s="26">
        <v>9</v>
      </c>
      <c r="I774" s="26">
        <v>3441.09</v>
      </c>
      <c r="J774" s="26">
        <v>30969.81</v>
      </c>
    </row>
    <row r="775" spans="1:10">
      <c r="A775" s="25">
        <v>45100</v>
      </c>
      <c r="B775" s="24" t="s">
        <v>1254</v>
      </c>
      <c r="C775" s="24" t="s">
        <v>1245</v>
      </c>
      <c r="D775" s="24" t="s">
        <v>1243</v>
      </c>
      <c r="E775" s="24" t="s">
        <v>1242</v>
      </c>
      <c r="F775" s="24" t="s">
        <v>132</v>
      </c>
      <c r="G775" s="24" t="s">
        <v>1277</v>
      </c>
      <c r="H775" s="26">
        <v>2</v>
      </c>
      <c r="I775" s="26">
        <v>3325.99</v>
      </c>
      <c r="J775" s="26">
        <v>6651.98</v>
      </c>
    </row>
    <row r="776" spans="1:10">
      <c r="A776" s="25">
        <v>45165</v>
      </c>
      <c r="B776" s="24" t="s">
        <v>1269</v>
      </c>
      <c r="C776" s="24" t="s">
        <v>1171</v>
      </c>
      <c r="D776" s="24" t="s">
        <v>1237</v>
      </c>
      <c r="E776" s="24" t="s">
        <v>1229</v>
      </c>
      <c r="F776" s="24" t="s">
        <v>128</v>
      </c>
      <c r="G776" s="24" t="s">
        <v>1257</v>
      </c>
      <c r="H776" s="26">
        <v>2</v>
      </c>
      <c r="I776" s="26">
        <v>991.8</v>
      </c>
      <c r="J776" s="26">
        <v>1983.6</v>
      </c>
    </row>
    <row r="777" spans="1:10">
      <c r="A777" s="25">
        <v>45040</v>
      </c>
      <c r="B777" s="24" t="s">
        <v>1267</v>
      </c>
      <c r="C777" s="24" t="s">
        <v>1245</v>
      </c>
      <c r="D777" s="24" t="s">
        <v>1243</v>
      </c>
      <c r="E777" s="24" t="s">
        <v>1242</v>
      </c>
      <c r="F777" s="24" t="s">
        <v>1249</v>
      </c>
      <c r="G777" s="24" t="s">
        <v>1259</v>
      </c>
      <c r="H777" s="26">
        <v>9</v>
      </c>
      <c r="I777" s="26">
        <v>4763.01</v>
      </c>
      <c r="J777" s="26">
        <v>42867.09</v>
      </c>
    </row>
    <row r="778" spans="1:10">
      <c r="A778" s="25">
        <v>45029</v>
      </c>
      <c r="B778" s="24" t="s">
        <v>1265</v>
      </c>
      <c r="C778" s="24" t="s">
        <v>1246</v>
      </c>
      <c r="D778" s="24" t="s">
        <v>1230</v>
      </c>
      <c r="E778" s="24" t="s">
        <v>1229</v>
      </c>
      <c r="F778" s="24" t="s">
        <v>128</v>
      </c>
      <c r="G778" s="24" t="s">
        <v>1273</v>
      </c>
      <c r="H778" s="26">
        <v>8</v>
      </c>
      <c r="I778" s="26">
        <v>826.71</v>
      </c>
      <c r="J778" s="26">
        <v>6613.68</v>
      </c>
    </row>
    <row r="779" spans="1:10">
      <c r="A779" s="25">
        <v>45222</v>
      </c>
      <c r="B779" s="24" t="s">
        <v>1252</v>
      </c>
      <c r="C779" s="24" t="s">
        <v>1241</v>
      </c>
      <c r="D779" s="24" t="s">
        <v>1235</v>
      </c>
      <c r="E779" s="24" t="s">
        <v>1231</v>
      </c>
      <c r="F779" s="24" t="s">
        <v>1249</v>
      </c>
      <c r="G779" s="24" t="s">
        <v>1272</v>
      </c>
      <c r="H779" s="26">
        <v>9</v>
      </c>
      <c r="I779" s="26">
        <v>209.57</v>
      </c>
      <c r="J779" s="26">
        <v>1886.13</v>
      </c>
    </row>
    <row r="780" spans="1:10">
      <c r="A780" s="25">
        <v>45092</v>
      </c>
      <c r="B780" s="24" t="s">
        <v>1260</v>
      </c>
      <c r="C780" s="24" t="s">
        <v>1241</v>
      </c>
      <c r="D780" s="24" t="s">
        <v>1235</v>
      </c>
      <c r="E780" s="24" t="s">
        <v>1231</v>
      </c>
      <c r="F780" s="24" t="s">
        <v>120</v>
      </c>
      <c r="G780" s="24" t="s">
        <v>1164</v>
      </c>
      <c r="H780" s="26">
        <v>7</v>
      </c>
      <c r="I780" s="26">
        <v>2538.4299999999998</v>
      </c>
      <c r="J780" s="26">
        <v>17769.009999999998</v>
      </c>
    </row>
    <row r="781" spans="1:10">
      <c r="A781" s="25">
        <v>45134</v>
      </c>
      <c r="B781" s="24" t="s">
        <v>1258</v>
      </c>
      <c r="C781" s="24" t="s">
        <v>1169</v>
      </c>
      <c r="D781" s="24" t="s">
        <v>1230</v>
      </c>
      <c r="E781" s="24" t="s">
        <v>1229</v>
      </c>
      <c r="F781" s="24" t="s">
        <v>1249</v>
      </c>
      <c r="G781" s="24" t="s">
        <v>1270</v>
      </c>
      <c r="H781" s="26">
        <v>7</v>
      </c>
      <c r="I781" s="26">
        <v>4116.9799999999996</v>
      </c>
      <c r="J781" s="26">
        <v>28818.86</v>
      </c>
    </row>
    <row r="782" spans="1:10">
      <c r="A782" s="25">
        <v>45108</v>
      </c>
      <c r="B782" s="24" t="s">
        <v>1254</v>
      </c>
      <c r="C782" s="24" t="s">
        <v>1173</v>
      </c>
      <c r="D782" s="24" t="s">
        <v>1237</v>
      </c>
      <c r="E782" s="24" t="s">
        <v>1229</v>
      </c>
      <c r="F782" s="24" t="s">
        <v>120</v>
      </c>
      <c r="G782" s="24" t="s">
        <v>1165</v>
      </c>
      <c r="H782" s="26">
        <v>20</v>
      </c>
      <c r="I782" s="26">
        <v>3638.01</v>
      </c>
      <c r="J782" s="26">
        <v>72760.2</v>
      </c>
    </row>
    <row r="783" spans="1:10">
      <c r="A783" s="25">
        <v>44954</v>
      </c>
      <c r="B783" s="24" t="s">
        <v>1269</v>
      </c>
      <c r="C783" s="24" t="s">
        <v>1244</v>
      </c>
      <c r="D783" s="24" t="s">
        <v>1243</v>
      </c>
      <c r="E783" s="24" t="s">
        <v>1242</v>
      </c>
      <c r="F783" s="24" t="s">
        <v>132</v>
      </c>
      <c r="G783" s="24" t="s">
        <v>1277</v>
      </c>
      <c r="H783" s="26">
        <v>8</v>
      </c>
      <c r="I783" s="26">
        <v>4523.4399999999996</v>
      </c>
      <c r="J783" s="26">
        <v>36187.519999999997</v>
      </c>
    </row>
    <row r="784" spans="1:10">
      <c r="A784" s="25">
        <v>45198</v>
      </c>
      <c r="B784" s="24" t="s">
        <v>1258</v>
      </c>
      <c r="C784" s="24" t="s">
        <v>1245</v>
      </c>
      <c r="D784" s="24" t="s">
        <v>1243</v>
      </c>
      <c r="E784" s="24" t="s">
        <v>1242</v>
      </c>
      <c r="F784" s="24" t="s">
        <v>132</v>
      </c>
      <c r="G784" s="24" t="s">
        <v>1271</v>
      </c>
      <c r="H784" s="26">
        <v>17</v>
      </c>
      <c r="I784" s="26">
        <v>2042</v>
      </c>
      <c r="J784" s="26">
        <v>34714</v>
      </c>
    </row>
    <row r="785" spans="1:10">
      <c r="A785" s="25">
        <v>44983</v>
      </c>
      <c r="B785" s="24" t="s">
        <v>1269</v>
      </c>
      <c r="C785" s="24" t="s">
        <v>1240</v>
      </c>
      <c r="D785" s="24" t="s">
        <v>1232</v>
      </c>
      <c r="E785" s="24" t="s">
        <v>1231</v>
      </c>
      <c r="F785" s="24" t="s">
        <v>145</v>
      </c>
      <c r="G785" s="24" t="s">
        <v>1255</v>
      </c>
      <c r="H785" s="26">
        <v>19</v>
      </c>
      <c r="I785" s="26">
        <v>2357.62</v>
      </c>
      <c r="J785" s="26">
        <v>44794.78</v>
      </c>
    </row>
    <row r="786" spans="1:10">
      <c r="A786" s="25">
        <v>44963</v>
      </c>
      <c r="B786" s="24" t="s">
        <v>1256</v>
      </c>
      <c r="C786" s="24" t="s">
        <v>1236</v>
      </c>
      <c r="D786" s="24" t="s">
        <v>1235</v>
      </c>
      <c r="E786" s="24" t="s">
        <v>1231</v>
      </c>
      <c r="F786" s="24" t="s">
        <v>128</v>
      </c>
      <c r="G786" s="24" t="s">
        <v>1257</v>
      </c>
      <c r="H786" s="26">
        <v>18</v>
      </c>
      <c r="I786" s="26">
        <v>941.19</v>
      </c>
      <c r="J786" s="26">
        <v>16941.419999999998</v>
      </c>
    </row>
    <row r="787" spans="1:10">
      <c r="A787" s="25">
        <v>45050</v>
      </c>
      <c r="B787" s="24" t="s">
        <v>1267</v>
      </c>
      <c r="C787" s="24" t="s">
        <v>1234</v>
      </c>
      <c r="D787" s="24" t="s">
        <v>1232</v>
      </c>
      <c r="E787" s="24" t="s">
        <v>1231</v>
      </c>
      <c r="F787" s="24" t="s">
        <v>128</v>
      </c>
      <c r="G787" s="24" t="s">
        <v>1266</v>
      </c>
      <c r="H787" s="26">
        <v>9</v>
      </c>
      <c r="I787" s="26">
        <v>3927.83</v>
      </c>
      <c r="J787" s="26">
        <v>35350.47</v>
      </c>
    </row>
    <row r="788" spans="1:10">
      <c r="A788" s="25">
        <v>45256</v>
      </c>
      <c r="B788" s="24" t="s">
        <v>1254</v>
      </c>
      <c r="C788" s="24" t="s">
        <v>1241</v>
      </c>
      <c r="D788" s="24" t="s">
        <v>1235</v>
      </c>
      <c r="E788" s="24" t="s">
        <v>1231</v>
      </c>
      <c r="F788" s="24" t="s">
        <v>1249</v>
      </c>
      <c r="G788" s="24" t="s">
        <v>1270</v>
      </c>
      <c r="H788" s="26">
        <v>1</v>
      </c>
      <c r="I788" s="26">
        <v>4555.42</v>
      </c>
      <c r="J788" s="26">
        <v>4555.42</v>
      </c>
    </row>
    <row r="789" spans="1:10">
      <c r="A789" s="25">
        <v>45046</v>
      </c>
      <c r="B789" s="24" t="s">
        <v>1260</v>
      </c>
      <c r="C789" s="24" t="s">
        <v>1239</v>
      </c>
      <c r="D789" s="24" t="s">
        <v>1237</v>
      </c>
      <c r="E789" s="24" t="s">
        <v>1229</v>
      </c>
      <c r="F789" s="24" t="s">
        <v>128</v>
      </c>
      <c r="G789" s="24" t="s">
        <v>1266</v>
      </c>
      <c r="H789" s="26">
        <v>18</v>
      </c>
      <c r="I789" s="26">
        <v>3271.29</v>
      </c>
      <c r="J789" s="26">
        <v>58883.22</v>
      </c>
    </row>
    <row r="790" spans="1:10">
      <c r="A790" s="25">
        <v>45163</v>
      </c>
      <c r="B790" s="24" t="s">
        <v>1252</v>
      </c>
      <c r="C790" s="24" t="s">
        <v>1246</v>
      </c>
      <c r="D790" s="24" t="s">
        <v>1230</v>
      </c>
      <c r="E790" s="24" t="s">
        <v>1229</v>
      </c>
      <c r="F790" s="24" t="s">
        <v>120</v>
      </c>
      <c r="G790" s="24" t="s">
        <v>1275</v>
      </c>
      <c r="H790" s="26">
        <v>15</v>
      </c>
      <c r="I790" s="26">
        <v>4406.3100000000004</v>
      </c>
      <c r="J790" s="26">
        <v>66094.649999999994</v>
      </c>
    </row>
    <row r="791" spans="1:10">
      <c r="A791" s="25">
        <v>45263</v>
      </c>
      <c r="B791" s="24" t="s">
        <v>1265</v>
      </c>
      <c r="C791" s="24" t="s">
        <v>1169</v>
      </c>
      <c r="D791" s="24" t="s">
        <v>1230</v>
      </c>
      <c r="E791" s="24" t="s">
        <v>1229</v>
      </c>
      <c r="F791" s="24" t="s">
        <v>145</v>
      </c>
      <c r="G791" s="24" t="s">
        <v>1278</v>
      </c>
      <c r="H791" s="26">
        <v>19</v>
      </c>
      <c r="I791" s="26">
        <v>2016.56</v>
      </c>
      <c r="J791" s="26">
        <v>38314.639999999999</v>
      </c>
    </row>
    <row r="792" spans="1:10">
      <c r="A792" s="25">
        <v>45188</v>
      </c>
      <c r="B792" s="24" t="s">
        <v>1265</v>
      </c>
      <c r="C792" s="24" t="s">
        <v>1246</v>
      </c>
      <c r="D792" s="24" t="s">
        <v>1230</v>
      </c>
      <c r="E792" s="24" t="s">
        <v>1229</v>
      </c>
      <c r="F792" s="24" t="s">
        <v>132</v>
      </c>
      <c r="G792" s="24" t="s">
        <v>1279</v>
      </c>
      <c r="H792" s="26">
        <v>13</v>
      </c>
      <c r="I792" s="26">
        <v>3531.03</v>
      </c>
      <c r="J792" s="26">
        <v>45903.39</v>
      </c>
    </row>
    <row r="793" spans="1:10">
      <c r="A793" s="25">
        <v>45245</v>
      </c>
      <c r="B793" s="24" t="s">
        <v>1262</v>
      </c>
      <c r="C793" s="24" t="s">
        <v>1234</v>
      </c>
      <c r="D793" s="24" t="s">
        <v>1232</v>
      </c>
      <c r="E793" s="24" t="s">
        <v>1231</v>
      </c>
      <c r="F793" s="24" t="s">
        <v>132</v>
      </c>
      <c r="G793" s="24" t="s">
        <v>1253</v>
      </c>
      <c r="H793" s="26">
        <v>7</v>
      </c>
      <c r="I793" s="26">
        <v>4077.95</v>
      </c>
      <c r="J793" s="26">
        <v>28545.65</v>
      </c>
    </row>
    <row r="794" spans="1:10">
      <c r="A794" s="25">
        <v>45032</v>
      </c>
      <c r="B794" s="24" t="s">
        <v>1260</v>
      </c>
      <c r="C794" s="24" t="s">
        <v>1236</v>
      </c>
      <c r="D794" s="24" t="s">
        <v>1235</v>
      </c>
      <c r="E794" s="24" t="s">
        <v>1231</v>
      </c>
      <c r="F794" s="24" t="s">
        <v>1249</v>
      </c>
      <c r="G794" s="24" t="s">
        <v>1272</v>
      </c>
      <c r="H794" s="26">
        <v>1</v>
      </c>
      <c r="I794" s="26">
        <v>1628.88</v>
      </c>
      <c r="J794" s="26">
        <v>1628.88</v>
      </c>
    </row>
    <row r="795" spans="1:10">
      <c r="A795" s="25">
        <v>44976</v>
      </c>
      <c r="B795" s="24" t="s">
        <v>1254</v>
      </c>
      <c r="C795" s="24" t="s">
        <v>1241</v>
      </c>
      <c r="D795" s="24" t="s">
        <v>1235</v>
      </c>
      <c r="E795" s="24" t="s">
        <v>1231</v>
      </c>
      <c r="F795" s="24" t="s">
        <v>128</v>
      </c>
      <c r="G795" s="24" t="s">
        <v>1257</v>
      </c>
      <c r="H795" s="26">
        <v>15</v>
      </c>
      <c r="I795" s="26">
        <v>2093.0300000000002</v>
      </c>
      <c r="J795" s="26">
        <v>31395.45</v>
      </c>
    </row>
    <row r="796" spans="1:10">
      <c r="A796" s="25">
        <v>45110</v>
      </c>
      <c r="B796" s="24" t="s">
        <v>1267</v>
      </c>
      <c r="C796" s="24" t="s">
        <v>1247</v>
      </c>
      <c r="D796" s="24" t="s">
        <v>1243</v>
      </c>
      <c r="E796" s="24" t="s">
        <v>1242</v>
      </c>
      <c r="F796" s="24" t="s">
        <v>128</v>
      </c>
      <c r="G796" s="24" t="s">
        <v>1266</v>
      </c>
      <c r="H796" s="26">
        <v>14</v>
      </c>
      <c r="I796" s="26">
        <v>2441.0700000000002</v>
      </c>
      <c r="J796" s="26">
        <v>34174.980000000003</v>
      </c>
    </row>
    <row r="797" spans="1:10">
      <c r="A797" s="25">
        <v>45089</v>
      </c>
      <c r="B797" s="24" t="s">
        <v>1269</v>
      </c>
      <c r="C797" s="24" t="s">
        <v>1173</v>
      </c>
      <c r="D797" s="24" t="s">
        <v>1237</v>
      </c>
      <c r="E797" s="24" t="s">
        <v>1229</v>
      </c>
      <c r="F797" s="24" t="s">
        <v>132</v>
      </c>
      <c r="G797" s="24" t="s">
        <v>1277</v>
      </c>
      <c r="H797" s="26">
        <v>18</v>
      </c>
      <c r="I797" s="26">
        <v>134.66999999999999</v>
      </c>
      <c r="J797" s="26">
        <v>2424.06</v>
      </c>
    </row>
    <row r="798" spans="1:10">
      <c r="A798" s="25">
        <v>45148</v>
      </c>
      <c r="B798" s="24" t="s">
        <v>1254</v>
      </c>
      <c r="C798" s="24" t="s">
        <v>1236</v>
      </c>
      <c r="D798" s="24" t="s">
        <v>1235</v>
      </c>
      <c r="E798" s="24" t="s">
        <v>1231</v>
      </c>
      <c r="F798" s="24" t="s">
        <v>120</v>
      </c>
      <c r="G798" s="24" t="s">
        <v>1164</v>
      </c>
      <c r="H798" s="26">
        <v>8</v>
      </c>
      <c r="I798" s="26">
        <v>2518.13</v>
      </c>
      <c r="J798" s="26">
        <v>20145.04</v>
      </c>
    </row>
    <row r="799" spans="1:10">
      <c r="A799" s="25">
        <v>45143</v>
      </c>
      <c r="B799" s="24" t="s">
        <v>1256</v>
      </c>
      <c r="C799" s="24" t="s">
        <v>1247</v>
      </c>
      <c r="D799" s="24" t="s">
        <v>1243</v>
      </c>
      <c r="E799" s="24" t="s">
        <v>1242</v>
      </c>
      <c r="F799" s="24" t="s">
        <v>145</v>
      </c>
      <c r="G799" s="24" t="s">
        <v>1274</v>
      </c>
      <c r="H799" s="26">
        <v>1</v>
      </c>
      <c r="I799" s="26">
        <v>2366.64</v>
      </c>
      <c r="J799" s="26">
        <v>2366.64</v>
      </c>
    </row>
    <row r="800" spans="1:10">
      <c r="A800" s="25">
        <v>45264</v>
      </c>
      <c r="B800" s="24" t="s">
        <v>1254</v>
      </c>
      <c r="C800" s="24" t="s">
        <v>1171</v>
      </c>
      <c r="D800" s="24" t="s">
        <v>1237</v>
      </c>
      <c r="E800" s="24" t="s">
        <v>1229</v>
      </c>
      <c r="F800" s="24" t="s">
        <v>145</v>
      </c>
      <c r="G800" s="24" t="s">
        <v>1255</v>
      </c>
      <c r="H800" s="26">
        <v>14</v>
      </c>
      <c r="I800" s="26">
        <v>3167.49</v>
      </c>
      <c r="J800" s="26">
        <v>44344.86</v>
      </c>
    </row>
    <row r="801" spans="1:10">
      <c r="A801" s="25">
        <v>45058</v>
      </c>
      <c r="B801" s="24" t="s">
        <v>1260</v>
      </c>
      <c r="C801" s="24" t="s">
        <v>1171</v>
      </c>
      <c r="D801" s="24" t="s">
        <v>1237</v>
      </c>
      <c r="E801" s="24" t="s">
        <v>1229</v>
      </c>
      <c r="F801" s="24" t="s">
        <v>120</v>
      </c>
      <c r="G801" s="24" t="s">
        <v>1165</v>
      </c>
      <c r="H801" s="26">
        <v>9</v>
      </c>
      <c r="I801" s="26">
        <v>109.56</v>
      </c>
      <c r="J801" s="26">
        <v>986.04</v>
      </c>
    </row>
    <row r="802" spans="1:10">
      <c r="A802" s="25">
        <v>45079</v>
      </c>
      <c r="B802" s="24" t="s">
        <v>1262</v>
      </c>
      <c r="C802" s="24" t="s">
        <v>1247</v>
      </c>
      <c r="D802" s="24" t="s">
        <v>1243</v>
      </c>
      <c r="E802" s="24" t="s">
        <v>1242</v>
      </c>
      <c r="F802" s="24" t="s">
        <v>120</v>
      </c>
      <c r="G802" s="24" t="s">
        <v>1276</v>
      </c>
      <c r="H802" s="26">
        <v>20</v>
      </c>
      <c r="I802" s="26">
        <v>652.87</v>
      </c>
      <c r="J802" s="26">
        <v>13057.4</v>
      </c>
    </row>
    <row r="803" spans="1:10">
      <c r="A803" s="25">
        <v>45000</v>
      </c>
      <c r="B803" s="24" t="s">
        <v>1260</v>
      </c>
      <c r="C803" s="24" t="s">
        <v>1241</v>
      </c>
      <c r="D803" s="24" t="s">
        <v>1235</v>
      </c>
      <c r="E803" s="24" t="s">
        <v>1231</v>
      </c>
      <c r="F803" s="24" t="s">
        <v>128</v>
      </c>
      <c r="G803" s="24" t="s">
        <v>1266</v>
      </c>
      <c r="H803" s="26">
        <v>4</v>
      </c>
      <c r="I803" s="26">
        <v>2563.65</v>
      </c>
      <c r="J803" s="26">
        <v>10254.6</v>
      </c>
    </row>
    <row r="804" spans="1:10">
      <c r="A804" s="25">
        <v>44944</v>
      </c>
      <c r="B804" s="24" t="s">
        <v>1258</v>
      </c>
      <c r="C804" s="24" t="s">
        <v>1233</v>
      </c>
      <c r="D804" s="24" t="s">
        <v>1232</v>
      </c>
      <c r="E804" s="24" t="s">
        <v>1231</v>
      </c>
      <c r="F804" s="24" t="s">
        <v>1249</v>
      </c>
      <c r="G804" s="24" t="s">
        <v>1268</v>
      </c>
      <c r="H804" s="26">
        <v>2</v>
      </c>
      <c r="I804" s="26">
        <v>771.23</v>
      </c>
      <c r="J804" s="26">
        <v>1542.46</v>
      </c>
    </row>
    <row r="805" spans="1:10">
      <c r="A805" s="25">
        <v>45137</v>
      </c>
      <c r="B805" s="24" t="s">
        <v>1263</v>
      </c>
      <c r="C805" s="24" t="s">
        <v>1240</v>
      </c>
      <c r="D805" s="24" t="s">
        <v>1232</v>
      </c>
      <c r="E805" s="24" t="s">
        <v>1231</v>
      </c>
      <c r="F805" s="24" t="s">
        <v>128</v>
      </c>
      <c r="G805" s="24" t="s">
        <v>1266</v>
      </c>
      <c r="H805" s="26">
        <v>19</v>
      </c>
      <c r="I805" s="26">
        <v>2290.6799999999998</v>
      </c>
      <c r="J805" s="26">
        <v>43522.92</v>
      </c>
    </row>
    <row r="806" spans="1:10">
      <c r="A806" s="25">
        <v>44950</v>
      </c>
      <c r="B806" s="24" t="s">
        <v>1260</v>
      </c>
      <c r="C806" s="24" t="s">
        <v>1238</v>
      </c>
      <c r="D806" s="24" t="s">
        <v>1235</v>
      </c>
      <c r="E806" s="24" t="s">
        <v>1231</v>
      </c>
      <c r="F806" s="24" t="s">
        <v>145</v>
      </c>
      <c r="G806" s="24" t="s">
        <v>1261</v>
      </c>
      <c r="H806" s="26">
        <v>9</v>
      </c>
      <c r="I806" s="26">
        <v>4965.3</v>
      </c>
      <c r="J806" s="26">
        <v>44687.7</v>
      </c>
    </row>
    <row r="807" spans="1:10">
      <c r="A807" s="25">
        <v>45195</v>
      </c>
      <c r="B807" s="24" t="s">
        <v>1258</v>
      </c>
      <c r="C807" s="24" t="s">
        <v>1239</v>
      </c>
      <c r="D807" s="24" t="s">
        <v>1237</v>
      </c>
      <c r="E807" s="24" t="s">
        <v>1229</v>
      </c>
      <c r="F807" s="24" t="s">
        <v>120</v>
      </c>
      <c r="G807" s="24" t="s">
        <v>1165</v>
      </c>
      <c r="H807" s="26">
        <v>4</v>
      </c>
      <c r="I807" s="26">
        <v>3684.5</v>
      </c>
      <c r="J807" s="26">
        <v>14738</v>
      </c>
    </row>
    <row r="808" spans="1:10">
      <c r="A808" s="25">
        <v>45118</v>
      </c>
      <c r="B808" s="24" t="s">
        <v>1256</v>
      </c>
      <c r="C808" s="24" t="s">
        <v>1248</v>
      </c>
      <c r="D808" s="24" t="s">
        <v>1230</v>
      </c>
      <c r="E808" s="24" t="s">
        <v>1229</v>
      </c>
      <c r="F808" s="24" t="s">
        <v>1249</v>
      </c>
      <c r="G808" s="24" t="s">
        <v>1272</v>
      </c>
      <c r="H808" s="26">
        <v>14</v>
      </c>
      <c r="I808" s="26">
        <v>4566.12</v>
      </c>
      <c r="J808" s="26">
        <v>63925.68</v>
      </c>
    </row>
    <row r="809" spans="1:10">
      <c r="A809" s="25">
        <v>45254</v>
      </c>
      <c r="B809" s="24" t="s">
        <v>1262</v>
      </c>
      <c r="C809" s="24" t="s">
        <v>1233</v>
      </c>
      <c r="D809" s="24" t="s">
        <v>1232</v>
      </c>
      <c r="E809" s="24" t="s">
        <v>1231</v>
      </c>
      <c r="F809" s="24" t="s">
        <v>132</v>
      </c>
      <c r="G809" s="24" t="s">
        <v>1279</v>
      </c>
      <c r="H809" s="26">
        <v>17</v>
      </c>
      <c r="I809" s="26">
        <v>2246.8200000000002</v>
      </c>
      <c r="J809" s="26">
        <v>38195.94</v>
      </c>
    </row>
    <row r="810" spans="1:10">
      <c r="A810" s="25">
        <v>45089</v>
      </c>
      <c r="B810" s="24" t="s">
        <v>1256</v>
      </c>
      <c r="C810" s="24" t="s">
        <v>1245</v>
      </c>
      <c r="D810" s="24" t="s">
        <v>1243</v>
      </c>
      <c r="E810" s="24" t="s">
        <v>1242</v>
      </c>
      <c r="F810" s="24" t="s">
        <v>145</v>
      </c>
      <c r="G810" s="24" t="s">
        <v>1255</v>
      </c>
      <c r="H810" s="26">
        <v>3</v>
      </c>
      <c r="I810" s="26">
        <v>215.21</v>
      </c>
      <c r="J810" s="26">
        <v>645.63</v>
      </c>
    </row>
    <row r="811" spans="1:10">
      <c r="A811" s="25">
        <v>45289</v>
      </c>
      <c r="B811" s="24" t="s">
        <v>1269</v>
      </c>
      <c r="C811" s="24" t="s">
        <v>1241</v>
      </c>
      <c r="D811" s="24" t="s">
        <v>1235</v>
      </c>
      <c r="E811" s="24" t="s">
        <v>1231</v>
      </c>
      <c r="F811" s="24" t="s">
        <v>120</v>
      </c>
      <c r="G811" s="24" t="s">
        <v>1164</v>
      </c>
      <c r="H811" s="26">
        <v>7</v>
      </c>
      <c r="I811" s="26">
        <v>1294.31</v>
      </c>
      <c r="J811" s="26">
        <v>9060.17</v>
      </c>
    </row>
    <row r="812" spans="1:10">
      <c r="A812" s="25">
        <v>45158</v>
      </c>
      <c r="B812" s="24" t="s">
        <v>1260</v>
      </c>
      <c r="C812" s="24" t="s">
        <v>1246</v>
      </c>
      <c r="D812" s="24" t="s">
        <v>1230</v>
      </c>
      <c r="E812" s="24" t="s">
        <v>1229</v>
      </c>
      <c r="F812" s="24" t="s">
        <v>1249</v>
      </c>
      <c r="G812" s="24" t="s">
        <v>1272</v>
      </c>
      <c r="H812" s="26">
        <v>9</v>
      </c>
      <c r="I812" s="26">
        <v>1558.74</v>
      </c>
      <c r="J812" s="26">
        <v>14028.66</v>
      </c>
    </row>
    <row r="813" spans="1:10">
      <c r="A813" s="25">
        <v>45009</v>
      </c>
      <c r="B813" s="24" t="s">
        <v>1265</v>
      </c>
      <c r="C813" s="24" t="s">
        <v>1234</v>
      </c>
      <c r="D813" s="24" t="s">
        <v>1232</v>
      </c>
      <c r="E813" s="24" t="s">
        <v>1231</v>
      </c>
      <c r="F813" s="24" t="s">
        <v>145</v>
      </c>
      <c r="G813" s="24" t="s">
        <v>1278</v>
      </c>
      <c r="H813" s="26">
        <v>11</v>
      </c>
      <c r="I813" s="26">
        <v>4382.91</v>
      </c>
      <c r="J813" s="26">
        <v>48212.01</v>
      </c>
    </row>
    <row r="814" spans="1:10">
      <c r="A814" s="25">
        <v>45138</v>
      </c>
      <c r="B814" s="24" t="s">
        <v>1260</v>
      </c>
      <c r="C814" s="24" t="s">
        <v>1245</v>
      </c>
      <c r="D814" s="24" t="s">
        <v>1243</v>
      </c>
      <c r="E814" s="24" t="s">
        <v>1242</v>
      </c>
      <c r="F814" s="24" t="s">
        <v>120</v>
      </c>
      <c r="G814" s="24" t="s">
        <v>1275</v>
      </c>
      <c r="H814" s="26">
        <v>6</v>
      </c>
      <c r="I814" s="26">
        <v>4197.59</v>
      </c>
      <c r="J814" s="26">
        <v>25185.54</v>
      </c>
    </row>
    <row r="815" spans="1:10">
      <c r="A815" s="25">
        <v>44961</v>
      </c>
      <c r="B815" s="24" t="s">
        <v>1252</v>
      </c>
      <c r="C815" s="24" t="s">
        <v>1233</v>
      </c>
      <c r="D815" s="24" t="s">
        <v>1232</v>
      </c>
      <c r="E815" s="24" t="s">
        <v>1231</v>
      </c>
      <c r="F815" s="24" t="s">
        <v>145</v>
      </c>
      <c r="G815" s="24" t="s">
        <v>1278</v>
      </c>
      <c r="H815" s="26">
        <v>2</v>
      </c>
      <c r="I815" s="26">
        <v>4137.49</v>
      </c>
      <c r="J815" s="26">
        <v>8274.98</v>
      </c>
    </row>
    <row r="816" spans="1:10">
      <c r="A816" s="25">
        <v>45242</v>
      </c>
      <c r="B816" s="24" t="s">
        <v>1263</v>
      </c>
      <c r="C816" s="24" t="s">
        <v>1247</v>
      </c>
      <c r="D816" s="24" t="s">
        <v>1243</v>
      </c>
      <c r="E816" s="24" t="s">
        <v>1242</v>
      </c>
      <c r="F816" s="24" t="s">
        <v>120</v>
      </c>
      <c r="G816" s="24" t="s">
        <v>1275</v>
      </c>
      <c r="H816" s="26">
        <v>16</v>
      </c>
      <c r="I816" s="26">
        <v>1598.06</v>
      </c>
      <c r="J816" s="26">
        <v>25568.959999999999</v>
      </c>
    </row>
    <row r="817" spans="1:10">
      <c r="A817" s="25">
        <v>45250</v>
      </c>
      <c r="B817" s="24" t="s">
        <v>1254</v>
      </c>
      <c r="C817" s="24" t="s">
        <v>1245</v>
      </c>
      <c r="D817" s="24" t="s">
        <v>1243</v>
      </c>
      <c r="E817" s="24" t="s">
        <v>1242</v>
      </c>
      <c r="F817" s="24" t="s">
        <v>132</v>
      </c>
      <c r="G817" s="24" t="s">
        <v>1279</v>
      </c>
      <c r="H817" s="26">
        <v>3</v>
      </c>
      <c r="I817" s="26">
        <v>3044.02</v>
      </c>
      <c r="J817" s="26">
        <v>9132.06</v>
      </c>
    </row>
    <row r="818" spans="1:10">
      <c r="A818" s="25">
        <v>44935</v>
      </c>
      <c r="B818" s="24" t="s">
        <v>1252</v>
      </c>
      <c r="C818" s="24" t="s">
        <v>1173</v>
      </c>
      <c r="D818" s="24" t="s">
        <v>1237</v>
      </c>
      <c r="E818" s="24" t="s">
        <v>1229</v>
      </c>
      <c r="F818" s="24" t="s">
        <v>128</v>
      </c>
      <c r="G818" s="24" t="s">
        <v>1273</v>
      </c>
      <c r="H818" s="26">
        <v>6</v>
      </c>
      <c r="I818" s="26">
        <v>4270.03</v>
      </c>
      <c r="J818" s="26">
        <v>25620.18</v>
      </c>
    </row>
    <row r="819" spans="1:10">
      <c r="A819" s="25">
        <v>45179</v>
      </c>
      <c r="B819" s="24" t="s">
        <v>1254</v>
      </c>
      <c r="C819" s="24" t="s">
        <v>1173</v>
      </c>
      <c r="D819" s="24" t="s">
        <v>1237</v>
      </c>
      <c r="E819" s="24" t="s">
        <v>1229</v>
      </c>
      <c r="F819" s="24" t="s">
        <v>132</v>
      </c>
      <c r="G819" s="24" t="s">
        <v>1279</v>
      </c>
      <c r="H819" s="26">
        <v>13</v>
      </c>
      <c r="I819" s="26">
        <v>298.08999999999997</v>
      </c>
      <c r="J819" s="26">
        <v>3875.17</v>
      </c>
    </row>
    <row r="820" spans="1:10">
      <c r="A820" s="25">
        <v>45090</v>
      </c>
      <c r="B820" s="24" t="s">
        <v>1263</v>
      </c>
      <c r="C820" s="24" t="s">
        <v>1246</v>
      </c>
      <c r="D820" s="24" t="s">
        <v>1230</v>
      </c>
      <c r="E820" s="24" t="s">
        <v>1229</v>
      </c>
      <c r="F820" s="24" t="s">
        <v>120</v>
      </c>
      <c r="G820" s="24" t="s">
        <v>1165</v>
      </c>
      <c r="H820" s="26">
        <v>3</v>
      </c>
      <c r="I820" s="26">
        <v>1453.68</v>
      </c>
      <c r="J820" s="26">
        <v>4361.04</v>
      </c>
    </row>
    <row r="821" spans="1:10">
      <c r="A821" s="25">
        <v>45129</v>
      </c>
      <c r="B821" s="24" t="s">
        <v>1267</v>
      </c>
      <c r="C821" s="24" t="s">
        <v>1247</v>
      </c>
      <c r="D821" s="24" t="s">
        <v>1243</v>
      </c>
      <c r="E821" s="24" t="s">
        <v>1242</v>
      </c>
      <c r="F821" s="24" t="s">
        <v>145</v>
      </c>
      <c r="G821" s="24" t="s">
        <v>1274</v>
      </c>
      <c r="H821" s="26">
        <v>4</v>
      </c>
      <c r="I821" s="26">
        <v>1009.78</v>
      </c>
      <c r="J821" s="26">
        <v>4039.12</v>
      </c>
    </row>
    <row r="822" spans="1:10">
      <c r="A822" s="25">
        <v>45203</v>
      </c>
      <c r="B822" s="24" t="s">
        <v>1252</v>
      </c>
      <c r="C822" s="24" t="s">
        <v>1240</v>
      </c>
      <c r="D822" s="24" t="s">
        <v>1232</v>
      </c>
      <c r="E822" s="24" t="s">
        <v>1231</v>
      </c>
      <c r="F822" s="24" t="s">
        <v>120</v>
      </c>
      <c r="G822" s="24" t="s">
        <v>1164</v>
      </c>
      <c r="H822" s="26">
        <v>12</v>
      </c>
      <c r="I822" s="26">
        <v>231.07</v>
      </c>
      <c r="J822" s="26">
        <v>2772.84</v>
      </c>
    </row>
    <row r="823" spans="1:10">
      <c r="A823" s="25">
        <v>44963</v>
      </c>
      <c r="B823" s="24" t="s">
        <v>1252</v>
      </c>
      <c r="C823" s="24" t="s">
        <v>1239</v>
      </c>
      <c r="D823" s="24" t="s">
        <v>1237</v>
      </c>
      <c r="E823" s="24" t="s">
        <v>1229</v>
      </c>
      <c r="F823" s="24" t="s">
        <v>120</v>
      </c>
      <c r="G823" s="24" t="s">
        <v>1165</v>
      </c>
      <c r="H823" s="26">
        <v>12</v>
      </c>
      <c r="I823" s="26">
        <v>1410.03</v>
      </c>
      <c r="J823" s="26">
        <v>16920.36</v>
      </c>
    </row>
    <row r="824" spans="1:10">
      <c r="A824" s="25">
        <v>44966</v>
      </c>
      <c r="B824" s="24" t="s">
        <v>1263</v>
      </c>
      <c r="C824" s="24" t="s">
        <v>1173</v>
      </c>
      <c r="D824" s="24" t="s">
        <v>1237</v>
      </c>
      <c r="E824" s="24" t="s">
        <v>1229</v>
      </c>
      <c r="F824" s="24" t="s">
        <v>145</v>
      </c>
      <c r="G824" s="24" t="s">
        <v>1261</v>
      </c>
      <c r="H824" s="26">
        <v>6</v>
      </c>
      <c r="I824" s="26">
        <v>1610.91</v>
      </c>
      <c r="J824" s="26">
        <v>9665.4599999999991</v>
      </c>
    </row>
    <row r="825" spans="1:10">
      <c r="A825" s="25">
        <v>44964</v>
      </c>
      <c r="B825" s="24" t="s">
        <v>1265</v>
      </c>
      <c r="C825" s="24" t="s">
        <v>1238</v>
      </c>
      <c r="D825" s="24" t="s">
        <v>1235</v>
      </c>
      <c r="E825" s="24" t="s">
        <v>1231</v>
      </c>
      <c r="F825" s="24" t="s">
        <v>145</v>
      </c>
      <c r="G825" s="24" t="s">
        <v>1261</v>
      </c>
      <c r="H825" s="26">
        <v>7</v>
      </c>
      <c r="I825" s="26">
        <v>3396.62</v>
      </c>
      <c r="J825" s="26">
        <v>23776.34</v>
      </c>
    </row>
    <row r="826" spans="1:10">
      <c r="A826" s="25">
        <v>45115</v>
      </c>
      <c r="B826" s="24" t="s">
        <v>1269</v>
      </c>
      <c r="C826" s="24" t="s">
        <v>1238</v>
      </c>
      <c r="D826" s="24" t="s">
        <v>1235</v>
      </c>
      <c r="E826" s="24" t="s">
        <v>1231</v>
      </c>
      <c r="F826" s="24" t="s">
        <v>145</v>
      </c>
      <c r="G826" s="24" t="s">
        <v>1274</v>
      </c>
      <c r="H826" s="26">
        <v>14</v>
      </c>
      <c r="I826" s="26">
        <v>4164.33</v>
      </c>
      <c r="J826" s="26">
        <v>58300.62</v>
      </c>
    </row>
    <row r="827" spans="1:10">
      <c r="A827" s="25">
        <v>44939</v>
      </c>
      <c r="B827" s="24" t="s">
        <v>1269</v>
      </c>
      <c r="C827" s="24" t="s">
        <v>1239</v>
      </c>
      <c r="D827" s="24" t="s">
        <v>1237</v>
      </c>
      <c r="E827" s="24" t="s">
        <v>1229</v>
      </c>
      <c r="F827" s="24" t="s">
        <v>132</v>
      </c>
      <c r="G827" s="24" t="s">
        <v>1271</v>
      </c>
      <c r="H827" s="26">
        <v>12</v>
      </c>
      <c r="I827" s="26">
        <v>4414.2700000000004</v>
      </c>
      <c r="J827" s="26">
        <v>52971.24</v>
      </c>
    </row>
    <row r="828" spans="1:10">
      <c r="A828" s="25">
        <v>45125</v>
      </c>
      <c r="B828" s="24" t="s">
        <v>1265</v>
      </c>
      <c r="C828" s="24" t="s">
        <v>1233</v>
      </c>
      <c r="D828" s="24" t="s">
        <v>1232</v>
      </c>
      <c r="E828" s="24" t="s">
        <v>1231</v>
      </c>
      <c r="F828" s="24" t="s">
        <v>128</v>
      </c>
      <c r="G828" s="24" t="s">
        <v>1273</v>
      </c>
      <c r="H828" s="26">
        <v>13</v>
      </c>
      <c r="I828" s="26">
        <v>3101.42</v>
      </c>
      <c r="J828" s="26">
        <v>40318.46</v>
      </c>
    </row>
    <row r="829" spans="1:10">
      <c r="A829" s="25">
        <v>45158</v>
      </c>
      <c r="B829" s="24" t="s">
        <v>1267</v>
      </c>
      <c r="C829" s="24" t="s">
        <v>1240</v>
      </c>
      <c r="D829" s="24" t="s">
        <v>1232</v>
      </c>
      <c r="E829" s="24" t="s">
        <v>1231</v>
      </c>
      <c r="F829" s="24" t="s">
        <v>145</v>
      </c>
      <c r="G829" s="24" t="s">
        <v>1278</v>
      </c>
      <c r="H829" s="26">
        <v>18</v>
      </c>
      <c r="I829" s="26">
        <v>3002.55</v>
      </c>
      <c r="J829" s="26">
        <v>54045.9</v>
      </c>
    </row>
    <row r="830" spans="1:10">
      <c r="A830" s="25">
        <v>44962</v>
      </c>
      <c r="B830" s="24" t="s">
        <v>1252</v>
      </c>
      <c r="C830" s="24" t="s">
        <v>1244</v>
      </c>
      <c r="D830" s="24" t="s">
        <v>1243</v>
      </c>
      <c r="E830" s="24" t="s">
        <v>1242</v>
      </c>
      <c r="F830" s="24" t="s">
        <v>132</v>
      </c>
      <c r="G830" s="24" t="s">
        <v>1253</v>
      </c>
      <c r="H830" s="26">
        <v>13</v>
      </c>
      <c r="I830" s="26">
        <v>2098.65</v>
      </c>
      <c r="J830" s="26">
        <v>27282.45</v>
      </c>
    </row>
    <row r="831" spans="1:10">
      <c r="A831" s="25">
        <v>45205</v>
      </c>
      <c r="B831" s="24" t="s">
        <v>1265</v>
      </c>
      <c r="C831" s="24" t="s">
        <v>1169</v>
      </c>
      <c r="D831" s="24" t="s">
        <v>1230</v>
      </c>
      <c r="E831" s="24" t="s">
        <v>1229</v>
      </c>
      <c r="F831" s="24" t="s">
        <v>120</v>
      </c>
      <c r="G831" s="24" t="s">
        <v>1275</v>
      </c>
      <c r="H831" s="26">
        <v>5</v>
      </c>
      <c r="I831" s="26">
        <v>4106.79</v>
      </c>
      <c r="J831" s="26">
        <v>20533.95</v>
      </c>
    </row>
    <row r="832" spans="1:10">
      <c r="A832" s="25">
        <v>45077</v>
      </c>
      <c r="B832" s="24" t="s">
        <v>1258</v>
      </c>
      <c r="C832" s="24" t="s">
        <v>1247</v>
      </c>
      <c r="D832" s="24" t="s">
        <v>1243</v>
      </c>
      <c r="E832" s="24" t="s">
        <v>1242</v>
      </c>
      <c r="F832" s="24" t="s">
        <v>128</v>
      </c>
      <c r="G832" s="24" t="s">
        <v>1257</v>
      </c>
      <c r="H832" s="26">
        <v>1</v>
      </c>
      <c r="I832" s="26">
        <v>3041.26</v>
      </c>
      <c r="J832" s="26">
        <v>3041.26</v>
      </c>
    </row>
    <row r="833" spans="1:10">
      <c r="A833" s="25">
        <v>45248</v>
      </c>
      <c r="B833" s="24" t="s">
        <v>1258</v>
      </c>
      <c r="C833" s="24" t="s">
        <v>1171</v>
      </c>
      <c r="D833" s="24" t="s">
        <v>1237</v>
      </c>
      <c r="E833" s="24" t="s">
        <v>1229</v>
      </c>
      <c r="F833" s="24" t="s">
        <v>145</v>
      </c>
      <c r="G833" s="24" t="s">
        <v>1261</v>
      </c>
      <c r="H833" s="26">
        <v>7</v>
      </c>
      <c r="I833" s="26">
        <v>4514.21</v>
      </c>
      <c r="J833" s="26">
        <v>31599.47</v>
      </c>
    </row>
    <row r="834" spans="1:10">
      <c r="A834" s="25">
        <v>45006</v>
      </c>
      <c r="B834" s="24" t="s">
        <v>1269</v>
      </c>
      <c r="C834" s="24" t="s">
        <v>1233</v>
      </c>
      <c r="D834" s="24" t="s">
        <v>1232</v>
      </c>
      <c r="E834" s="24" t="s">
        <v>1231</v>
      </c>
      <c r="F834" s="24" t="s">
        <v>128</v>
      </c>
      <c r="G834" s="24" t="s">
        <v>1257</v>
      </c>
      <c r="H834" s="26">
        <v>18</v>
      </c>
      <c r="I834" s="26">
        <v>2971.68</v>
      </c>
      <c r="J834" s="26">
        <v>53490.239999999998</v>
      </c>
    </row>
    <row r="835" spans="1:10">
      <c r="A835" s="25">
        <v>45161</v>
      </c>
      <c r="B835" s="24" t="s">
        <v>1263</v>
      </c>
      <c r="C835" s="24" t="s">
        <v>1236</v>
      </c>
      <c r="D835" s="24" t="s">
        <v>1235</v>
      </c>
      <c r="E835" s="24" t="s">
        <v>1231</v>
      </c>
      <c r="F835" s="24" t="s">
        <v>1249</v>
      </c>
      <c r="G835" s="24" t="s">
        <v>1259</v>
      </c>
      <c r="H835" s="26">
        <v>6</v>
      </c>
      <c r="I835" s="26">
        <v>2263.36</v>
      </c>
      <c r="J835" s="26">
        <v>13580.16</v>
      </c>
    </row>
    <row r="836" spans="1:10">
      <c r="A836" s="25">
        <v>45059</v>
      </c>
      <c r="B836" s="24" t="s">
        <v>1252</v>
      </c>
      <c r="C836" s="24" t="s">
        <v>1234</v>
      </c>
      <c r="D836" s="24" t="s">
        <v>1232</v>
      </c>
      <c r="E836" s="24" t="s">
        <v>1231</v>
      </c>
      <c r="F836" s="24" t="s">
        <v>132</v>
      </c>
      <c r="G836" s="24" t="s">
        <v>1277</v>
      </c>
      <c r="H836" s="26">
        <v>8</v>
      </c>
      <c r="I836" s="26">
        <v>3859.28</v>
      </c>
      <c r="J836" s="26">
        <v>30874.240000000002</v>
      </c>
    </row>
    <row r="837" spans="1:10">
      <c r="A837" s="25">
        <v>45061</v>
      </c>
      <c r="B837" s="24" t="s">
        <v>1265</v>
      </c>
      <c r="C837" s="24" t="s">
        <v>1239</v>
      </c>
      <c r="D837" s="24" t="s">
        <v>1237</v>
      </c>
      <c r="E837" s="24" t="s">
        <v>1229</v>
      </c>
      <c r="F837" s="24" t="s">
        <v>132</v>
      </c>
      <c r="G837" s="24" t="s">
        <v>1279</v>
      </c>
      <c r="H837" s="26">
        <v>14</v>
      </c>
      <c r="I837" s="26">
        <v>3044.71</v>
      </c>
      <c r="J837" s="26">
        <v>42625.94</v>
      </c>
    </row>
    <row r="838" spans="1:10">
      <c r="A838" s="25">
        <v>45105</v>
      </c>
      <c r="B838" s="24" t="s">
        <v>1258</v>
      </c>
      <c r="C838" s="24" t="s">
        <v>1238</v>
      </c>
      <c r="D838" s="24" t="s">
        <v>1235</v>
      </c>
      <c r="E838" s="24" t="s">
        <v>1231</v>
      </c>
      <c r="F838" s="24" t="s">
        <v>145</v>
      </c>
      <c r="G838" s="24" t="s">
        <v>1274</v>
      </c>
      <c r="H838" s="26">
        <v>11</v>
      </c>
      <c r="I838" s="26">
        <v>4653.38</v>
      </c>
      <c r="J838" s="26">
        <v>51187.18</v>
      </c>
    </row>
    <row r="839" spans="1:10">
      <c r="A839" s="25">
        <v>44964</v>
      </c>
      <c r="B839" s="24" t="s">
        <v>1263</v>
      </c>
      <c r="C839" s="24" t="s">
        <v>1236</v>
      </c>
      <c r="D839" s="24" t="s">
        <v>1235</v>
      </c>
      <c r="E839" s="24" t="s">
        <v>1231</v>
      </c>
      <c r="F839" s="24" t="s">
        <v>132</v>
      </c>
      <c r="G839" s="24" t="s">
        <v>1279</v>
      </c>
      <c r="H839" s="26">
        <v>9</v>
      </c>
      <c r="I839" s="26">
        <v>3425.59</v>
      </c>
      <c r="J839" s="26">
        <v>30830.31</v>
      </c>
    </row>
    <row r="840" spans="1:10">
      <c r="A840" s="25">
        <v>45134</v>
      </c>
      <c r="B840" s="24" t="s">
        <v>1252</v>
      </c>
      <c r="C840" s="24" t="s">
        <v>1171</v>
      </c>
      <c r="D840" s="24" t="s">
        <v>1237</v>
      </c>
      <c r="E840" s="24" t="s">
        <v>1229</v>
      </c>
      <c r="F840" s="24" t="s">
        <v>128</v>
      </c>
      <c r="G840" s="24" t="s">
        <v>1257</v>
      </c>
      <c r="H840" s="26">
        <v>15</v>
      </c>
      <c r="I840" s="26">
        <v>4671.6899999999996</v>
      </c>
      <c r="J840" s="26">
        <v>70075.350000000006</v>
      </c>
    </row>
    <row r="841" spans="1:10">
      <c r="A841" s="25">
        <v>45186</v>
      </c>
      <c r="B841" s="24" t="s">
        <v>1254</v>
      </c>
      <c r="C841" s="24" t="s">
        <v>1173</v>
      </c>
      <c r="D841" s="24" t="s">
        <v>1237</v>
      </c>
      <c r="E841" s="24" t="s">
        <v>1229</v>
      </c>
      <c r="F841" s="24" t="s">
        <v>145</v>
      </c>
      <c r="G841" s="24" t="s">
        <v>1278</v>
      </c>
      <c r="H841" s="26">
        <v>5</v>
      </c>
      <c r="I841" s="26">
        <v>4600.38</v>
      </c>
      <c r="J841" s="26">
        <v>23001.9</v>
      </c>
    </row>
    <row r="842" spans="1:10">
      <c r="A842" s="25">
        <v>45088</v>
      </c>
      <c r="B842" s="24" t="s">
        <v>1267</v>
      </c>
      <c r="C842" s="24" t="s">
        <v>1233</v>
      </c>
      <c r="D842" s="24" t="s">
        <v>1232</v>
      </c>
      <c r="E842" s="24" t="s">
        <v>1231</v>
      </c>
      <c r="F842" s="24" t="s">
        <v>1249</v>
      </c>
      <c r="G842" s="24" t="s">
        <v>1272</v>
      </c>
      <c r="H842" s="26">
        <v>19</v>
      </c>
      <c r="I842" s="26">
        <v>2183.09</v>
      </c>
      <c r="J842" s="26">
        <v>41478.71</v>
      </c>
    </row>
    <row r="843" spans="1:10">
      <c r="A843" s="25">
        <v>45280</v>
      </c>
      <c r="B843" s="24" t="s">
        <v>1263</v>
      </c>
      <c r="C843" s="24" t="s">
        <v>1240</v>
      </c>
      <c r="D843" s="24" t="s">
        <v>1232</v>
      </c>
      <c r="E843" s="24" t="s">
        <v>1231</v>
      </c>
      <c r="F843" s="24" t="s">
        <v>120</v>
      </c>
      <c r="G843" s="24" t="s">
        <v>1165</v>
      </c>
      <c r="H843" s="26">
        <v>8</v>
      </c>
      <c r="I843" s="26">
        <v>1850.8</v>
      </c>
      <c r="J843" s="26">
        <v>14806.4</v>
      </c>
    </row>
    <row r="844" spans="1:10">
      <c r="A844" s="25">
        <v>45272</v>
      </c>
      <c r="B844" s="24" t="s">
        <v>1254</v>
      </c>
      <c r="C844" s="24" t="s">
        <v>1247</v>
      </c>
      <c r="D844" s="24" t="s">
        <v>1243</v>
      </c>
      <c r="E844" s="24" t="s">
        <v>1242</v>
      </c>
      <c r="F844" s="24" t="s">
        <v>120</v>
      </c>
      <c r="G844" s="24" t="s">
        <v>1275</v>
      </c>
      <c r="H844" s="26">
        <v>12</v>
      </c>
      <c r="I844" s="26">
        <v>3695.68</v>
      </c>
      <c r="J844" s="26">
        <v>44348.160000000003</v>
      </c>
    </row>
    <row r="845" spans="1:10">
      <c r="A845" s="25">
        <v>45119</v>
      </c>
      <c r="B845" s="24" t="s">
        <v>1252</v>
      </c>
      <c r="C845" s="24" t="s">
        <v>1248</v>
      </c>
      <c r="D845" s="24" t="s">
        <v>1230</v>
      </c>
      <c r="E845" s="24" t="s">
        <v>1229</v>
      </c>
      <c r="F845" s="24" t="s">
        <v>132</v>
      </c>
      <c r="G845" s="24" t="s">
        <v>1279</v>
      </c>
      <c r="H845" s="26">
        <v>14</v>
      </c>
      <c r="I845" s="26">
        <v>3099.57</v>
      </c>
      <c r="J845" s="26">
        <v>43393.98</v>
      </c>
    </row>
    <row r="846" spans="1:10">
      <c r="A846" s="25">
        <v>45222</v>
      </c>
      <c r="B846" s="24" t="s">
        <v>1262</v>
      </c>
      <c r="C846" s="24" t="s">
        <v>1239</v>
      </c>
      <c r="D846" s="24" t="s">
        <v>1237</v>
      </c>
      <c r="E846" s="24" t="s">
        <v>1229</v>
      </c>
      <c r="F846" s="24" t="s">
        <v>128</v>
      </c>
      <c r="G846" s="24" t="s">
        <v>1264</v>
      </c>
      <c r="H846" s="26">
        <v>1</v>
      </c>
      <c r="I846" s="26">
        <v>3758.07</v>
      </c>
      <c r="J846" s="26">
        <v>3758.07</v>
      </c>
    </row>
    <row r="847" spans="1:10">
      <c r="A847" s="25">
        <v>45163</v>
      </c>
      <c r="B847" s="24" t="s">
        <v>1260</v>
      </c>
      <c r="C847" s="24" t="s">
        <v>1244</v>
      </c>
      <c r="D847" s="24" t="s">
        <v>1243</v>
      </c>
      <c r="E847" s="24" t="s">
        <v>1242</v>
      </c>
      <c r="F847" s="24" t="s">
        <v>132</v>
      </c>
      <c r="G847" s="24" t="s">
        <v>1271</v>
      </c>
      <c r="H847" s="26">
        <v>5</v>
      </c>
      <c r="I847" s="26">
        <v>2536.65</v>
      </c>
      <c r="J847" s="26">
        <v>12683.25</v>
      </c>
    </row>
    <row r="848" spans="1:10">
      <c r="A848" s="25">
        <v>45160</v>
      </c>
      <c r="B848" s="24" t="s">
        <v>1262</v>
      </c>
      <c r="C848" s="24" t="s">
        <v>1171</v>
      </c>
      <c r="D848" s="24" t="s">
        <v>1237</v>
      </c>
      <c r="E848" s="24" t="s">
        <v>1229</v>
      </c>
      <c r="F848" s="24" t="s">
        <v>1249</v>
      </c>
      <c r="G848" s="24" t="s">
        <v>1270</v>
      </c>
      <c r="H848" s="26">
        <v>9</v>
      </c>
      <c r="I848" s="26">
        <v>564.08000000000004</v>
      </c>
      <c r="J848" s="26">
        <v>5076.72</v>
      </c>
    </row>
    <row r="849" spans="1:10">
      <c r="A849" s="25">
        <v>45257</v>
      </c>
      <c r="B849" s="24" t="s">
        <v>1252</v>
      </c>
      <c r="C849" s="24" t="s">
        <v>1241</v>
      </c>
      <c r="D849" s="24" t="s">
        <v>1235</v>
      </c>
      <c r="E849" s="24" t="s">
        <v>1231</v>
      </c>
      <c r="F849" s="24" t="s">
        <v>1249</v>
      </c>
      <c r="G849" s="24" t="s">
        <v>1268</v>
      </c>
      <c r="H849" s="26">
        <v>4</v>
      </c>
      <c r="I849" s="26">
        <v>3762.47</v>
      </c>
      <c r="J849" s="26">
        <v>15049.88</v>
      </c>
    </row>
    <row r="850" spans="1:10">
      <c r="A850" s="25">
        <v>45229</v>
      </c>
      <c r="B850" s="24" t="s">
        <v>1256</v>
      </c>
      <c r="C850" s="24" t="s">
        <v>1246</v>
      </c>
      <c r="D850" s="24" t="s">
        <v>1230</v>
      </c>
      <c r="E850" s="24" t="s">
        <v>1229</v>
      </c>
      <c r="F850" s="24" t="s">
        <v>1249</v>
      </c>
      <c r="G850" s="24" t="s">
        <v>1272</v>
      </c>
      <c r="H850" s="26">
        <v>5</v>
      </c>
      <c r="I850" s="26">
        <v>4180.57</v>
      </c>
      <c r="J850" s="26">
        <v>20902.849999999999</v>
      </c>
    </row>
    <row r="851" spans="1:10">
      <c r="A851" s="25">
        <v>44945</v>
      </c>
      <c r="B851" s="24" t="s">
        <v>1263</v>
      </c>
      <c r="C851" s="24" t="s">
        <v>1238</v>
      </c>
      <c r="D851" s="24" t="s">
        <v>1235</v>
      </c>
      <c r="E851" s="24" t="s">
        <v>1231</v>
      </c>
      <c r="F851" s="24" t="s">
        <v>132</v>
      </c>
      <c r="G851" s="24" t="s">
        <v>1271</v>
      </c>
      <c r="H851" s="26">
        <v>5</v>
      </c>
      <c r="I851" s="26">
        <v>1947.01</v>
      </c>
      <c r="J851" s="26">
        <v>9735.0499999999993</v>
      </c>
    </row>
    <row r="852" spans="1:10">
      <c r="A852" s="25">
        <v>45129</v>
      </c>
      <c r="B852" s="24" t="s">
        <v>1252</v>
      </c>
      <c r="C852" s="24" t="s">
        <v>1239</v>
      </c>
      <c r="D852" s="24" t="s">
        <v>1237</v>
      </c>
      <c r="E852" s="24" t="s">
        <v>1229</v>
      </c>
      <c r="F852" s="24" t="s">
        <v>128</v>
      </c>
      <c r="G852" s="24" t="s">
        <v>1266</v>
      </c>
      <c r="H852" s="26">
        <v>13</v>
      </c>
      <c r="I852" s="26">
        <v>4686.21</v>
      </c>
      <c r="J852" s="26">
        <v>60920.73</v>
      </c>
    </row>
    <row r="853" spans="1:10">
      <c r="A853" s="25">
        <v>44944</v>
      </c>
      <c r="B853" s="24" t="s">
        <v>1256</v>
      </c>
      <c r="C853" s="24" t="s">
        <v>1239</v>
      </c>
      <c r="D853" s="24" t="s">
        <v>1237</v>
      </c>
      <c r="E853" s="24" t="s">
        <v>1229</v>
      </c>
      <c r="F853" s="24" t="s">
        <v>132</v>
      </c>
      <c r="G853" s="24" t="s">
        <v>1253</v>
      </c>
      <c r="H853" s="26">
        <v>7</v>
      </c>
      <c r="I853" s="26">
        <v>4418.17</v>
      </c>
      <c r="J853" s="26">
        <v>30927.19</v>
      </c>
    </row>
    <row r="854" spans="1:10">
      <c r="A854" s="25">
        <v>45208</v>
      </c>
      <c r="B854" s="24" t="s">
        <v>1263</v>
      </c>
      <c r="C854" s="24" t="s">
        <v>1173</v>
      </c>
      <c r="D854" s="24" t="s">
        <v>1237</v>
      </c>
      <c r="E854" s="24" t="s">
        <v>1229</v>
      </c>
      <c r="F854" s="24" t="s">
        <v>128</v>
      </c>
      <c r="G854" s="24" t="s">
        <v>1273</v>
      </c>
      <c r="H854" s="26">
        <v>19</v>
      </c>
      <c r="I854" s="26">
        <v>4186.6400000000003</v>
      </c>
      <c r="J854" s="26">
        <v>79546.16</v>
      </c>
    </row>
    <row r="855" spans="1:10">
      <c r="A855" s="25">
        <v>45113</v>
      </c>
      <c r="B855" s="24" t="s">
        <v>1254</v>
      </c>
      <c r="C855" s="24" t="s">
        <v>1169</v>
      </c>
      <c r="D855" s="24" t="s">
        <v>1230</v>
      </c>
      <c r="E855" s="24" t="s">
        <v>1229</v>
      </c>
      <c r="F855" s="24" t="s">
        <v>132</v>
      </c>
      <c r="G855" s="24" t="s">
        <v>1253</v>
      </c>
      <c r="H855" s="26">
        <v>6</v>
      </c>
      <c r="I855" s="26">
        <v>1003.96</v>
      </c>
      <c r="J855" s="26">
        <v>6023.76</v>
      </c>
    </row>
    <row r="856" spans="1:10">
      <c r="A856" s="25">
        <v>45127</v>
      </c>
      <c r="B856" s="24" t="s">
        <v>1265</v>
      </c>
      <c r="C856" s="24" t="s">
        <v>1240</v>
      </c>
      <c r="D856" s="24" t="s">
        <v>1232</v>
      </c>
      <c r="E856" s="24" t="s">
        <v>1231</v>
      </c>
      <c r="F856" s="24" t="s">
        <v>120</v>
      </c>
      <c r="G856" s="24" t="s">
        <v>1165</v>
      </c>
      <c r="H856" s="26">
        <v>13</v>
      </c>
      <c r="I856" s="26">
        <v>1028.74</v>
      </c>
      <c r="J856" s="26">
        <v>13373.62</v>
      </c>
    </row>
    <row r="857" spans="1:10">
      <c r="A857" s="25">
        <v>45168</v>
      </c>
      <c r="B857" s="24" t="s">
        <v>1260</v>
      </c>
      <c r="C857" s="24" t="s">
        <v>1234</v>
      </c>
      <c r="D857" s="24" t="s">
        <v>1232</v>
      </c>
      <c r="E857" s="24" t="s">
        <v>1231</v>
      </c>
      <c r="F857" s="24" t="s">
        <v>128</v>
      </c>
      <c r="G857" s="24" t="s">
        <v>1273</v>
      </c>
      <c r="H857" s="26">
        <v>20</v>
      </c>
      <c r="I857" s="26">
        <v>4751.1400000000003</v>
      </c>
      <c r="J857" s="26">
        <v>95022.8</v>
      </c>
    </row>
    <row r="858" spans="1:10">
      <c r="A858" s="25">
        <v>45091</v>
      </c>
      <c r="B858" s="24" t="s">
        <v>1252</v>
      </c>
      <c r="C858" s="24" t="s">
        <v>1236</v>
      </c>
      <c r="D858" s="24" t="s">
        <v>1235</v>
      </c>
      <c r="E858" s="24" t="s">
        <v>1231</v>
      </c>
      <c r="F858" s="24" t="s">
        <v>128</v>
      </c>
      <c r="G858" s="24" t="s">
        <v>1266</v>
      </c>
      <c r="H858" s="26">
        <v>8</v>
      </c>
      <c r="I858" s="26">
        <v>565.82000000000005</v>
      </c>
      <c r="J858" s="26">
        <v>4526.5600000000004</v>
      </c>
    </row>
    <row r="859" spans="1:10">
      <c r="A859" s="25">
        <v>45164</v>
      </c>
      <c r="B859" s="24" t="s">
        <v>1256</v>
      </c>
      <c r="C859" s="24" t="s">
        <v>1173</v>
      </c>
      <c r="D859" s="24" t="s">
        <v>1237</v>
      </c>
      <c r="E859" s="24" t="s">
        <v>1229</v>
      </c>
      <c r="F859" s="24" t="s">
        <v>120</v>
      </c>
      <c r="G859" s="24" t="s">
        <v>1275</v>
      </c>
      <c r="H859" s="26">
        <v>1</v>
      </c>
      <c r="I859" s="26">
        <v>1903.53</v>
      </c>
      <c r="J859" s="26">
        <v>1903.53</v>
      </c>
    </row>
    <row r="860" spans="1:10">
      <c r="A860" s="25">
        <v>45238</v>
      </c>
      <c r="B860" s="24" t="s">
        <v>1260</v>
      </c>
      <c r="C860" s="24" t="s">
        <v>1246</v>
      </c>
      <c r="D860" s="24" t="s">
        <v>1230</v>
      </c>
      <c r="E860" s="24" t="s">
        <v>1229</v>
      </c>
      <c r="F860" s="24" t="s">
        <v>145</v>
      </c>
      <c r="G860" s="24" t="s">
        <v>1255</v>
      </c>
      <c r="H860" s="26">
        <v>20</v>
      </c>
      <c r="I860" s="26">
        <v>3286.69</v>
      </c>
      <c r="J860" s="26">
        <v>65733.8</v>
      </c>
    </row>
    <row r="861" spans="1:10">
      <c r="A861" s="25">
        <v>45059</v>
      </c>
      <c r="B861" s="24" t="s">
        <v>1252</v>
      </c>
      <c r="C861" s="24" t="s">
        <v>1245</v>
      </c>
      <c r="D861" s="24" t="s">
        <v>1243</v>
      </c>
      <c r="E861" s="24" t="s">
        <v>1242</v>
      </c>
      <c r="F861" s="24" t="s">
        <v>145</v>
      </c>
      <c r="G861" s="24" t="s">
        <v>1274</v>
      </c>
      <c r="H861" s="26">
        <v>20</v>
      </c>
      <c r="I861" s="26">
        <v>1176.4000000000001</v>
      </c>
      <c r="J861" s="26">
        <v>23528</v>
      </c>
    </row>
    <row r="862" spans="1:10">
      <c r="A862" s="25">
        <v>45279</v>
      </c>
      <c r="B862" s="24" t="s">
        <v>1252</v>
      </c>
      <c r="C862" s="24" t="s">
        <v>1169</v>
      </c>
      <c r="D862" s="24" t="s">
        <v>1230</v>
      </c>
      <c r="E862" s="24" t="s">
        <v>1229</v>
      </c>
      <c r="F862" s="24" t="s">
        <v>145</v>
      </c>
      <c r="G862" s="24" t="s">
        <v>1255</v>
      </c>
      <c r="H862" s="26">
        <v>11</v>
      </c>
      <c r="I862" s="26">
        <v>2038.9</v>
      </c>
      <c r="J862" s="26">
        <v>22427.9</v>
      </c>
    </row>
    <row r="863" spans="1:10">
      <c r="A863" s="25">
        <v>44986</v>
      </c>
      <c r="B863" s="24" t="s">
        <v>1256</v>
      </c>
      <c r="C863" s="24" t="s">
        <v>1234</v>
      </c>
      <c r="D863" s="24" t="s">
        <v>1232</v>
      </c>
      <c r="E863" s="24" t="s">
        <v>1231</v>
      </c>
      <c r="F863" s="24" t="s">
        <v>145</v>
      </c>
      <c r="G863" s="24" t="s">
        <v>1278</v>
      </c>
      <c r="H863" s="26">
        <v>19</v>
      </c>
      <c r="I863" s="26">
        <v>3990.16</v>
      </c>
      <c r="J863" s="26">
        <v>75813.039999999994</v>
      </c>
    </row>
    <row r="864" spans="1:10">
      <c r="A864" s="25">
        <v>44947</v>
      </c>
      <c r="B864" s="24" t="s">
        <v>1269</v>
      </c>
      <c r="C864" s="24" t="s">
        <v>1244</v>
      </c>
      <c r="D864" s="24" t="s">
        <v>1243</v>
      </c>
      <c r="E864" s="24" t="s">
        <v>1242</v>
      </c>
      <c r="F864" s="24" t="s">
        <v>128</v>
      </c>
      <c r="G864" s="24" t="s">
        <v>1264</v>
      </c>
      <c r="H864" s="26">
        <v>15</v>
      </c>
      <c r="I864" s="26">
        <v>3765.36</v>
      </c>
      <c r="J864" s="26">
        <v>56480.4</v>
      </c>
    </row>
    <row r="865" spans="1:10">
      <c r="A865" s="25">
        <v>45252</v>
      </c>
      <c r="B865" s="24" t="s">
        <v>1258</v>
      </c>
      <c r="C865" s="24" t="s">
        <v>1233</v>
      </c>
      <c r="D865" s="24" t="s">
        <v>1232</v>
      </c>
      <c r="E865" s="24" t="s">
        <v>1231</v>
      </c>
      <c r="F865" s="24" t="s">
        <v>128</v>
      </c>
      <c r="G865" s="24" t="s">
        <v>1266</v>
      </c>
      <c r="H865" s="26">
        <v>12</v>
      </c>
      <c r="I865" s="26">
        <v>1794.88</v>
      </c>
      <c r="J865" s="26">
        <v>21538.560000000001</v>
      </c>
    </row>
    <row r="866" spans="1:10">
      <c r="A866" s="25">
        <v>45094</v>
      </c>
      <c r="B866" s="24" t="s">
        <v>1262</v>
      </c>
      <c r="C866" s="24" t="s">
        <v>1241</v>
      </c>
      <c r="D866" s="24" t="s">
        <v>1235</v>
      </c>
      <c r="E866" s="24" t="s">
        <v>1231</v>
      </c>
      <c r="F866" s="24" t="s">
        <v>120</v>
      </c>
      <c r="G866" s="24" t="s">
        <v>1275</v>
      </c>
      <c r="H866" s="26">
        <v>19</v>
      </c>
      <c r="I866" s="26">
        <v>2750.97</v>
      </c>
      <c r="J866" s="26">
        <v>52268.43</v>
      </c>
    </row>
    <row r="867" spans="1:10">
      <c r="A867" s="25">
        <v>45161</v>
      </c>
      <c r="B867" s="24" t="s">
        <v>1269</v>
      </c>
      <c r="C867" s="24" t="s">
        <v>1239</v>
      </c>
      <c r="D867" s="24" t="s">
        <v>1237</v>
      </c>
      <c r="E867" s="24" t="s">
        <v>1229</v>
      </c>
      <c r="F867" s="24" t="s">
        <v>145</v>
      </c>
      <c r="G867" s="24" t="s">
        <v>1255</v>
      </c>
      <c r="H867" s="26">
        <v>17</v>
      </c>
      <c r="I867" s="26">
        <v>3677.4</v>
      </c>
      <c r="J867" s="26">
        <v>62515.8</v>
      </c>
    </row>
    <row r="868" spans="1:10">
      <c r="A868" s="25">
        <v>45012</v>
      </c>
      <c r="B868" s="24" t="s">
        <v>1269</v>
      </c>
      <c r="C868" s="24" t="s">
        <v>1173</v>
      </c>
      <c r="D868" s="24" t="s">
        <v>1237</v>
      </c>
      <c r="E868" s="24" t="s">
        <v>1229</v>
      </c>
      <c r="F868" s="24" t="s">
        <v>145</v>
      </c>
      <c r="G868" s="24" t="s">
        <v>1255</v>
      </c>
      <c r="H868" s="26">
        <v>7</v>
      </c>
      <c r="I868" s="26">
        <v>2253.94</v>
      </c>
      <c r="J868" s="26">
        <v>15777.58</v>
      </c>
    </row>
    <row r="869" spans="1:10">
      <c r="A869" s="25">
        <v>45064</v>
      </c>
      <c r="B869" s="24" t="s">
        <v>1256</v>
      </c>
      <c r="C869" s="24" t="s">
        <v>1241</v>
      </c>
      <c r="D869" s="24" t="s">
        <v>1235</v>
      </c>
      <c r="E869" s="24" t="s">
        <v>1231</v>
      </c>
      <c r="F869" s="24" t="s">
        <v>1249</v>
      </c>
      <c r="G869" s="24" t="s">
        <v>1270</v>
      </c>
      <c r="H869" s="26">
        <v>8</v>
      </c>
      <c r="I869" s="26">
        <v>1762.43</v>
      </c>
      <c r="J869" s="26">
        <v>14099.44</v>
      </c>
    </row>
    <row r="870" spans="1:10">
      <c r="A870" s="25">
        <v>45044</v>
      </c>
      <c r="B870" s="24" t="s">
        <v>1256</v>
      </c>
      <c r="C870" s="24" t="s">
        <v>1234</v>
      </c>
      <c r="D870" s="24" t="s">
        <v>1232</v>
      </c>
      <c r="E870" s="24" t="s">
        <v>1231</v>
      </c>
      <c r="F870" s="24" t="s">
        <v>132</v>
      </c>
      <c r="G870" s="24" t="s">
        <v>1271</v>
      </c>
      <c r="H870" s="26">
        <v>20</v>
      </c>
      <c r="I870" s="26">
        <v>278.55</v>
      </c>
      <c r="J870" s="26">
        <v>5571</v>
      </c>
    </row>
    <row r="871" spans="1:10">
      <c r="A871" s="25">
        <v>45190</v>
      </c>
      <c r="B871" s="24" t="s">
        <v>1252</v>
      </c>
      <c r="C871" s="24" t="s">
        <v>1239</v>
      </c>
      <c r="D871" s="24" t="s">
        <v>1237</v>
      </c>
      <c r="E871" s="24" t="s">
        <v>1229</v>
      </c>
      <c r="F871" s="24" t="s">
        <v>132</v>
      </c>
      <c r="G871" s="24" t="s">
        <v>1271</v>
      </c>
      <c r="H871" s="26">
        <v>7</v>
      </c>
      <c r="I871" s="26">
        <v>1940.86</v>
      </c>
      <c r="J871" s="26">
        <v>13586.02</v>
      </c>
    </row>
    <row r="872" spans="1:10">
      <c r="A872" s="25">
        <v>45201</v>
      </c>
      <c r="B872" s="24" t="s">
        <v>1252</v>
      </c>
      <c r="C872" s="24" t="s">
        <v>1234</v>
      </c>
      <c r="D872" s="24" t="s">
        <v>1232</v>
      </c>
      <c r="E872" s="24" t="s">
        <v>1231</v>
      </c>
      <c r="F872" s="24" t="s">
        <v>1249</v>
      </c>
      <c r="G872" s="24" t="s">
        <v>1268</v>
      </c>
      <c r="H872" s="26">
        <v>1</v>
      </c>
      <c r="I872" s="26">
        <v>414.64</v>
      </c>
      <c r="J872" s="26">
        <v>414.64</v>
      </c>
    </row>
    <row r="873" spans="1:10">
      <c r="A873" s="25">
        <v>45203</v>
      </c>
      <c r="B873" s="24" t="s">
        <v>1256</v>
      </c>
      <c r="C873" s="24" t="s">
        <v>1238</v>
      </c>
      <c r="D873" s="24" t="s">
        <v>1235</v>
      </c>
      <c r="E873" s="24" t="s">
        <v>1231</v>
      </c>
      <c r="F873" s="24" t="s">
        <v>145</v>
      </c>
      <c r="G873" s="24" t="s">
        <v>1261</v>
      </c>
      <c r="H873" s="26">
        <v>7</v>
      </c>
      <c r="I873" s="26">
        <v>1073.54</v>
      </c>
      <c r="J873" s="26">
        <v>7514.78</v>
      </c>
    </row>
    <row r="874" spans="1:10">
      <c r="A874" s="25">
        <v>45146</v>
      </c>
      <c r="B874" s="24" t="s">
        <v>1262</v>
      </c>
      <c r="C874" s="24" t="s">
        <v>1234</v>
      </c>
      <c r="D874" s="24" t="s">
        <v>1232</v>
      </c>
      <c r="E874" s="24" t="s">
        <v>1231</v>
      </c>
      <c r="F874" s="24" t="s">
        <v>120</v>
      </c>
      <c r="G874" s="24" t="s">
        <v>1276</v>
      </c>
      <c r="H874" s="26">
        <v>2</v>
      </c>
      <c r="I874" s="26">
        <v>2078.33</v>
      </c>
      <c r="J874" s="26">
        <v>4156.66</v>
      </c>
    </row>
    <row r="875" spans="1:10">
      <c r="A875" s="25">
        <v>44939</v>
      </c>
      <c r="B875" s="24" t="s">
        <v>1258</v>
      </c>
      <c r="C875" s="24" t="s">
        <v>1245</v>
      </c>
      <c r="D875" s="24" t="s">
        <v>1243</v>
      </c>
      <c r="E875" s="24" t="s">
        <v>1242</v>
      </c>
      <c r="F875" s="24" t="s">
        <v>132</v>
      </c>
      <c r="G875" s="24" t="s">
        <v>1277</v>
      </c>
      <c r="H875" s="26">
        <v>15</v>
      </c>
      <c r="I875" s="26">
        <v>4188.84</v>
      </c>
      <c r="J875" s="26">
        <v>62832.6</v>
      </c>
    </row>
    <row r="876" spans="1:10">
      <c r="A876" s="25">
        <v>45086</v>
      </c>
      <c r="B876" s="24" t="s">
        <v>1265</v>
      </c>
      <c r="C876" s="24" t="s">
        <v>1234</v>
      </c>
      <c r="D876" s="24" t="s">
        <v>1232</v>
      </c>
      <c r="E876" s="24" t="s">
        <v>1231</v>
      </c>
      <c r="F876" s="24" t="s">
        <v>128</v>
      </c>
      <c r="G876" s="24" t="s">
        <v>1273</v>
      </c>
      <c r="H876" s="26">
        <v>16</v>
      </c>
      <c r="I876" s="26">
        <v>3046.66</v>
      </c>
      <c r="J876" s="26">
        <v>48746.559999999998</v>
      </c>
    </row>
    <row r="877" spans="1:10">
      <c r="A877" s="25">
        <v>45144</v>
      </c>
      <c r="B877" s="24" t="s">
        <v>1262</v>
      </c>
      <c r="C877" s="24" t="s">
        <v>1234</v>
      </c>
      <c r="D877" s="24" t="s">
        <v>1232</v>
      </c>
      <c r="E877" s="24" t="s">
        <v>1231</v>
      </c>
      <c r="F877" s="24" t="s">
        <v>128</v>
      </c>
      <c r="G877" s="24" t="s">
        <v>1273</v>
      </c>
      <c r="H877" s="26">
        <v>13</v>
      </c>
      <c r="I877" s="26">
        <v>566.55999999999995</v>
      </c>
      <c r="J877" s="26">
        <v>7365.28</v>
      </c>
    </row>
    <row r="878" spans="1:10">
      <c r="A878" s="25">
        <v>45148</v>
      </c>
      <c r="B878" s="24" t="s">
        <v>1262</v>
      </c>
      <c r="C878" s="24" t="s">
        <v>1247</v>
      </c>
      <c r="D878" s="24" t="s">
        <v>1243</v>
      </c>
      <c r="E878" s="24" t="s">
        <v>1242</v>
      </c>
      <c r="F878" s="24" t="s">
        <v>120</v>
      </c>
      <c r="G878" s="24" t="s">
        <v>1276</v>
      </c>
      <c r="H878" s="26">
        <v>9</v>
      </c>
      <c r="I878" s="26">
        <v>4726.68</v>
      </c>
      <c r="J878" s="26">
        <v>42540.12</v>
      </c>
    </row>
    <row r="879" spans="1:10">
      <c r="A879" s="25">
        <v>45029</v>
      </c>
      <c r="B879" s="24" t="s">
        <v>1269</v>
      </c>
      <c r="C879" s="24" t="s">
        <v>1238</v>
      </c>
      <c r="D879" s="24" t="s">
        <v>1235</v>
      </c>
      <c r="E879" s="24" t="s">
        <v>1231</v>
      </c>
      <c r="F879" s="24" t="s">
        <v>128</v>
      </c>
      <c r="G879" s="24" t="s">
        <v>1273</v>
      </c>
      <c r="H879" s="26">
        <v>15</v>
      </c>
      <c r="I879" s="26">
        <v>2503.4699999999998</v>
      </c>
      <c r="J879" s="26">
        <v>37552.050000000003</v>
      </c>
    </row>
    <row r="880" spans="1:10">
      <c r="A880" s="25">
        <v>45118</v>
      </c>
      <c r="B880" s="24" t="s">
        <v>1256</v>
      </c>
      <c r="C880" s="24" t="s">
        <v>1238</v>
      </c>
      <c r="D880" s="24" t="s">
        <v>1235</v>
      </c>
      <c r="E880" s="24" t="s">
        <v>1231</v>
      </c>
      <c r="F880" s="24" t="s">
        <v>1249</v>
      </c>
      <c r="G880" s="24" t="s">
        <v>1268</v>
      </c>
      <c r="H880" s="26">
        <v>13</v>
      </c>
      <c r="I880" s="26">
        <v>2244.77</v>
      </c>
      <c r="J880" s="26">
        <v>29182.01</v>
      </c>
    </row>
    <row r="881" spans="1:10">
      <c r="A881" s="25">
        <v>45271</v>
      </c>
      <c r="B881" s="24" t="s">
        <v>1263</v>
      </c>
      <c r="C881" s="24" t="s">
        <v>1173</v>
      </c>
      <c r="D881" s="24" t="s">
        <v>1237</v>
      </c>
      <c r="E881" s="24" t="s">
        <v>1229</v>
      </c>
      <c r="F881" s="24" t="s">
        <v>145</v>
      </c>
      <c r="G881" s="24" t="s">
        <v>1255</v>
      </c>
      <c r="H881" s="26">
        <v>18</v>
      </c>
      <c r="I881" s="26">
        <v>3559.2</v>
      </c>
      <c r="J881" s="26">
        <v>64065.599999999999</v>
      </c>
    </row>
    <row r="882" spans="1:10">
      <c r="A882" s="25">
        <v>45280</v>
      </c>
      <c r="B882" s="24" t="s">
        <v>1258</v>
      </c>
      <c r="C882" s="24" t="s">
        <v>1236</v>
      </c>
      <c r="D882" s="24" t="s">
        <v>1235</v>
      </c>
      <c r="E882" s="24" t="s">
        <v>1231</v>
      </c>
      <c r="F882" s="24" t="s">
        <v>128</v>
      </c>
      <c r="G882" s="24" t="s">
        <v>1273</v>
      </c>
      <c r="H882" s="26">
        <v>16</v>
      </c>
      <c r="I882" s="26">
        <v>4238.6400000000003</v>
      </c>
      <c r="J882" s="26">
        <v>67818.240000000005</v>
      </c>
    </row>
    <row r="883" spans="1:10">
      <c r="A883" s="25">
        <v>45244</v>
      </c>
      <c r="B883" s="24" t="s">
        <v>1260</v>
      </c>
      <c r="C883" s="24" t="s">
        <v>1171</v>
      </c>
      <c r="D883" s="24" t="s">
        <v>1237</v>
      </c>
      <c r="E883" s="24" t="s">
        <v>1229</v>
      </c>
      <c r="F883" s="24" t="s">
        <v>128</v>
      </c>
      <c r="G883" s="24" t="s">
        <v>1273</v>
      </c>
      <c r="H883" s="26">
        <v>13</v>
      </c>
      <c r="I883" s="26">
        <v>151.65</v>
      </c>
      <c r="J883" s="26">
        <v>1971.45</v>
      </c>
    </row>
    <row r="884" spans="1:10">
      <c r="A884" s="25">
        <v>45086</v>
      </c>
      <c r="B884" s="24" t="s">
        <v>1252</v>
      </c>
      <c r="C884" s="24" t="s">
        <v>1171</v>
      </c>
      <c r="D884" s="24" t="s">
        <v>1237</v>
      </c>
      <c r="E884" s="24" t="s">
        <v>1229</v>
      </c>
      <c r="F884" s="24" t="s">
        <v>132</v>
      </c>
      <c r="G884" s="24" t="s">
        <v>1279</v>
      </c>
      <c r="H884" s="26">
        <v>11</v>
      </c>
      <c r="I884" s="26">
        <v>4242.8999999999996</v>
      </c>
      <c r="J884" s="26">
        <v>46671.9</v>
      </c>
    </row>
    <row r="885" spans="1:10">
      <c r="A885" s="25">
        <v>45192</v>
      </c>
      <c r="B885" s="24" t="s">
        <v>1254</v>
      </c>
      <c r="C885" s="24" t="s">
        <v>1169</v>
      </c>
      <c r="D885" s="24" t="s">
        <v>1230</v>
      </c>
      <c r="E885" s="24" t="s">
        <v>1229</v>
      </c>
      <c r="F885" s="24" t="s">
        <v>1249</v>
      </c>
      <c r="G885" s="24" t="s">
        <v>1259</v>
      </c>
      <c r="H885" s="26">
        <v>9</v>
      </c>
      <c r="I885" s="26">
        <v>4639.93</v>
      </c>
      <c r="J885" s="26">
        <v>41759.370000000003</v>
      </c>
    </row>
    <row r="886" spans="1:10">
      <c r="A886" s="25">
        <v>45132</v>
      </c>
      <c r="B886" s="24" t="s">
        <v>1263</v>
      </c>
      <c r="C886" s="24" t="s">
        <v>1240</v>
      </c>
      <c r="D886" s="24" t="s">
        <v>1232</v>
      </c>
      <c r="E886" s="24" t="s">
        <v>1231</v>
      </c>
      <c r="F886" s="24" t="s">
        <v>128</v>
      </c>
      <c r="G886" s="24" t="s">
        <v>1264</v>
      </c>
      <c r="H886" s="26">
        <v>4</v>
      </c>
      <c r="I886" s="26">
        <v>4336.92</v>
      </c>
      <c r="J886" s="26">
        <v>17347.68</v>
      </c>
    </row>
    <row r="887" spans="1:10">
      <c r="A887" s="25">
        <v>45036</v>
      </c>
      <c r="B887" s="24" t="s">
        <v>1252</v>
      </c>
      <c r="C887" s="24" t="s">
        <v>1244</v>
      </c>
      <c r="D887" s="24" t="s">
        <v>1243</v>
      </c>
      <c r="E887" s="24" t="s">
        <v>1242</v>
      </c>
      <c r="F887" s="24" t="s">
        <v>132</v>
      </c>
      <c r="G887" s="24" t="s">
        <v>1253</v>
      </c>
      <c r="H887" s="26">
        <v>17</v>
      </c>
      <c r="I887" s="26">
        <v>1005.44</v>
      </c>
      <c r="J887" s="26">
        <v>17092.48</v>
      </c>
    </row>
    <row r="888" spans="1:10">
      <c r="A888" s="25">
        <v>44996</v>
      </c>
      <c r="B888" s="24" t="s">
        <v>1254</v>
      </c>
      <c r="C888" s="24" t="s">
        <v>1236</v>
      </c>
      <c r="D888" s="24" t="s">
        <v>1235</v>
      </c>
      <c r="E888" s="24" t="s">
        <v>1231</v>
      </c>
      <c r="F888" s="24" t="s">
        <v>132</v>
      </c>
      <c r="G888" s="24" t="s">
        <v>1277</v>
      </c>
      <c r="H888" s="26">
        <v>18</v>
      </c>
      <c r="I888" s="26">
        <v>2231.56</v>
      </c>
      <c r="J888" s="26">
        <v>40168.080000000002</v>
      </c>
    </row>
    <row r="889" spans="1:10">
      <c r="A889" s="25">
        <v>45118</v>
      </c>
      <c r="B889" s="24" t="s">
        <v>1252</v>
      </c>
      <c r="C889" s="24" t="s">
        <v>1173</v>
      </c>
      <c r="D889" s="24" t="s">
        <v>1237</v>
      </c>
      <c r="E889" s="24" t="s">
        <v>1229</v>
      </c>
      <c r="F889" s="24" t="s">
        <v>132</v>
      </c>
      <c r="G889" s="24" t="s">
        <v>1271</v>
      </c>
      <c r="H889" s="26">
        <v>14</v>
      </c>
      <c r="I889" s="26">
        <v>3677.67</v>
      </c>
      <c r="J889" s="26">
        <v>51487.38</v>
      </c>
    </row>
    <row r="890" spans="1:10">
      <c r="A890" s="25">
        <v>45003</v>
      </c>
      <c r="B890" s="24" t="s">
        <v>1256</v>
      </c>
      <c r="C890" s="24" t="s">
        <v>1240</v>
      </c>
      <c r="D890" s="24" t="s">
        <v>1232</v>
      </c>
      <c r="E890" s="24" t="s">
        <v>1231</v>
      </c>
      <c r="F890" s="24" t="s">
        <v>120</v>
      </c>
      <c r="G890" s="24" t="s">
        <v>1276</v>
      </c>
      <c r="H890" s="26">
        <v>6</v>
      </c>
      <c r="I890" s="26">
        <v>1047.72</v>
      </c>
      <c r="J890" s="26">
        <v>6286.32</v>
      </c>
    </row>
    <row r="891" spans="1:10">
      <c r="A891" s="25">
        <v>45000</v>
      </c>
      <c r="B891" s="24" t="s">
        <v>1254</v>
      </c>
      <c r="C891" s="24" t="s">
        <v>1240</v>
      </c>
      <c r="D891" s="24" t="s">
        <v>1232</v>
      </c>
      <c r="E891" s="24" t="s">
        <v>1231</v>
      </c>
      <c r="F891" s="24" t="s">
        <v>145</v>
      </c>
      <c r="G891" s="24" t="s">
        <v>1278</v>
      </c>
      <c r="H891" s="26">
        <v>20</v>
      </c>
      <c r="I891" s="26">
        <v>827.08</v>
      </c>
      <c r="J891" s="26">
        <v>16541.599999999999</v>
      </c>
    </row>
    <row r="892" spans="1:10">
      <c r="A892" s="25">
        <v>45290</v>
      </c>
      <c r="B892" s="24" t="s">
        <v>1254</v>
      </c>
      <c r="C892" s="24" t="s">
        <v>1238</v>
      </c>
      <c r="D892" s="24" t="s">
        <v>1235</v>
      </c>
      <c r="E892" s="24" t="s">
        <v>1231</v>
      </c>
      <c r="F892" s="24" t="s">
        <v>145</v>
      </c>
      <c r="G892" s="24" t="s">
        <v>1261</v>
      </c>
      <c r="H892" s="26">
        <v>19</v>
      </c>
      <c r="I892" s="26">
        <v>1726.65</v>
      </c>
      <c r="J892" s="26">
        <v>32806.35</v>
      </c>
    </row>
    <row r="893" spans="1:10">
      <c r="A893" s="25">
        <v>45054</v>
      </c>
      <c r="B893" s="24" t="s">
        <v>1260</v>
      </c>
      <c r="C893" s="24" t="s">
        <v>1241</v>
      </c>
      <c r="D893" s="24" t="s">
        <v>1235</v>
      </c>
      <c r="E893" s="24" t="s">
        <v>1231</v>
      </c>
      <c r="F893" s="24" t="s">
        <v>145</v>
      </c>
      <c r="G893" s="24" t="s">
        <v>1274</v>
      </c>
      <c r="H893" s="26">
        <v>17</v>
      </c>
      <c r="I893" s="26">
        <v>2339.5700000000002</v>
      </c>
      <c r="J893" s="26">
        <v>39772.69</v>
      </c>
    </row>
    <row r="894" spans="1:10">
      <c r="A894" s="25">
        <v>45048</v>
      </c>
      <c r="B894" s="24" t="s">
        <v>1260</v>
      </c>
      <c r="C894" s="24" t="s">
        <v>1240</v>
      </c>
      <c r="D894" s="24" t="s">
        <v>1232</v>
      </c>
      <c r="E894" s="24" t="s">
        <v>1231</v>
      </c>
      <c r="F894" s="24" t="s">
        <v>128</v>
      </c>
      <c r="G894" s="24" t="s">
        <v>1264</v>
      </c>
      <c r="H894" s="26">
        <v>8</v>
      </c>
      <c r="I894" s="26">
        <v>4984.96</v>
      </c>
      <c r="J894" s="26">
        <v>39879.68</v>
      </c>
    </row>
    <row r="895" spans="1:10">
      <c r="A895" s="25">
        <v>45050</v>
      </c>
      <c r="B895" s="24" t="s">
        <v>1269</v>
      </c>
      <c r="C895" s="24" t="s">
        <v>1247</v>
      </c>
      <c r="D895" s="24" t="s">
        <v>1243</v>
      </c>
      <c r="E895" s="24" t="s">
        <v>1242</v>
      </c>
      <c r="F895" s="24" t="s">
        <v>120</v>
      </c>
      <c r="G895" s="24" t="s">
        <v>1275</v>
      </c>
      <c r="H895" s="26">
        <v>17</v>
      </c>
      <c r="I895" s="26">
        <v>3259.21</v>
      </c>
      <c r="J895" s="26">
        <v>55406.57</v>
      </c>
    </row>
    <row r="896" spans="1:10">
      <c r="A896" s="25">
        <v>45168</v>
      </c>
      <c r="B896" s="24" t="s">
        <v>1254</v>
      </c>
      <c r="C896" s="24" t="s">
        <v>1234</v>
      </c>
      <c r="D896" s="24" t="s">
        <v>1232</v>
      </c>
      <c r="E896" s="24" t="s">
        <v>1231</v>
      </c>
      <c r="F896" s="24" t="s">
        <v>132</v>
      </c>
      <c r="G896" s="24" t="s">
        <v>1253</v>
      </c>
      <c r="H896" s="26">
        <v>7</v>
      </c>
      <c r="I896" s="26">
        <v>4847.62</v>
      </c>
      <c r="J896" s="26">
        <v>33933.339999999997</v>
      </c>
    </row>
    <row r="897" spans="1:10">
      <c r="A897" s="25">
        <v>45130</v>
      </c>
      <c r="B897" s="24" t="s">
        <v>1256</v>
      </c>
      <c r="C897" s="24" t="s">
        <v>1233</v>
      </c>
      <c r="D897" s="24" t="s">
        <v>1232</v>
      </c>
      <c r="E897" s="24" t="s">
        <v>1231</v>
      </c>
      <c r="F897" s="24" t="s">
        <v>1249</v>
      </c>
      <c r="G897" s="24" t="s">
        <v>1268</v>
      </c>
      <c r="H897" s="26">
        <v>6</v>
      </c>
      <c r="I897" s="26">
        <v>2260.16</v>
      </c>
      <c r="J897" s="26">
        <v>13560.96</v>
      </c>
    </row>
    <row r="898" spans="1:10">
      <c r="A898" s="25">
        <v>45181</v>
      </c>
      <c r="B898" s="24" t="s">
        <v>1262</v>
      </c>
      <c r="C898" s="24" t="s">
        <v>1245</v>
      </c>
      <c r="D898" s="24" t="s">
        <v>1243</v>
      </c>
      <c r="E898" s="24" t="s">
        <v>1242</v>
      </c>
      <c r="F898" s="24" t="s">
        <v>132</v>
      </c>
      <c r="G898" s="24" t="s">
        <v>1271</v>
      </c>
      <c r="H898" s="26">
        <v>16</v>
      </c>
      <c r="I898" s="26">
        <v>1795.37</v>
      </c>
      <c r="J898" s="26">
        <v>28725.919999999998</v>
      </c>
    </row>
    <row r="899" spans="1:10">
      <c r="A899" s="25">
        <v>45049</v>
      </c>
      <c r="B899" s="24" t="s">
        <v>1262</v>
      </c>
      <c r="C899" s="24" t="s">
        <v>1246</v>
      </c>
      <c r="D899" s="24" t="s">
        <v>1230</v>
      </c>
      <c r="E899" s="24" t="s">
        <v>1229</v>
      </c>
      <c r="F899" s="24" t="s">
        <v>120</v>
      </c>
      <c r="G899" s="24" t="s">
        <v>1276</v>
      </c>
      <c r="H899" s="26">
        <v>19</v>
      </c>
      <c r="I899" s="26">
        <v>2040.79</v>
      </c>
      <c r="J899" s="26">
        <v>38775.01</v>
      </c>
    </row>
    <row r="900" spans="1:10">
      <c r="A900" s="25">
        <v>45135</v>
      </c>
      <c r="B900" s="24" t="s">
        <v>1267</v>
      </c>
      <c r="C900" s="24" t="s">
        <v>1238</v>
      </c>
      <c r="D900" s="24" t="s">
        <v>1235</v>
      </c>
      <c r="E900" s="24" t="s">
        <v>1231</v>
      </c>
      <c r="F900" s="24" t="s">
        <v>132</v>
      </c>
      <c r="G900" s="24" t="s">
        <v>1279</v>
      </c>
      <c r="H900" s="26">
        <v>13</v>
      </c>
      <c r="I900" s="26">
        <v>1764.64</v>
      </c>
      <c r="J900" s="26">
        <v>22940.32</v>
      </c>
    </row>
    <row r="901" spans="1:10">
      <c r="A901" s="25">
        <v>45159</v>
      </c>
      <c r="B901" s="24" t="s">
        <v>1252</v>
      </c>
      <c r="C901" s="24" t="s">
        <v>1234</v>
      </c>
      <c r="D901" s="24" t="s">
        <v>1232</v>
      </c>
      <c r="E901" s="24" t="s">
        <v>1231</v>
      </c>
      <c r="F901" s="24" t="s">
        <v>1249</v>
      </c>
      <c r="G901" s="24" t="s">
        <v>1268</v>
      </c>
      <c r="H901" s="26">
        <v>6</v>
      </c>
      <c r="I901" s="26">
        <v>746.23</v>
      </c>
      <c r="J901" s="26">
        <v>4477.38</v>
      </c>
    </row>
    <row r="902" spans="1:10">
      <c r="A902" s="25">
        <v>45240</v>
      </c>
      <c r="B902" s="24" t="s">
        <v>1256</v>
      </c>
      <c r="C902" s="24" t="s">
        <v>1245</v>
      </c>
      <c r="D902" s="24" t="s">
        <v>1243</v>
      </c>
      <c r="E902" s="24" t="s">
        <v>1242</v>
      </c>
      <c r="F902" s="24" t="s">
        <v>132</v>
      </c>
      <c r="G902" s="24" t="s">
        <v>1277</v>
      </c>
      <c r="H902" s="26">
        <v>14</v>
      </c>
      <c r="I902" s="26">
        <v>2385.9899999999998</v>
      </c>
      <c r="J902" s="26">
        <v>33403.86</v>
      </c>
    </row>
    <row r="903" spans="1:10">
      <c r="A903" s="25">
        <v>45028</v>
      </c>
      <c r="B903" s="24" t="s">
        <v>1252</v>
      </c>
      <c r="C903" s="24" t="s">
        <v>1246</v>
      </c>
      <c r="D903" s="24" t="s">
        <v>1230</v>
      </c>
      <c r="E903" s="24" t="s">
        <v>1229</v>
      </c>
      <c r="F903" s="24" t="s">
        <v>120</v>
      </c>
      <c r="G903" s="24" t="s">
        <v>1164</v>
      </c>
      <c r="H903" s="26">
        <v>1</v>
      </c>
      <c r="I903" s="26">
        <v>2362.15</v>
      </c>
      <c r="J903" s="26">
        <v>2362.15</v>
      </c>
    </row>
    <row r="904" spans="1:10">
      <c r="A904" s="25">
        <v>45286</v>
      </c>
      <c r="B904" s="24" t="s">
        <v>1262</v>
      </c>
      <c r="C904" s="24" t="s">
        <v>1245</v>
      </c>
      <c r="D904" s="24" t="s">
        <v>1243</v>
      </c>
      <c r="E904" s="24" t="s">
        <v>1242</v>
      </c>
      <c r="F904" s="24" t="s">
        <v>128</v>
      </c>
      <c r="G904" s="24" t="s">
        <v>1264</v>
      </c>
      <c r="H904" s="26">
        <v>16</v>
      </c>
      <c r="I904" s="26">
        <v>1236.8</v>
      </c>
      <c r="J904" s="26">
        <v>19788.8</v>
      </c>
    </row>
    <row r="905" spans="1:10">
      <c r="A905" s="25">
        <v>44965</v>
      </c>
      <c r="B905" s="24" t="s">
        <v>1258</v>
      </c>
      <c r="C905" s="24" t="s">
        <v>1245</v>
      </c>
      <c r="D905" s="24" t="s">
        <v>1243</v>
      </c>
      <c r="E905" s="24" t="s">
        <v>1242</v>
      </c>
      <c r="F905" s="24" t="s">
        <v>120</v>
      </c>
      <c r="G905" s="24" t="s">
        <v>1165</v>
      </c>
      <c r="H905" s="26">
        <v>17</v>
      </c>
      <c r="I905" s="26">
        <v>1248.03</v>
      </c>
      <c r="J905" s="26">
        <v>21216.51</v>
      </c>
    </row>
    <row r="906" spans="1:10">
      <c r="A906" s="25">
        <v>45080</v>
      </c>
      <c r="B906" s="24" t="s">
        <v>1267</v>
      </c>
      <c r="C906" s="24" t="s">
        <v>1247</v>
      </c>
      <c r="D906" s="24" t="s">
        <v>1243</v>
      </c>
      <c r="E906" s="24" t="s">
        <v>1242</v>
      </c>
      <c r="F906" s="24" t="s">
        <v>145</v>
      </c>
      <c r="G906" s="24" t="s">
        <v>1261</v>
      </c>
      <c r="H906" s="26">
        <v>16</v>
      </c>
      <c r="I906" s="26">
        <v>665.83</v>
      </c>
      <c r="J906" s="26">
        <v>10653.28</v>
      </c>
    </row>
    <row r="907" spans="1:10">
      <c r="A907" s="25">
        <v>45052</v>
      </c>
      <c r="B907" s="24" t="s">
        <v>1252</v>
      </c>
      <c r="C907" s="24" t="s">
        <v>1173</v>
      </c>
      <c r="D907" s="24" t="s">
        <v>1237</v>
      </c>
      <c r="E907" s="24" t="s">
        <v>1229</v>
      </c>
      <c r="F907" s="24" t="s">
        <v>120</v>
      </c>
      <c r="G907" s="24" t="s">
        <v>1275</v>
      </c>
      <c r="H907" s="26">
        <v>16</v>
      </c>
      <c r="I907" s="26">
        <v>615.70000000000005</v>
      </c>
      <c r="J907" s="26">
        <v>9851.2000000000007</v>
      </c>
    </row>
    <row r="908" spans="1:10">
      <c r="A908" s="25">
        <v>45103</v>
      </c>
      <c r="B908" s="24" t="s">
        <v>1263</v>
      </c>
      <c r="C908" s="24" t="s">
        <v>1238</v>
      </c>
      <c r="D908" s="24" t="s">
        <v>1235</v>
      </c>
      <c r="E908" s="24" t="s">
        <v>1231</v>
      </c>
      <c r="F908" s="24" t="s">
        <v>145</v>
      </c>
      <c r="G908" s="24" t="s">
        <v>1278</v>
      </c>
      <c r="H908" s="26">
        <v>13</v>
      </c>
      <c r="I908" s="26">
        <v>3616.99</v>
      </c>
      <c r="J908" s="26">
        <v>47020.87</v>
      </c>
    </row>
    <row r="909" spans="1:10">
      <c r="A909" s="25">
        <v>45085</v>
      </c>
      <c r="B909" s="24" t="s">
        <v>1269</v>
      </c>
      <c r="C909" s="24" t="s">
        <v>1240</v>
      </c>
      <c r="D909" s="24" t="s">
        <v>1232</v>
      </c>
      <c r="E909" s="24" t="s">
        <v>1231</v>
      </c>
      <c r="F909" s="24" t="s">
        <v>128</v>
      </c>
      <c r="G909" s="24" t="s">
        <v>1264</v>
      </c>
      <c r="H909" s="26">
        <v>9</v>
      </c>
      <c r="I909" s="26">
        <v>1940.11</v>
      </c>
      <c r="J909" s="26">
        <v>17460.990000000002</v>
      </c>
    </row>
    <row r="910" spans="1:10">
      <c r="A910" s="25">
        <v>45036</v>
      </c>
      <c r="B910" s="24" t="s">
        <v>1265</v>
      </c>
      <c r="C910" s="24" t="s">
        <v>1240</v>
      </c>
      <c r="D910" s="24" t="s">
        <v>1232</v>
      </c>
      <c r="E910" s="24" t="s">
        <v>1231</v>
      </c>
      <c r="F910" s="24" t="s">
        <v>120</v>
      </c>
      <c r="G910" s="24" t="s">
        <v>1165</v>
      </c>
      <c r="H910" s="26">
        <v>16</v>
      </c>
      <c r="I910" s="26">
        <v>1064.93</v>
      </c>
      <c r="J910" s="26">
        <v>17038.88</v>
      </c>
    </row>
    <row r="911" spans="1:10">
      <c r="A911" s="25">
        <v>44968</v>
      </c>
      <c r="B911" s="24" t="s">
        <v>1265</v>
      </c>
      <c r="C911" s="24" t="s">
        <v>1171</v>
      </c>
      <c r="D911" s="24" t="s">
        <v>1237</v>
      </c>
      <c r="E911" s="24" t="s">
        <v>1229</v>
      </c>
      <c r="F911" s="24" t="s">
        <v>128</v>
      </c>
      <c r="G911" s="24" t="s">
        <v>1273</v>
      </c>
      <c r="H911" s="26">
        <v>2</v>
      </c>
      <c r="I911" s="26">
        <v>4845.74</v>
      </c>
      <c r="J911" s="26">
        <v>9691.48</v>
      </c>
    </row>
    <row r="912" spans="1:10">
      <c r="A912" s="25">
        <v>45168</v>
      </c>
      <c r="B912" s="24" t="s">
        <v>1258</v>
      </c>
      <c r="C912" s="24" t="s">
        <v>1236</v>
      </c>
      <c r="D912" s="24" t="s">
        <v>1235</v>
      </c>
      <c r="E912" s="24" t="s">
        <v>1231</v>
      </c>
      <c r="F912" s="24" t="s">
        <v>1249</v>
      </c>
      <c r="G912" s="24" t="s">
        <v>1272</v>
      </c>
      <c r="H912" s="26">
        <v>3</v>
      </c>
      <c r="I912" s="26">
        <v>4766.28</v>
      </c>
      <c r="J912" s="26">
        <v>14298.84</v>
      </c>
    </row>
    <row r="913" spans="1:10">
      <c r="A913" s="25">
        <v>44996</v>
      </c>
      <c r="B913" s="24" t="s">
        <v>1254</v>
      </c>
      <c r="C913" s="24" t="s">
        <v>1245</v>
      </c>
      <c r="D913" s="24" t="s">
        <v>1243</v>
      </c>
      <c r="E913" s="24" t="s">
        <v>1242</v>
      </c>
      <c r="F913" s="24" t="s">
        <v>128</v>
      </c>
      <c r="G913" s="24" t="s">
        <v>1273</v>
      </c>
      <c r="H913" s="26">
        <v>15</v>
      </c>
      <c r="I913" s="26">
        <v>3946.23</v>
      </c>
      <c r="J913" s="26">
        <v>59193.45</v>
      </c>
    </row>
    <row r="914" spans="1:10">
      <c r="A914" s="25">
        <v>45115</v>
      </c>
      <c r="B914" s="24" t="s">
        <v>1263</v>
      </c>
      <c r="C914" s="24" t="s">
        <v>1248</v>
      </c>
      <c r="D914" s="24" t="s">
        <v>1230</v>
      </c>
      <c r="E914" s="24" t="s">
        <v>1229</v>
      </c>
      <c r="F914" s="24" t="s">
        <v>128</v>
      </c>
      <c r="G914" s="24" t="s">
        <v>1264</v>
      </c>
      <c r="H914" s="26">
        <v>12</v>
      </c>
      <c r="I914" s="26">
        <v>1804.27</v>
      </c>
      <c r="J914" s="26">
        <v>21651.24</v>
      </c>
    </row>
    <row r="915" spans="1:10">
      <c r="A915" s="25">
        <v>45253</v>
      </c>
      <c r="B915" s="24" t="s">
        <v>1260</v>
      </c>
      <c r="C915" s="24" t="s">
        <v>1239</v>
      </c>
      <c r="D915" s="24" t="s">
        <v>1237</v>
      </c>
      <c r="E915" s="24" t="s">
        <v>1229</v>
      </c>
      <c r="F915" s="24" t="s">
        <v>120</v>
      </c>
      <c r="G915" s="24" t="s">
        <v>1164</v>
      </c>
      <c r="H915" s="26">
        <v>3</v>
      </c>
      <c r="I915" s="26">
        <v>2055.4499999999998</v>
      </c>
      <c r="J915" s="26">
        <v>6166.35</v>
      </c>
    </row>
    <row r="916" spans="1:10">
      <c r="A916" s="25">
        <v>45204</v>
      </c>
      <c r="B916" s="24" t="s">
        <v>1260</v>
      </c>
      <c r="C916" s="24" t="s">
        <v>1245</v>
      </c>
      <c r="D916" s="24" t="s">
        <v>1243</v>
      </c>
      <c r="E916" s="24" t="s">
        <v>1242</v>
      </c>
      <c r="F916" s="24" t="s">
        <v>132</v>
      </c>
      <c r="G916" s="24" t="s">
        <v>1271</v>
      </c>
      <c r="H916" s="26">
        <v>5</v>
      </c>
      <c r="I916" s="26">
        <v>1568.68</v>
      </c>
      <c r="J916" s="26">
        <v>7843.4</v>
      </c>
    </row>
    <row r="917" spans="1:10">
      <c r="A917" s="25">
        <v>44975</v>
      </c>
      <c r="B917" s="24" t="s">
        <v>1262</v>
      </c>
      <c r="C917" s="24" t="s">
        <v>1236</v>
      </c>
      <c r="D917" s="24" t="s">
        <v>1235</v>
      </c>
      <c r="E917" s="24" t="s">
        <v>1231</v>
      </c>
      <c r="F917" s="24" t="s">
        <v>132</v>
      </c>
      <c r="G917" s="24" t="s">
        <v>1277</v>
      </c>
      <c r="H917" s="26">
        <v>16</v>
      </c>
      <c r="I917" s="26">
        <v>2288.6799999999998</v>
      </c>
      <c r="J917" s="26">
        <v>36618.879999999997</v>
      </c>
    </row>
    <row r="918" spans="1:10">
      <c r="A918" s="25">
        <v>45084</v>
      </c>
      <c r="B918" s="24" t="s">
        <v>1267</v>
      </c>
      <c r="C918" s="24" t="s">
        <v>1240</v>
      </c>
      <c r="D918" s="24" t="s">
        <v>1232</v>
      </c>
      <c r="E918" s="24" t="s">
        <v>1231</v>
      </c>
      <c r="F918" s="24" t="s">
        <v>132</v>
      </c>
      <c r="G918" s="24" t="s">
        <v>1279</v>
      </c>
      <c r="H918" s="26">
        <v>12</v>
      </c>
      <c r="I918" s="26">
        <v>2133.0500000000002</v>
      </c>
      <c r="J918" s="26">
        <v>25596.6</v>
      </c>
    </row>
    <row r="919" spans="1:10">
      <c r="A919" s="25">
        <v>45021</v>
      </c>
      <c r="B919" s="24" t="s">
        <v>1267</v>
      </c>
      <c r="C919" s="24" t="s">
        <v>1173</v>
      </c>
      <c r="D919" s="24" t="s">
        <v>1237</v>
      </c>
      <c r="E919" s="24" t="s">
        <v>1229</v>
      </c>
      <c r="F919" s="24" t="s">
        <v>1249</v>
      </c>
      <c r="G919" s="24" t="s">
        <v>1270</v>
      </c>
      <c r="H919" s="26">
        <v>4</v>
      </c>
      <c r="I919" s="26">
        <v>1208.42</v>
      </c>
      <c r="J919" s="26">
        <v>4833.68</v>
      </c>
    </row>
    <row r="920" spans="1:10">
      <c r="A920" s="25">
        <v>45086</v>
      </c>
      <c r="B920" s="24" t="s">
        <v>1267</v>
      </c>
      <c r="C920" s="24" t="s">
        <v>1244</v>
      </c>
      <c r="D920" s="24" t="s">
        <v>1243</v>
      </c>
      <c r="E920" s="24" t="s">
        <v>1242</v>
      </c>
      <c r="F920" s="24" t="s">
        <v>145</v>
      </c>
      <c r="G920" s="24" t="s">
        <v>1255</v>
      </c>
      <c r="H920" s="26">
        <v>14</v>
      </c>
      <c r="I920" s="26">
        <v>630.45000000000005</v>
      </c>
      <c r="J920" s="26">
        <v>8826.2999999999993</v>
      </c>
    </row>
    <row r="921" spans="1:10">
      <c r="A921" s="25">
        <v>44948</v>
      </c>
      <c r="B921" s="24" t="s">
        <v>1260</v>
      </c>
      <c r="C921" s="24" t="s">
        <v>1239</v>
      </c>
      <c r="D921" s="24" t="s">
        <v>1237</v>
      </c>
      <c r="E921" s="24" t="s">
        <v>1229</v>
      </c>
      <c r="F921" s="24" t="s">
        <v>128</v>
      </c>
      <c r="G921" s="24" t="s">
        <v>1257</v>
      </c>
      <c r="H921" s="26">
        <v>14</v>
      </c>
      <c r="I921" s="26">
        <v>2713.47</v>
      </c>
      <c r="J921" s="26">
        <v>37988.58</v>
      </c>
    </row>
    <row r="922" spans="1:10">
      <c r="A922" s="25">
        <v>45025</v>
      </c>
      <c r="B922" s="24" t="s">
        <v>1252</v>
      </c>
      <c r="C922" s="24" t="s">
        <v>1244</v>
      </c>
      <c r="D922" s="24" t="s">
        <v>1243</v>
      </c>
      <c r="E922" s="24" t="s">
        <v>1242</v>
      </c>
      <c r="F922" s="24" t="s">
        <v>132</v>
      </c>
      <c r="G922" s="24" t="s">
        <v>1279</v>
      </c>
      <c r="H922" s="26">
        <v>7</v>
      </c>
      <c r="I922" s="26">
        <v>3273.61</v>
      </c>
      <c r="J922" s="26">
        <v>22915.27</v>
      </c>
    </row>
    <row r="923" spans="1:10">
      <c r="A923" s="25">
        <v>45189</v>
      </c>
      <c r="B923" s="24" t="s">
        <v>1260</v>
      </c>
      <c r="C923" s="24" t="s">
        <v>1173</v>
      </c>
      <c r="D923" s="24" t="s">
        <v>1237</v>
      </c>
      <c r="E923" s="24" t="s">
        <v>1229</v>
      </c>
      <c r="F923" s="24" t="s">
        <v>128</v>
      </c>
      <c r="G923" s="24" t="s">
        <v>1266</v>
      </c>
      <c r="H923" s="26">
        <v>9</v>
      </c>
      <c r="I923" s="26">
        <v>566.91999999999996</v>
      </c>
      <c r="J923" s="26">
        <v>5102.28</v>
      </c>
    </row>
    <row r="924" spans="1:10">
      <c r="A924" s="25">
        <v>45004</v>
      </c>
      <c r="B924" s="24" t="s">
        <v>1265</v>
      </c>
      <c r="C924" s="24" t="s">
        <v>1236</v>
      </c>
      <c r="D924" s="24" t="s">
        <v>1235</v>
      </c>
      <c r="E924" s="24" t="s">
        <v>1231</v>
      </c>
      <c r="F924" s="24" t="s">
        <v>120</v>
      </c>
      <c r="G924" s="24" t="s">
        <v>1165</v>
      </c>
      <c r="H924" s="26">
        <v>2</v>
      </c>
      <c r="I924" s="26">
        <v>3830.39</v>
      </c>
      <c r="J924" s="26">
        <v>7660.78</v>
      </c>
    </row>
    <row r="925" spans="1:10">
      <c r="A925" s="25">
        <v>45250</v>
      </c>
      <c r="B925" s="24" t="s">
        <v>1258</v>
      </c>
      <c r="C925" s="24" t="s">
        <v>1173</v>
      </c>
      <c r="D925" s="24" t="s">
        <v>1237</v>
      </c>
      <c r="E925" s="24" t="s">
        <v>1229</v>
      </c>
      <c r="F925" s="24" t="s">
        <v>120</v>
      </c>
      <c r="G925" s="24" t="s">
        <v>1275</v>
      </c>
      <c r="H925" s="26">
        <v>7</v>
      </c>
      <c r="I925" s="26">
        <v>4456.5</v>
      </c>
      <c r="J925" s="26">
        <v>31195.5</v>
      </c>
    </row>
    <row r="926" spans="1:10">
      <c r="A926" s="25">
        <v>45156</v>
      </c>
      <c r="B926" s="24" t="s">
        <v>1252</v>
      </c>
      <c r="C926" s="24" t="s">
        <v>1233</v>
      </c>
      <c r="D926" s="24" t="s">
        <v>1232</v>
      </c>
      <c r="E926" s="24" t="s">
        <v>1231</v>
      </c>
      <c r="F926" s="24" t="s">
        <v>145</v>
      </c>
      <c r="G926" s="24" t="s">
        <v>1274</v>
      </c>
      <c r="H926" s="26">
        <v>15</v>
      </c>
      <c r="I926" s="26">
        <v>202.66</v>
      </c>
      <c r="J926" s="26">
        <v>3039.9</v>
      </c>
    </row>
    <row r="927" spans="1:10">
      <c r="A927" s="25">
        <v>45036</v>
      </c>
      <c r="B927" s="24" t="s">
        <v>1265</v>
      </c>
      <c r="C927" s="24" t="s">
        <v>1239</v>
      </c>
      <c r="D927" s="24" t="s">
        <v>1237</v>
      </c>
      <c r="E927" s="24" t="s">
        <v>1229</v>
      </c>
      <c r="F927" s="24" t="s">
        <v>128</v>
      </c>
      <c r="G927" s="24" t="s">
        <v>1264</v>
      </c>
      <c r="H927" s="26">
        <v>10</v>
      </c>
      <c r="I927" s="26">
        <v>1018.19</v>
      </c>
      <c r="J927" s="26">
        <v>10181.9</v>
      </c>
    </row>
    <row r="928" spans="1:10">
      <c r="A928" s="25">
        <v>45021</v>
      </c>
      <c r="B928" s="24" t="s">
        <v>1252</v>
      </c>
      <c r="C928" s="24" t="s">
        <v>1248</v>
      </c>
      <c r="D928" s="24" t="s">
        <v>1230</v>
      </c>
      <c r="E928" s="24" t="s">
        <v>1229</v>
      </c>
      <c r="F928" s="24" t="s">
        <v>128</v>
      </c>
      <c r="G928" s="24" t="s">
        <v>1264</v>
      </c>
      <c r="H928" s="26">
        <v>4</v>
      </c>
      <c r="I928" s="26">
        <v>3300.36</v>
      </c>
      <c r="J928" s="26">
        <v>13201.44</v>
      </c>
    </row>
    <row r="929" spans="1:10">
      <c r="A929" s="25">
        <v>45008</v>
      </c>
      <c r="B929" s="24" t="s">
        <v>1254</v>
      </c>
      <c r="C929" s="24" t="s">
        <v>1245</v>
      </c>
      <c r="D929" s="24" t="s">
        <v>1243</v>
      </c>
      <c r="E929" s="24" t="s">
        <v>1242</v>
      </c>
      <c r="F929" s="24" t="s">
        <v>128</v>
      </c>
      <c r="G929" s="24" t="s">
        <v>1264</v>
      </c>
      <c r="H929" s="26">
        <v>12</v>
      </c>
      <c r="I929" s="26">
        <v>957.01</v>
      </c>
      <c r="J929" s="26">
        <v>11484.12</v>
      </c>
    </row>
    <row r="930" spans="1:10">
      <c r="A930" s="25">
        <v>45244</v>
      </c>
      <c r="B930" s="24" t="s">
        <v>1254</v>
      </c>
      <c r="C930" s="24" t="s">
        <v>1233</v>
      </c>
      <c r="D930" s="24" t="s">
        <v>1232</v>
      </c>
      <c r="E930" s="24" t="s">
        <v>1231</v>
      </c>
      <c r="F930" s="24" t="s">
        <v>1249</v>
      </c>
      <c r="G930" s="24" t="s">
        <v>1268</v>
      </c>
      <c r="H930" s="26">
        <v>19</v>
      </c>
      <c r="I930" s="26">
        <v>1933.19</v>
      </c>
      <c r="J930" s="26">
        <v>36730.61</v>
      </c>
    </row>
    <row r="931" spans="1:10">
      <c r="A931" s="25">
        <v>45125</v>
      </c>
      <c r="B931" s="24" t="s">
        <v>1256</v>
      </c>
      <c r="C931" s="24" t="s">
        <v>1244</v>
      </c>
      <c r="D931" s="24" t="s">
        <v>1243</v>
      </c>
      <c r="E931" s="24" t="s">
        <v>1242</v>
      </c>
      <c r="F931" s="24" t="s">
        <v>132</v>
      </c>
      <c r="G931" s="24" t="s">
        <v>1279</v>
      </c>
      <c r="H931" s="26">
        <v>15</v>
      </c>
      <c r="I931" s="26">
        <v>834.13</v>
      </c>
      <c r="J931" s="26">
        <v>12511.95</v>
      </c>
    </row>
    <row r="932" spans="1:10">
      <c r="A932" s="25">
        <v>45095</v>
      </c>
      <c r="B932" s="24" t="s">
        <v>1262</v>
      </c>
      <c r="C932" s="24" t="s">
        <v>1236</v>
      </c>
      <c r="D932" s="24" t="s">
        <v>1235</v>
      </c>
      <c r="E932" s="24" t="s">
        <v>1231</v>
      </c>
      <c r="F932" s="24" t="s">
        <v>145</v>
      </c>
      <c r="G932" s="24" t="s">
        <v>1274</v>
      </c>
      <c r="H932" s="26">
        <v>18</v>
      </c>
      <c r="I932" s="26">
        <v>2535.8200000000002</v>
      </c>
      <c r="J932" s="26">
        <v>45644.76</v>
      </c>
    </row>
    <row r="933" spans="1:10">
      <c r="A933" s="25">
        <v>44995</v>
      </c>
      <c r="B933" s="24" t="s">
        <v>1254</v>
      </c>
      <c r="C933" s="24" t="s">
        <v>1233</v>
      </c>
      <c r="D933" s="24" t="s">
        <v>1232</v>
      </c>
      <c r="E933" s="24" t="s">
        <v>1231</v>
      </c>
      <c r="F933" s="24" t="s">
        <v>1249</v>
      </c>
      <c r="G933" s="24" t="s">
        <v>1272</v>
      </c>
      <c r="H933" s="26">
        <v>18</v>
      </c>
      <c r="I933" s="26">
        <v>2299.9299999999998</v>
      </c>
      <c r="J933" s="26">
        <v>41398.74</v>
      </c>
    </row>
    <row r="934" spans="1:10">
      <c r="A934" s="25">
        <v>45214</v>
      </c>
      <c r="B934" s="24" t="s">
        <v>1262</v>
      </c>
      <c r="C934" s="24" t="s">
        <v>1248</v>
      </c>
      <c r="D934" s="24" t="s">
        <v>1230</v>
      </c>
      <c r="E934" s="24" t="s">
        <v>1229</v>
      </c>
      <c r="F934" s="24" t="s">
        <v>132</v>
      </c>
      <c r="G934" s="24" t="s">
        <v>1271</v>
      </c>
      <c r="H934" s="26">
        <v>5</v>
      </c>
      <c r="I934" s="26">
        <v>606.49</v>
      </c>
      <c r="J934" s="26">
        <v>3032.45</v>
      </c>
    </row>
    <row r="935" spans="1:10">
      <c r="A935" s="25">
        <v>45002</v>
      </c>
      <c r="B935" s="24" t="s">
        <v>1260</v>
      </c>
      <c r="C935" s="24" t="s">
        <v>1238</v>
      </c>
      <c r="D935" s="24" t="s">
        <v>1235</v>
      </c>
      <c r="E935" s="24" t="s">
        <v>1231</v>
      </c>
      <c r="F935" s="24" t="s">
        <v>145</v>
      </c>
      <c r="G935" s="24" t="s">
        <v>1261</v>
      </c>
      <c r="H935" s="26">
        <v>6</v>
      </c>
      <c r="I935" s="26">
        <v>1919.03</v>
      </c>
      <c r="J935" s="26">
        <v>11514.18</v>
      </c>
    </row>
    <row r="936" spans="1:10">
      <c r="A936" s="25">
        <v>45079</v>
      </c>
      <c r="B936" s="24" t="s">
        <v>1252</v>
      </c>
      <c r="C936" s="24" t="s">
        <v>1238</v>
      </c>
      <c r="D936" s="24" t="s">
        <v>1235</v>
      </c>
      <c r="E936" s="24" t="s">
        <v>1231</v>
      </c>
      <c r="F936" s="24" t="s">
        <v>145</v>
      </c>
      <c r="G936" s="24" t="s">
        <v>1274</v>
      </c>
      <c r="H936" s="26">
        <v>9</v>
      </c>
      <c r="I936" s="26">
        <v>662.41</v>
      </c>
      <c r="J936" s="26">
        <v>5961.69</v>
      </c>
    </row>
    <row r="937" spans="1:10">
      <c r="A937" s="25">
        <v>44935</v>
      </c>
      <c r="B937" s="24" t="s">
        <v>1269</v>
      </c>
      <c r="C937" s="24" t="s">
        <v>1240</v>
      </c>
      <c r="D937" s="24" t="s">
        <v>1232</v>
      </c>
      <c r="E937" s="24" t="s">
        <v>1231</v>
      </c>
      <c r="F937" s="24" t="s">
        <v>145</v>
      </c>
      <c r="G937" s="24" t="s">
        <v>1278</v>
      </c>
      <c r="H937" s="26">
        <v>18</v>
      </c>
      <c r="I937" s="26">
        <v>970.52</v>
      </c>
      <c r="J937" s="26">
        <v>17469.36</v>
      </c>
    </row>
    <row r="938" spans="1:10">
      <c r="A938" s="25">
        <v>45204</v>
      </c>
      <c r="B938" s="24" t="s">
        <v>1267</v>
      </c>
      <c r="C938" s="24" t="s">
        <v>1245</v>
      </c>
      <c r="D938" s="24" t="s">
        <v>1243</v>
      </c>
      <c r="E938" s="24" t="s">
        <v>1242</v>
      </c>
      <c r="F938" s="24" t="s">
        <v>120</v>
      </c>
      <c r="G938" s="24" t="s">
        <v>1275</v>
      </c>
      <c r="H938" s="26">
        <v>2</v>
      </c>
      <c r="I938" s="26">
        <v>4112.53</v>
      </c>
      <c r="J938" s="26">
        <v>8225.06</v>
      </c>
    </row>
    <row r="939" spans="1:10">
      <c r="A939" s="25">
        <v>45050</v>
      </c>
      <c r="B939" s="24" t="s">
        <v>1262</v>
      </c>
      <c r="C939" s="24" t="s">
        <v>1236</v>
      </c>
      <c r="D939" s="24" t="s">
        <v>1235</v>
      </c>
      <c r="E939" s="24" t="s">
        <v>1231</v>
      </c>
      <c r="F939" s="24" t="s">
        <v>120</v>
      </c>
      <c r="G939" s="24" t="s">
        <v>1275</v>
      </c>
      <c r="H939" s="26">
        <v>4</v>
      </c>
      <c r="I939" s="26">
        <v>4968.93</v>
      </c>
      <c r="J939" s="26">
        <v>19875.72</v>
      </c>
    </row>
    <row r="940" spans="1:10">
      <c r="A940" s="25">
        <v>45281</v>
      </c>
      <c r="B940" s="24" t="s">
        <v>1263</v>
      </c>
      <c r="C940" s="24" t="s">
        <v>1241</v>
      </c>
      <c r="D940" s="24" t="s">
        <v>1235</v>
      </c>
      <c r="E940" s="24" t="s">
        <v>1231</v>
      </c>
      <c r="F940" s="24" t="s">
        <v>128</v>
      </c>
      <c r="G940" s="24" t="s">
        <v>1266</v>
      </c>
      <c r="H940" s="26">
        <v>2</v>
      </c>
      <c r="I940" s="26">
        <v>339.56</v>
      </c>
      <c r="J940" s="26">
        <v>679.12</v>
      </c>
    </row>
    <row r="941" spans="1:10">
      <c r="A941" s="25">
        <v>45131</v>
      </c>
      <c r="B941" s="24" t="s">
        <v>1254</v>
      </c>
      <c r="C941" s="24" t="s">
        <v>1236</v>
      </c>
      <c r="D941" s="24" t="s">
        <v>1235</v>
      </c>
      <c r="E941" s="24" t="s">
        <v>1231</v>
      </c>
      <c r="F941" s="24" t="s">
        <v>145</v>
      </c>
      <c r="G941" s="24" t="s">
        <v>1255</v>
      </c>
      <c r="H941" s="26">
        <v>3</v>
      </c>
      <c r="I941" s="26">
        <v>3853.05</v>
      </c>
      <c r="J941" s="26">
        <v>11559.15</v>
      </c>
    </row>
    <row r="942" spans="1:10">
      <c r="A942" s="25">
        <v>45062</v>
      </c>
      <c r="B942" s="24" t="s">
        <v>1256</v>
      </c>
      <c r="C942" s="24" t="s">
        <v>1244</v>
      </c>
      <c r="D942" s="24" t="s">
        <v>1243</v>
      </c>
      <c r="E942" s="24" t="s">
        <v>1242</v>
      </c>
      <c r="F942" s="24" t="s">
        <v>128</v>
      </c>
      <c r="G942" s="24" t="s">
        <v>1257</v>
      </c>
      <c r="H942" s="26">
        <v>11</v>
      </c>
      <c r="I942" s="26">
        <v>2212.9</v>
      </c>
      <c r="J942" s="26">
        <v>24341.9</v>
      </c>
    </row>
    <row r="943" spans="1:10">
      <c r="A943" s="25">
        <v>45084</v>
      </c>
      <c r="B943" s="24" t="s">
        <v>1265</v>
      </c>
      <c r="C943" s="24" t="s">
        <v>1233</v>
      </c>
      <c r="D943" s="24" t="s">
        <v>1232</v>
      </c>
      <c r="E943" s="24" t="s">
        <v>1231</v>
      </c>
      <c r="F943" s="24" t="s">
        <v>145</v>
      </c>
      <c r="G943" s="24" t="s">
        <v>1278</v>
      </c>
      <c r="H943" s="26">
        <v>18</v>
      </c>
      <c r="I943" s="26">
        <v>509.79</v>
      </c>
      <c r="J943" s="26">
        <v>9176.2199999999993</v>
      </c>
    </row>
    <row r="944" spans="1:10">
      <c r="A944" s="25">
        <v>45082</v>
      </c>
      <c r="B944" s="24" t="s">
        <v>1269</v>
      </c>
      <c r="C944" s="24" t="s">
        <v>1241</v>
      </c>
      <c r="D944" s="24" t="s">
        <v>1235</v>
      </c>
      <c r="E944" s="24" t="s">
        <v>1231</v>
      </c>
      <c r="F944" s="24" t="s">
        <v>132</v>
      </c>
      <c r="G944" s="24" t="s">
        <v>1271</v>
      </c>
      <c r="H944" s="26">
        <v>16</v>
      </c>
      <c r="I944" s="26">
        <v>2724.77</v>
      </c>
      <c r="J944" s="26">
        <v>43596.32</v>
      </c>
    </row>
    <row r="945" spans="1:10">
      <c r="A945" s="25">
        <v>45094</v>
      </c>
      <c r="B945" s="24" t="s">
        <v>1267</v>
      </c>
      <c r="C945" s="24" t="s">
        <v>1239</v>
      </c>
      <c r="D945" s="24" t="s">
        <v>1237</v>
      </c>
      <c r="E945" s="24" t="s">
        <v>1229</v>
      </c>
      <c r="F945" s="24" t="s">
        <v>128</v>
      </c>
      <c r="G945" s="24" t="s">
        <v>1264</v>
      </c>
      <c r="H945" s="26">
        <v>18</v>
      </c>
      <c r="I945" s="26">
        <v>4718.22</v>
      </c>
      <c r="J945" s="26">
        <v>84927.96</v>
      </c>
    </row>
    <row r="946" spans="1:10">
      <c r="A946" s="25">
        <v>44971</v>
      </c>
      <c r="B946" s="24" t="s">
        <v>1267</v>
      </c>
      <c r="C946" s="24" t="s">
        <v>1240</v>
      </c>
      <c r="D946" s="24" t="s">
        <v>1232</v>
      </c>
      <c r="E946" s="24" t="s">
        <v>1231</v>
      </c>
      <c r="F946" s="24" t="s">
        <v>120</v>
      </c>
      <c r="G946" s="24" t="s">
        <v>1276</v>
      </c>
      <c r="H946" s="26">
        <v>9</v>
      </c>
      <c r="I946" s="26">
        <v>4811.76</v>
      </c>
      <c r="J946" s="26">
        <v>43305.84</v>
      </c>
    </row>
    <row r="947" spans="1:10">
      <c r="A947" s="25">
        <v>44933</v>
      </c>
      <c r="B947" s="24" t="s">
        <v>1252</v>
      </c>
      <c r="C947" s="24" t="s">
        <v>1233</v>
      </c>
      <c r="D947" s="24" t="s">
        <v>1232</v>
      </c>
      <c r="E947" s="24" t="s">
        <v>1231</v>
      </c>
      <c r="F947" s="24" t="s">
        <v>132</v>
      </c>
      <c r="G947" s="24" t="s">
        <v>1279</v>
      </c>
      <c r="H947" s="26">
        <v>8</v>
      </c>
      <c r="I947" s="26">
        <v>4021.86</v>
      </c>
      <c r="J947" s="26">
        <v>32174.880000000001</v>
      </c>
    </row>
    <row r="948" spans="1:10">
      <c r="A948" s="25">
        <v>44953</v>
      </c>
      <c r="B948" s="24" t="s">
        <v>1269</v>
      </c>
      <c r="C948" s="24" t="s">
        <v>1236</v>
      </c>
      <c r="D948" s="24" t="s">
        <v>1235</v>
      </c>
      <c r="E948" s="24" t="s">
        <v>1231</v>
      </c>
      <c r="F948" s="24" t="s">
        <v>132</v>
      </c>
      <c r="G948" s="24" t="s">
        <v>1271</v>
      </c>
      <c r="H948" s="26">
        <v>16</v>
      </c>
      <c r="I948" s="26">
        <v>4008.72</v>
      </c>
      <c r="J948" s="26">
        <v>64139.519999999997</v>
      </c>
    </row>
    <row r="949" spans="1:10">
      <c r="A949" s="25">
        <v>45157</v>
      </c>
      <c r="B949" s="24" t="s">
        <v>1252</v>
      </c>
      <c r="C949" s="24" t="s">
        <v>1169</v>
      </c>
      <c r="D949" s="24" t="s">
        <v>1230</v>
      </c>
      <c r="E949" s="24" t="s">
        <v>1229</v>
      </c>
      <c r="F949" s="24" t="s">
        <v>132</v>
      </c>
      <c r="G949" s="24" t="s">
        <v>1279</v>
      </c>
      <c r="H949" s="26">
        <v>14</v>
      </c>
      <c r="I949" s="26">
        <v>4793.38</v>
      </c>
      <c r="J949" s="26">
        <v>67107.320000000007</v>
      </c>
    </row>
    <row r="950" spans="1:10">
      <c r="A950" s="25">
        <v>44954</v>
      </c>
      <c r="B950" s="24" t="s">
        <v>1262</v>
      </c>
      <c r="C950" s="24" t="s">
        <v>1247</v>
      </c>
      <c r="D950" s="24" t="s">
        <v>1243</v>
      </c>
      <c r="E950" s="24" t="s">
        <v>1242</v>
      </c>
      <c r="F950" s="24" t="s">
        <v>132</v>
      </c>
      <c r="G950" s="24" t="s">
        <v>1277</v>
      </c>
      <c r="H950" s="26">
        <v>14</v>
      </c>
      <c r="I950" s="26">
        <v>4816.3900000000003</v>
      </c>
      <c r="J950" s="26">
        <v>67429.460000000006</v>
      </c>
    </row>
    <row r="951" spans="1:10">
      <c r="A951" s="25">
        <v>45063</v>
      </c>
      <c r="B951" s="24" t="s">
        <v>1260</v>
      </c>
      <c r="C951" s="24" t="s">
        <v>1246</v>
      </c>
      <c r="D951" s="24" t="s">
        <v>1230</v>
      </c>
      <c r="E951" s="24" t="s">
        <v>1229</v>
      </c>
      <c r="F951" s="24" t="s">
        <v>132</v>
      </c>
      <c r="G951" s="24" t="s">
        <v>1253</v>
      </c>
      <c r="H951" s="26">
        <v>6</v>
      </c>
      <c r="I951" s="26">
        <v>4072.51</v>
      </c>
      <c r="J951" s="26">
        <v>24435.06</v>
      </c>
    </row>
    <row r="952" spans="1:10">
      <c r="A952" s="25">
        <v>44997</v>
      </c>
      <c r="B952" s="24" t="s">
        <v>1263</v>
      </c>
      <c r="C952" s="24" t="s">
        <v>1171</v>
      </c>
      <c r="D952" s="24" t="s">
        <v>1237</v>
      </c>
      <c r="E952" s="24" t="s">
        <v>1229</v>
      </c>
      <c r="F952" s="24" t="s">
        <v>1249</v>
      </c>
      <c r="G952" s="24" t="s">
        <v>1272</v>
      </c>
      <c r="H952" s="26">
        <v>2</v>
      </c>
      <c r="I952" s="26">
        <v>1269.81</v>
      </c>
      <c r="J952" s="26">
        <v>2539.62</v>
      </c>
    </row>
    <row r="953" spans="1:10">
      <c r="A953" s="25">
        <v>44948</v>
      </c>
      <c r="B953" s="24" t="s">
        <v>1265</v>
      </c>
      <c r="C953" s="24" t="s">
        <v>1246</v>
      </c>
      <c r="D953" s="24" t="s">
        <v>1230</v>
      </c>
      <c r="E953" s="24" t="s">
        <v>1229</v>
      </c>
      <c r="F953" s="24" t="s">
        <v>1249</v>
      </c>
      <c r="G953" s="24" t="s">
        <v>1270</v>
      </c>
      <c r="H953" s="26">
        <v>13</v>
      </c>
      <c r="I953" s="26">
        <v>3071.93</v>
      </c>
      <c r="J953" s="26">
        <v>39935.089999999997</v>
      </c>
    </row>
    <row r="954" spans="1:10">
      <c r="A954" s="25">
        <v>44999</v>
      </c>
      <c r="B954" s="24" t="s">
        <v>1258</v>
      </c>
      <c r="C954" s="24" t="s">
        <v>1248</v>
      </c>
      <c r="D954" s="24" t="s">
        <v>1230</v>
      </c>
      <c r="E954" s="24" t="s">
        <v>1229</v>
      </c>
      <c r="F954" s="24" t="s">
        <v>128</v>
      </c>
      <c r="G954" s="24" t="s">
        <v>1257</v>
      </c>
      <c r="H954" s="26">
        <v>5</v>
      </c>
      <c r="I954" s="26">
        <v>4686.67</v>
      </c>
      <c r="J954" s="26">
        <v>23433.35</v>
      </c>
    </row>
    <row r="955" spans="1:10">
      <c r="A955" s="25">
        <v>45228</v>
      </c>
      <c r="B955" s="24" t="s">
        <v>1269</v>
      </c>
      <c r="C955" s="24" t="s">
        <v>1239</v>
      </c>
      <c r="D955" s="24" t="s">
        <v>1237</v>
      </c>
      <c r="E955" s="24" t="s">
        <v>1229</v>
      </c>
      <c r="F955" s="24" t="s">
        <v>132</v>
      </c>
      <c r="G955" s="24" t="s">
        <v>1277</v>
      </c>
      <c r="H955" s="26">
        <v>5</v>
      </c>
      <c r="I955" s="26">
        <v>4504.17</v>
      </c>
      <c r="J955" s="26">
        <v>22520.85</v>
      </c>
    </row>
    <row r="956" spans="1:10">
      <c r="A956" s="25">
        <v>45126</v>
      </c>
      <c r="B956" s="24" t="s">
        <v>1252</v>
      </c>
      <c r="C956" s="24" t="s">
        <v>1241</v>
      </c>
      <c r="D956" s="24" t="s">
        <v>1235</v>
      </c>
      <c r="E956" s="24" t="s">
        <v>1231</v>
      </c>
      <c r="F956" s="24" t="s">
        <v>132</v>
      </c>
      <c r="G956" s="24" t="s">
        <v>1253</v>
      </c>
      <c r="H956" s="26">
        <v>3</v>
      </c>
      <c r="I956" s="26">
        <v>559.70000000000005</v>
      </c>
      <c r="J956" s="26">
        <v>1679.1</v>
      </c>
    </row>
    <row r="957" spans="1:10">
      <c r="A957" s="25">
        <v>45212</v>
      </c>
      <c r="B957" s="24" t="s">
        <v>1256</v>
      </c>
      <c r="C957" s="24" t="s">
        <v>1236</v>
      </c>
      <c r="D957" s="24" t="s">
        <v>1235</v>
      </c>
      <c r="E957" s="24" t="s">
        <v>1231</v>
      </c>
      <c r="F957" s="24" t="s">
        <v>1249</v>
      </c>
      <c r="G957" s="24" t="s">
        <v>1268</v>
      </c>
      <c r="H957" s="26">
        <v>17</v>
      </c>
      <c r="I957" s="26">
        <v>1975.71</v>
      </c>
      <c r="J957" s="26">
        <v>33587.07</v>
      </c>
    </row>
    <row r="958" spans="1:10">
      <c r="A958" s="25">
        <v>45239</v>
      </c>
      <c r="B958" s="24" t="s">
        <v>1258</v>
      </c>
      <c r="C958" s="24" t="s">
        <v>1247</v>
      </c>
      <c r="D958" s="24" t="s">
        <v>1243</v>
      </c>
      <c r="E958" s="24" t="s">
        <v>1242</v>
      </c>
      <c r="F958" s="24" t="s">
        <v>132</v>
      </c>
      <c r="G958" s="24" t="s">
        <v>1253</v>
      </c>
      <c r="H958" s="26">
        <v>8</v>
      </c>
      <c r="I958" s="26">
        <v>4175.5600000000004</v>
      </c>
      <c r="J958" s="26">
        <v>33404.480000000003</v>
      </c>
    </row>
    <row r="959" spans="1:10">
      <c r="A959" s="25">
        <v>44956</v>
      </c>
      <c r="B959" s="24" t="s">
        <v>1252</v>
      </c>
      <c r="C959" s="24" t="s">
        <v>1236</v>
      </c>
      <c r="D959" s="24" t="s">
        <v>1235</v>
      </c>
      <c r="E959" s="24" t="s">
        <v>1231</v>
      </c>
      <c r="F959" s="24" t="s">
        <v>120</v>
      </c>
      <c r="G959" s="24" t="s">
        <v>1275</v>
      </c>
      <c r="H959" s="26">
        <v>14</v>
      </c>
      <c r="I959" s="26">
        <v>2535.08</v>
      </c>
      <c r="J959" s="26">
        <v>35491.120000000003</v>
      </c>
    </row>
    <row r="960" spans="1:10">
      <c r="A960" s="25">
        <v>45111</v>
      </c>
      <c r="B960" s="24" t="s">
        <v>1260</v>
      </c>
      <c r="C960" s="24" t="s">
        <v>1233</v>
      </c>
      <c r="D960" s="24" t="s">
        <v>1232</v>
      </c>
      <c r="E960" s="24" t="s">
        <v>1231</v>
      </c>
      <c r="F960" s="24" t="s">
        <v>120</v>
      </c>
      <c r="G960" s="24" t="s">
        <v>1164</v>
      </c>
      <c r="H960" s="26">
        <v>14</v>
      </c>
      <c r="I960" s="26">
        <v>2161.65</v>
      </c>
      <c r="J960" s="26">
        <v>30263.1</v>
      </c>
    </row>
    <row r="961" spans="1:10">
      <c r="A961" s="25">
        <v>45205</v>
      </c>
      <c r="B961" s="24" t="s">
        <v>1260</v>
      </c>
      <c r="C961" s="24" t="s">
        <v>1247</v>
      </c>
      <c r="D961" s="24" t="s">
        <v>1243</v>
      </c>
      <c r="E961" s="24" t="s">
        <v>1242</v>
      </c>
      <c r="F961" s="24" t="s">
        <v>120</v>
      </c>
      <c r="G961" s="24" t="s">
        <v>1276</v>
      </c>
      <c r="H961" s="26">
        <v>11</v>
      </c>
      <c r="I961" s="26">
        <v>3424.45</v>
      </c>
      <c r="J961" s="26">
        <v>37668.949999999997</v>
      </c>
    </row>
    <row r="962" spans="1:10">
      <c r="A962" s="25">
        <v>45162</v>
      </c>
      <c r="B962" s="24" t="s">
        <v>1263</v>
      </c>
      <c r="C962" s="24" t="s">
        <v>1246</v>
      </c>
      <c r="D962" s="24" t="s">
        <v>1230</v>
      </c>
      <c r="E962" s="24" t="s">
        <v>1229</v>
      </c>
      <c r="F962" s="24" t="s">
        <v>1249</v>
      </c>
      <c r="G962" s="24" t="s">
        <v>1259</v>
      </c>
      <c r="H962" s="26">
        <v>10</v>
      </c>
      <c r="I962" s="26">
        <v>1167.21</v>
      </c>
      <c r="J962" s="26">
        <v>11672.1</v>
      </c>
    </row>
    <row r="963" spans="1:10">
      <c r="A963" s="25">
        <v>44983</v>
      </c>
      <c r="B963" s="24" t="s">
        <v>1265</v>
      </c>
      <c r="C963" s="24" t="s">
        <v>1246</v>
      </c>
      <c r="D963" s="24" t="s">
        <v>1230</v>
      </c>
      <c r="E963" s="24" t="s">
        <v>1229</v>
      </c>
      <c r="F963" s="24" t="s">
        <v>145</v>
      </c>
      <c r="G963" s="24" t="s">
        <v>1255</v>
      </c>
      <c r="H963" s="26">
        <v>7</v>
      </c>
      <c r="I963" s="26">
        <v>500.63</v>
      </c>
      <c r="J963" s="26">
        <v>3504.41</v>
      </c>
    </row>
    <row r="964" spans="1:10">
      <c r="A964" s="25">
        <v>45234</v>
      </c>
      <c r="B964" s="24" t="s">
        <v>1262</v>
      </c>
      <c r="C964" s="24" t="s">
        <v>1244</v>
      </c>
      <c r="D964" s="24" t="s">
        <v>1243</v>
      </c>
      <c r="E964" s="24" t="s">
        <v>1242</v>
      </c>
      <c r="F964" s="24" t="s">
        <v>132</v>
      </c>
      <c r="G964" s="24" t="s">
        <v>1279</v>
      </c>
      <c r="H964" s="26">
        <v>10</v>
      </c>
      <c r="I964" s="26">
        <v>1050.8399999999999</v>
      </c>
      <c r="J964" s="26">
        <v>10508.4</v>
      </c>
    </row>
    <row r="965" spans="1:10">
      <c r="A965" s="25">
        <v>45168</v>
      </c>
      <c r="B965" s="24" t="s">
        <v>1269</v>
      </c>
      <c r="C965" s="24" t="s">
        <v>1238</v>
      </c>
      <c r="D965" s="24" t="s">
        <v>1235</v>
      </c>
      <c r="E965" s="24" t="s">
        <v>1231</v>
      </c>
      <c r="F965" s="24" t="s">
        <v>132</v>
      </c>
      <c r="G965" s="24" t="s">
        <v>1277</v>
      </c>
      <c r="H965" s="26">
        <v>14</v>
      </c>
      <c r="I965" s="26">
        <v>3726.3</v>
      </c>
      <c r="J965" s="26">
        <v>52168.2</v>
      </c>
    </row>
    <row r="966" spans="1:10">
      <c r="A966" s="25">
        <v>45214</v>
      </c>
      <c r="B966" s="24" t="s">
        <v>1258</v>
      </c>
      <c r="C966" s="24" t="s">
        <v>1233</v>
      </c>
      <c r="D966" s="24" t="s">
        <v>1232</v>
      </c>
      <c r="E966" s="24" t="s">
        <v>1231</v>
      </c>
      <c r="F966" s="24" t="s">
        <v>128</v>
      </c>
      <c r="G966" s="24" t="s">
        <v>1264</v>
      </c>
      <c r="H966" s="26">
        <v>10</v>
      </c>
      <c r="I966" s="26">
        <v>651.83000000000004</v>
      </c>
      <c r="J966" s="26">
        <v>6518.3</v>
      </c>
    </row>
    <row r="967" spans="1:10">
      <c r="A967" s="25">
        <v>45105</v>
      </c>
      <c r="B967" s="24" t="s">
        <v>1263</v>
      </c>
      <c r="C967" s="24" t="s">
        <v>1173</v>
      </c>
      <c r="D967" s="24" t="s">
        <v>1237</v>
      </c>
      <c r="E967" s="24" t="s">
        <v>1229</v>
      </c>
      <c r="F967" s="24" t="s">
        <v>132</v>
      </c>
      <c r="G967" s="24" t="s">
        <v>1279</v>
      </c>
      <c r="H967" s="26">
        <v>4</v>
      </c>
      <c r="I967" s="26">
        <v>1077.23</v>
      </c>
      <c r="J967" s="26">
        <v>4308.92</v>
      </c>
    </row>
    <row r="968" spans="1:10">
      <c r="A968" s="25">
        <v>45090</v>
      </c>
      <c r="B968" s="24" t="s">
        <v>1269</v>
      </c>
      <c r="C968" s="24" t="s">
        <v>1244</v>
      </c>
      <c r="D968" s="24" t="s">
        <v>1243</v>
      </c>
      <c r="E968" s="24" t="s">
        <v>1242</v>
      </c>
      <c r="F968" s="24" t="s">
        <v>120</v>
      </c>
      <c r="G968" s="24" t="s">
        <v>1165</v>
      </c>
      <c r="H968" s="26">
        <v>15</v>
      </c>
      <c r="I968" s="26">
        <v>4554.78</v>
      </c>
      <c r="J968" s="26">
        <v>68321.7</v>
      </c>
    </row>
    <row r="969" spans="1:10">
      <c r="A969" s="25">
        <v>45072</v>
      </c>
      <c r="B969" s="24" t="s">
        <v>1260</v>
      </c>
      <c r="C969" s="24" t="s">
        <v>1169</v>
      </c>
      <c r="D969" s="24" t="s">
        <v>1230</v>
      </c>
      <c r="E969" s="24" t="s">
        <v>1229</v>
      </c>
      <c r="F969" s="24" t="s">
        <v>145</v>
      </c>
      <c r="G969" s="24" t="s">
        <v>1274</v>
      </c>
      <c r="H969" s="26">
        <v>19</v>
      </c>
      <c r="I969" s="26">
        <v>1003.13</v>
      </c>
      <c r="J969" s="26">
        <v>19059.47</v>
      </c>
    </row>
    <row r="970" spans="1:10">
      <c r="A970" s="25">
        <v>45133</v>
      </c>
      <c r="B970" s="24" t="s">
        <v>1252</v>
      </c>
      <c r="C970" s="24" t="s">
        <v>1238</v>
      </c>
      <c r="D970" s="24" t="s">
        <v>1235</v>
      </c>
      <c r="E970" s="24" t="s">
        <v>1231</v>
      </c>
      <c r="F970" s="24" t="s">
        <v>1249</v>
      </c>
      <c r="G970" s="24" t="s">
        <v>1268</v>
      </c>
      <c r="H970" s="26">
        <v>7</v>
      </c>
      <c r="I970" s="26">
        <v>3168.77</v>
      </c>
      <c r="J970" s="26">
        <v>22181.39</v>
      </c>
    </row>
    <row r="971" spans="1:10">
      <c r="A971" s="25">
        <v>44977</v>
      </c>
      <c r="B971" s="24" t="s">
        <v>1260</v>
      </c>
      <c r="C971" s="24" t="s">
        <v>1244</v>
      </c>
      <c r="D971" s="24" t="s">
        <v>1243</v>
      </c>
      <c r="E971" s="24" t="s">
        <v>1242</v>
      </c>
      <c r="F971" s="24" t="s">
        <v>145</v>
      </c>
      <c r="G971" s="24" t="s">
        <v>1261</v>
      </c>
      <c r="H971" s="26">
        <v>19</v>
      </c>
      <c r="I971" s="26">
        <v>4528.95</v>
      </c>
      <c r="J971" s="26">
        <v>86050.05</v>
      </c>
    </row>
    <row r="972" spans="1:10">
      <c r="A972" s="25">
        <v>45164</v>
      </c>
      <c r="B972" s="24" t="s">
        <v>1256</v>
      </c>
      <c r="C972" s="24" t="s">
        <v>1238</v>
      </c>
      <c r="D972" s="24" t="s">
        <v>1235</v>
      </c>
      <c r="E972" s="24" t="s">
        <v>1231</v>
      </c>
      <c r="F972" s="24" t="s">
        <v>120</v>
      </c>
      <c r="G972" s="24" t="s">
        <v>1165</v>
      </c>
      <c r="H972" s="26">
        <v>5</v>
      </c>
      <c r="I972" s="26">
        <v>2480.84</v>
      </c>
      <c r="J972" s="26">
        <v>12404.2</v>
      </c>
    </row>
    <row r="973" spans="1:10">
      <c r="A973" s="25">
        <v>45051</v>
      </c>
      <c r="B973" s="24" t="s">
        <v>1265</v>
      </c>
      <c r="C973" s="24" t="s">
        <v>1245</v>
      </c>
      <c r="D973" s="24" t="s">
        <v>1243</v>
      </c>
      <c r="E973" s="24" t="s">
        <v>1242</v>
      </c>
      <c r="F973" s="24" t="s">
        <v>128</v>
      </c>
      <c r="G973" s="24" t="s">
        <v>1273</v>
      </c>
      <c r="H973" s="26">
        <v>11</v>
      </c>
      <c r="I973" s="26">
        <v>4740.79</v>
      </c>
      <c r="J973" s="26">
        <v>52148.69</v>
      </c>
    </row>
    <row r="974" spans="1:10">
      <c r="A974" s="25">
        <v>45184</v>
      </c>
      <c r="B974" s="24" t="s">
        <v>1262</v>
      </c>
      <c r="C974" s="24" t="s">
        <v>1245</v>
      </c>
      <c r="D974" s="24" t="s">
        <v>1243</v>
      </c>
      <c r="E974" s="24" t="s">
        <v>1242</v>
      </c>
      <c r="F974" s="24" t="s">
        <v>1249</v>
      </c>
      <c r="G974" s="24" t="s">
        <v>1259</v>
      </c>
      <c r="H974" s="26">
        <v>16</v>
      </c>
      <c r="I974" s="26">
        <v>2687.77</v>
      </c>
      <c r="J974" s="26">
        <v>43004.32</v>
      </c>
    </row>
    <row r="975" spans="1:10">
      <c r="A975" s="25">
        <v>45142</v>
      </c>
      <c r="B975" s="24" t="s">
        <v>1260</v>
      </c>
      <c r="C975" s="24" t="s">
        <v>1240</v>
      </c>
      <c r="D975" s="24" t="s">
        <v>1232</v>
      </c>
      <c r="E975" s="24" t="s">
        <v>1231</v>
      </c>
      <c r="F975" s="24" t="s">
        <v>1249</v>
      </c>
      <c r="G975" s="24" t="s">
        <v>1268</v>
      </c>
      <c r="H975" s="26">
        <v>15</v>
      </c>
      <c r="I975" s="26">
        <v>2472.8000000000002</v>
      </c>
      <c r="J975" s="26">
        <v>37092</v>
      </c>
    </row>
    <row r="976" spans="1:10">
      <c r="A976" s="25">
        <v>44972</v>
      </c>
      <c r="B976" s="24" t="s">
        <v>1269</v>
      </c>
      <c r="C976" s="24" t="s">
        <v>1245</v>
      </c>
      <c r="D976" s="24" t="s">
        <v>1243</v>
      </c>
      <c r="E976" s="24" t="s">
        <v>1242</v>
      </c>
      <c r="F976" s="24" t="s">
        <v>132</v>
      </c>
      <c r="G976" s="24" t="s">
        <v>1253</v>
      </c>
      <c r="H976" s="26">
        <v>3</v>
      </c>
      <c r="I976" s="26">
        <v>3814.12</v>
      </c>
      <c r="J976" s="26">
        <v>11442.36</v>
      </c>
    </row>
    <row r="977" spans="1:10">
      <c r="A977" s="25">
        <v>44978</v>
      </c>
      <c r="B977" s="24" t="s">
        <v>1269</v>
      </c>
      <c r="C977" s="24" t="s">
        <v>1248</v>
      </c>
      <c r="D977" s="24" t="s">
        <v>1230</v>
      </c>
      <c r="E977" s="24" t="s">
        <v>1229</v>
      </c>
      <c r="F977" s="24" t="s">
        <v>132</v>
      </c>
      <c r="G977" s="24" t="s">
        <v>1271</v>
      </c>
      <c r="H977" s="26">
        <v>1</v>
      </c>
      <c r="I977" s="26">
        <v>2333.7800000000002</v>
      </c>
      <c r="J977" s="26">
        <v>2333.7800000000002</v>
      </c>
    </row>
    <row r="978" spans="1:10">
      <c r="A978" s="25">
        <v>44953</v>
      </c>
      <c r="B978" s="24" t="s">
        <v>1258</v>
      </c>
      <c r="C978" s="24" t="s">
        <v>1239</v>
      </c>
      <c r="D978" s="24" t="s">
        <v>1237</v>
      </c>
      <c r="E978" s="24" t="s">
        <v>1229</v>
      </c>
      <c r="F978" s="24" t="s">
        <v>1249</v>
      </c>
      <c r="G978" s="24" t="s">
        <v>1259</v>
      </c>
      <c r="H978" s="26">
        <v>10</v>
      </c>
      <c r="I978" s="26">
        <v>2628.56</v>
      </c>
      <c r="J978" s="26">
        <v>26285.599999999999</v>
      </c>
    </row>
    <row r="979" spans="1:10">
      <c r="A979" s="25">
        <v>45199</v>
      </c>
      <c r="B979" s="24" t="s">
        <v>1256</v>
      </c>
      <c r="C979" s="24" t="s">
        <v>1240</v>
      </c>
      <c r="D979" s="24" t="s">
        <v>1232</v>
      </c>
      <c r="E979" s="24" t="s">
        <v>1231</v>
      </c>
      <c r="F979" s="24" t="s">
        <v>120</v>
      </c>
      <c r="G979" s="24" t="s">
        <v>1164</v>
      </c>
      <c r="H979" s="26">
        <v>16</v>
      </c>
      <c r="I979" s="26">
        <v>284.02</v>
      </c>
      <c r="J979" s="26">
        <v>4544.32</v>
      </c>
    </row>
    <row r="980" spans="1:10">
      <c r="A980" s="25">
        <v>45167</v>
      </c>
      <c r="B980" s="24" t="s">
        <v>1263</v>
      </c>
      <c r="C980" s="24" t="s">
        <v>1241</v>
      </c>
      <c r="D980" s="24" t="s">
        <v>1235</v>
      </c>
      <c r="E980" s="24" t="s">
        <v>1231</v>
      </c>
      <c r="F980" s="24" t="s">
        <v>1249</v>
      </c>
      <c r="G980" s="24" t="s">
        <v>1268</v>
      </c>
      <c r="H980" s="26">
        <v>8</v>
      </c>
      <c r="I980" s="26">
        <v>1011.67</v>
      </c>
      <c r="J980" s="26">
        <v>8093.36</v>
      </c>
    </row>
    <row r="981" spans="1:10">
      <c r="A981" s="25">
        <v>44993</v>
      </c>
      <c r="B981" s="24" t="s">
        <v>1265</v>
      </c>
      <c r="C981" s="24" t="s">
        <v>1247</v>
      </c>
      <c r="D981" s="24" t="s">
        <v>1243</v>
      </c>
      <c r="E981" s="24" t="s">
        <v>1242</v>
      </c>
      <c r="F981" s="24" t="s">
        <v>1249</v>
      </c>
      <c r="G981" s="24" t="s">
        <v>1270</v>
      </c>
      <c r="H981" s="26">
        <v>6</v>
      </c>
      <c r="I981" s="26">
        <v>3918.07</v>
      </c>
      <c r="J981" s="26">
        <v>23508.42</v>
      </c>
    </row>
    <row r="982" spans="1:10">
      <c r="A982" s="25">
        <v>45253</v>
      </c>
      <c r="B982" s="24" t="s">
        <v>1263</v>
      </c>
      <c r="C982" s="24" t="s">
        <v>1236</v>
      </c>
      <c r="D982" s="24" t="s">
        <v>1235</v>
      </c>
      <c r="E982" s="24" t="s">
        <v>1231</v>
      </c>
      <c r="F982" s="24" t="s">
        <v>128</v>
      </c>
      <c r="G982" s="24" t="s">
        <v>1266</v>
      </c>
      <c r="H982" s="26">
        <v>2</v>
      </c>
      <c r="I982" s="26">
        <v>3313.63</v>
      </c>
      <c r="J982" s="26">
        <v>6627.26</v>
      </c>
    </row>
    <row r="983" spans="1:10">
      <c r="A983" s="25">
        <v>44980</v>
      </c>
      <c r="B983" s="24" t="s">
        <v>1267</v>
      </c>
      <c r="C983" s="24" t="s">
        <v>1234</v>
      </c>
      <c r="D983" s="24" t="s">
        <v>1232</v>
      </c>
      <c r="E983" s="24" t="s">
        <v>1231</v>
      </c>
      <c r="F983" s="24" t="s">
        <v>128</v>
      </c>
      <c r="G983" s="24" t="s">
        <v>1264</v>
      </c>
      <c r="H983" s="26">
        <v>18</v>
      </c>
      <c r="I983" s="26">
        <v>809.24</v>
      </c>
      <c r="J983" s="26">
        <v>14566.32</v>
      </c>
    </row>
    <row r="984" spans="1:10">
      <c r="A984" s="25">
        <v>45034</v>
      </c>
      <c r="B984" s="24" t="s">
        <v>1256</v>
      </c>
      <c r="C984" s="24" t="s">
        <v>1244</v>
      </c>
      <c r="D984" s="24" t="s">
        <v>1243</v>
      </c>
      <c r="E984" s="24" t="s">
        <v>1242</v>
      </c>
      <c r="F984" s="24" t="s">
        <v>1249</v>
      </c>
      <c r="G984" s="24" t="s">
        <v>1272</v>
      </c>
      <c r="H984" s="26">
        <v>2</v>
      </c>
      <c r="I984" s="26">
        <v>2338.61</v>
      </c>
      <c r="J984" s="26">
        <v>4677.22</v>
      </c>
    </row>
    <row r="985" spans="1:10">
      <c r="A985" s="25">
        <v>45010</v>
      </c>
      <c r="B985" s="24" t="s">
        <v>1269</v>
      </c>
      <c r="C985" s="24" t="s">
        <v>1238</v>
      </c>
      <c r="D985" s="24" t="s">
        <v>1235</v>
      </c>
      <c r="E985" s="24" t="s">
        <v>1231</v>
      </c>
      <c r="F985" s="24" t="s">
        <v>1249</v>
      </c>
      <c r="G985" s="24" t="s">
        <v>1272</v>
      </c>
      <c r="H985" s="26">
        <v>18</v>
      </c>
      <c r="I985" s="26">
        <v>2773.93</v>
      </c>
      <c r="J985" s="26">
        <v>49930.74</v>
      </c>
    </row>
    <row r="986" spans="1:10">
      <c r="A986" s="25">
        <v>44994</v>
      </c>
      <c r="B986" s="24" t="s">
        <v>1258</v>
      </c>
      <c r="C986" s="24" t="s">
        <v>1173</v>
      </c>
      <c r="D986" s="24" t="s">
        <v>1237</v>
      </c>
      <c r="E986" s="24" t="s">
        <v>1229</v>
      </c>
      <c r="F986" s="24" t="s">
        <v>1249</v>
      </c>
      <c r="G986" s="24" t="s">
        <v>1270</v>
      </c>
      <c r="H986" s="26">
        <v>15</v>
      </c>
      <c r="I986" s="26">
        <v>2540.06</v>
      </c>
      <c r="J986" s="26">
        <v>38100.9</v>
      </c>
    </row>
    <row r="987" spans="1:10">
      <c r="A987" s="25">
        <v>45072</v>
      </c>
      <c r="B987" s="24" t="s">
        <v>1252</v>
      </c>
      <c r="C987" s="24" t="s">
        <v>1247</v>
      </c>
      <c r="D987" s="24" t="s">
        <v>1243</v>
      </c>
      <c r="E987" s="24" t="s">
        <v>1242</v>
      </c>
      <c r="F987" s="24" t="s">
        <v>128</v>
      </c>
      <c r="G987" s="24" t="s">
        <v>1257</v>
      </c>
      <c r="H987" s="26">
        <v>4</v>
      </c>
      <c r="I987" s="26">
        <v>1178.71</v>
      </c>
      <c r="J987" s="26">
        <v>4714.84</v>
      </c>
    </row>
    <row r="988" spans="1:10">
      <c r="A988" s="25">
        <v>45282</v>
      </c>
      <c r="B988" s="24" t="s">
        <v>1265</v>
      </c>
      <c r="C988" s="24" t="s">
        <v>1234</v>
      </c>
      <c r="D988" s="24" t="s">
        <v>1232</v>
      </c>
      <c r="E988" s="24" t="s">
        <v>1231</v>
      </c>
      <c r="F988" s="24" t="s">
        <v>1249</v>
      </c>
      <c r="G988" s="24" t="s">
        <v>1259</v>
      </c>
      <c r="H988" s="26">
        <v>4</v>
      </c>
      <c r="I988" s="26">
        <v>4724.33</v>
      </c>
      <c r="J988" s="26">
        <v>18897.32</v>
      </c>
    </row>
    <row r="989" spans="1:10">
      <c r="A989" s="25">
        <v>45159</v>
      </c>
      <c r="B989" s="24" t="s">
        <v>1265</v>
      </c>
      <c r="C989" s="24" t="s">
        <v>1245</v>
      </c>
      <c r="D989" s="24" t="s">
        <v>1243</v>
      </c>
      <c r="E989" s="24" t="s">
        <v>1242</v>
      </c>
      <c r="F989" s="24" t="s">
        <v>120</v>
      </c>
      <c r="G989" s="24" t="s">
        <v>1275</v>
      </c>
      <c r="H989" s="26">
        <v>7</v>
      </c>
      <c r="I989" s="26">
        <v>3481</v>
      </c>
      <c r="J989" s="26">
        <v>24367</v>
      </c>
    </row>
    <row r="990" spans="1:10">
      <c r="A990" s="25">
        <v>45215</v>
      </c>
      <c r="B990" s="24" t="s">
        <v>1269</v>
      </c>
      <c r="C990" s="24" t="s">
        <v>1248</v>
      </c>
      <c r="D990" s="24" t="s">
        <v>1230</v>
      </c>
      <c r="E990" s="24" t="s">
        <v>1229</v>
      </c>
      <c r="F990" s="24" t="s">
        <v>132</v>
      </c>
      <c r="G990" s="24" t="s">
        <v>1253</v>
      </c>
      <c r="H990" s="26">
        <v>16</v>
      </c>
      <c r="I990" s="26">
        <v>4608.55</v>
      </c>
      <c r="J990" s="26">
        <v>73736.800000000003</v>
      </c>
    </row>
    <row r="991" spans="1:10">
      <c r="A991" s="25">
        <v>45227</v>
      </c>
      <c r="B991" s="24" t="s">
        <v>1267</v>
      </c>
      <c r="C991" s="24" t="s">
        <v>1173</v>
      </c>
      <c r="D991" s="24" t="s">
        <v>1237</v>
      </c>
      <c r="E991" s="24" t="s">
        <v>1229</v>
      </c>
      <c r="F991" s="24" t="s">
        <v>120</v>
      </c>
      <c r="G991" s="24" t="s">
        <v>1276</v>
      </c>
      <c r="H991" s="26">
        <v>10</v>
      </c>
      <c r="I991" s="26">
        <v>2336.88</v>
      </c>
      <c r="J991" s="26">
        <v>23368.799999999999</v>
      </c>
    </row>
    <row r="992" spans="1:10">
      <c r="A992" s="25">
        <v>45254</v>
      </c>
      <c r="B992" s="24" t="s">
        <v>1252</v>
      </c>
      <c r="C992" s="24" t="s">
        <v>1233</v>
      </c>
      <c r="D992" s="24" t="s">
        <v>1232</v>
      </c>
      <c r="E992" s="24" t="s">
        <v>1231</v>
      </c>
      <c r="F992" s="24" t="s">
        <v>145</v>
      </c>
      <c r="G992" s="24" t="s">
        <v>1278</v>
      </c>
      <c r="H992" s="26">
        <v>1</v>
      </c>
      <c r="I992" s="26">
        <v>2993.55</v>
      </c>
      <c r="J992" s="26">
        <v>2993.55</v>
      </c>
    </row>
    <row r="993" spans="1:10">
      <c r="A993" s="25">
        <v>45216</v>
      </c>
      <c r="B993" s="24" t="s">
        <v>1263</v>
      </c>
      <c r="C993" s="24" t="s">
        <v>1240</v>
      </c>
      <c r="D993" s="24" t="s">
        <v>1232</v>
      </c>
      <c r="E993" s="24" t="s">
        <v>1231</v>
      </c>
      <c r="F993" s="24" t="s">
        <v>128</v>
      </c>
      <c r="G993" s="24" t="s">
        <v>1266</v>
      </c>
      <c r="H993" s="26">
        <v>19</v>
      </c>
      <c r="I993" s="26">
        <v>4080.77</v>
      </c>
      <c r="J993" s="26">
        <v>77534.63</v>
      </c>
    </row>
    <row r="994" spans="1:10">
      <c r="A994" s="25">
        <v>45151</v>
      </c>
      <c r="B994" s="24" t="s">
        <v>1254</v>
      </c>
      <c r="C994" s="24" t="s">
        <v>1238</v>
      </c>
      <c r="D994" s="24" t="s">
        <v>1235</v>
      </c>
      <c r="E994" s="24" t="s">
        <v>1231</v>
      </c>
      <c r="F994" s="24" t="s">
        <v>128</v>
      </c>
      <c r="G994" s="24" t="s">
        <v>1273</v>
      </c>
      <c r="H994" s="26">
        <v>4</v>
      </c>
      <c r="I994" s="26">
        <v>3659.61</v>
      </c>
      <c r="J994" s="26">
        <v>14638.44</v>
      </c>
    </row>
    <row r="995" spans="1:10">
      <c r="A995" s="25">
        <v>44964</v>
      </c>
      <c r="B995" s="24" t="s">
        <v>1260</v>
      </c>
      <c r="C995" s="24" t="s">
        <v>1245</v>
      </c>
      <c r="D995" s="24" t="s">
        <v>1243</v>
      </c>
      <c r="E995" s="24" t="s">
        <v>1242</v>
      </c>
      <c r="F995" s="24" t="s">
        <v>128</v>
      </c>
      <c r="G995" s="24" t="s">
        <v>1273</v>
      </c>
      <c r="H995" s="26">
        <v>12</v>
      </c>
      <c r="I995" s="26">
        <v>1819.46</v>
      </c>
      <c r="J995" s="26">
        <v>21833.52</v>
      </c>
    </row>
    <row r="996" spans="1:10">
      <c r="A996" s="25">
        <v>45197</v>
      </c>
      <c r="B996" s="24" t="s">
        <v>1258</v>
      </c>
      <c r="C996" s="24" t="s">
        <v>1233</v>
      </c>
      <c r="D996" s="24" t="s">
        <v>1232</v>
      </c>
      <c r="E996" s="24" t="s">
        <v>1231</v>
      </c>
      <c r="F996" s="24" t="s">
        <v>120</v>
      </c>
      <c r="G996" s="24" t="s">
        <v>1275</v>
      </c>
      <c r="H996" s="26">
        <v>13</v>
      </c>
      <c r="I996" s="26">
        <v>3520.87</v>
      </c>
      <c r="J996" s="26">
        <v>45771.31</v>
      </c>
    </row>
    <row r="997" spans="1:10">
      <c r="A997" s="25">
        <v>44979</v>
      </c>
      <c r="B997" s="24" t="s">
        <v>1263</v>
      </c>
      <c r="C997" s="24" t="s">
        <v>1234</v>
      </c>
      <c r="D997" s="24" t="s">
        <v>1232</v>
      </c>
      <c r="E997" s="24" t="s">
        <v>1231</v>
      </c>
      <c r="F997" s="24" t="s">
        <v>1249</v>
      </c>
      <c r="G997" s="24" t="s">
        <v>1272</v>
      </c>
      <c r="H997" s="26">
        <v>14</v>
      </c>
      <c r="I997" s="26">
        <v>4532.88</v>
      </c>
      <c r="J997" s="26">
        <v>63460.32</v>
      </c>
    </row>
    <row r="998" spans="1:10">
      <c r="A998" s="25">
        <v>44952</v>
      </c>
      <c r="B998" s="24" t="s">
        <v>1260</v>
      </c>
      <c r="C998" s="24" t="s">
        <v>1239</v>
      </c>
      <c r="D998" s="24" t="s">
        <v>1237</v>
      </c>
      <c r="E998" s="24" t="s">
        <v>1229</v>
      </c>
      <c r="F998" s="24" t="s">
        <v>132</v>
      </c>
      <c r="G998" s="24" t="s">
        <v>1271</v>
      </c>
      <c r="H998" s="26">
        <v>6</v>
      </c>
      <c r="I998" s="26">
        <v>1709.52</v>
      </c>
      <c r="J998" s="26">
        <v>10257.120000000001</v>
      </c>
    </row>
    <row r="999" spans="1:10">
      <c r="A999" s="25">
        <v>45259</v>
      </c>
      <c r="B999" s="24" t="s">
        <v>1269</v>
      </c>
      <c r="C999" s="24" t="s">
        <v>1241</v>
      </c>
      <c r="D999" s="24" t="s">
        <v>1235</v>
      </c>
      <c r="E999" s="24" t="s">
        <v>1231</v>
      </c>
      <c r="F999" s="24" t="s">
        <v>128</v>
      </c>
      <c r="G999" s="24" t="s">
        <v>1257</v>
      </c>
      <c r="H999" s="26">
        <v>10</v>
      </c>
      <c r="I999" s="26">
        <v>3803.22</v>
      </c>
      <c r="J999" s="26">
        <v>38032.199999999997</v>
      </c>
    </row>
    <row r="1000" spans="1:10">
      <c r="A1000" s="25">
        <v>44928</v>
      </c>
      <c r="B1000" s="24" t="s">
        <v>1267</v>
      </c>
      <c r="C1000" s="24" t="s">
        <v>1241</v>
      </c>
      <c r="D1000" s="24" t="s">
        <v>1235</v>
      </c>
      <c r="E1000" s="24" t="s">
        <v>1231</v>
      </c>
      <c r="F1000" s="24" t="s">
        <v>145</v>
      </c>
      <c r="G1000" s="24" t="s">
        <v>1278</v>
      </c>
      <c r="H1000" s="26">
        <v>15</v>
      </c>
      <c r="I1000" s="26">
        <v>1853</v>
      </c>
      <c r="J1000" s="26">
        <v>27795</v>
      </c>
    </row>
    <row r="1001" spans="1:10">
      <c r="A1001" s="25">
        <v>44961</v>
      </c>
      <c r="B1001" s="24" t="s">
        <v>1269</v>
      </c>
      <c r="C1001" s="24" t="s">
        <v>1171</v>
      </c>
      <c r="D1001" s="24" t="s">
        <v>1237</v>
      </c>
      <c r="E1001" s="24" t="s">
        <v>1229</v>
      </c>
      <c r="F1001" s="24" t="s">
        <v>128</v>
      </c>
      <c r="G1001" s="24" t="s">
        <v>1264</v>
      </c>
      <c r="H1001" s="26">
        <v>2</v>
      </c>
      <c r="I1001" s="26">
        <v>2623.43</v>
      </c>
      <c r="J1001" s="26">
        <v>5246.86</v>
      </c>
    </row>
  </sheetData>
  <dataValidations count="1">
    <dataValidation type="list" allowBlank="1" showInputMessage="1" showErrorMessage="1" sqref="O72" xr:uid="{214CE2A5-DB14-471E-BA8D-EC7BB38E7D13}">
      <formula1>$L$72:$L$86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Excel Basics</vt:lpstr>
      <vt:lpstr>Remove Duplicate</vt:lpstr>
      <vt:lpstr>RD_2</vt:lpstr>
      <vt:lpstr>Remove_Blank Rows</vt:lpstr>
      <vt:lpstr>Remove Space</vt:lpstr>
      <vt:lpstr>Data Cleaning</vt:lpstr>
      <vt:lpstr>Data Split</vt:lpstr>
      <vt:lpstr>Data Valadition</vt:lpstr>
      <vt:lpstr>Incentive Cal</vt:lpstr>
      <vt:lpstr>Logical Functions</vt:lpstr>
      <vt:lpstr>Sales 1</vt:lpstr>
      <vt:lpstr>Sales 2</vt:lpstr>
      <vt:lpstr>V_LOOKUP</vt:lpstr>
      <vt:lpstr>V_LOOKUP 2</vt:lpstr>
      <vt:lpstr>V_LOOKUP With Match</vt:lpstr>
      <vt:lpstr>Match andd Index</vt:lpstr>
      <vt:lpstr>Sales_Data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Gupta</dc:creator>
  <cp:lastModifiedBy>Ritesh Gupta</cp:lastModifiedBy>
  <cp:lastPrinted>2025-06-21T20:41:22Z</cp:lastPrinted>
  <dcterms:created xsi:type="dcterms:W3CDTF">2025-06-21T09:38:36Z</dcterms:created>
  <dcterms:modified xsi:type="dcterms:W3CDTF">2026-06-01T11:45:47Z</dcterms:modified>
</cp:coreProperties>
</file>